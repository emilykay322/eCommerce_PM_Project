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mily\Documents\Product Management Portfolio\"/>
    </mc:Choice>
  </mc:AlternateContent>
  <xr:revisionPtr revIDLastSave="0" documentId="13_ncr:1_{3E8C2F46-6DDE-4F37-8048-704BC9D69111}" xr6:coauthVersionLast="47" xr6:coauthVersionMax="47" xr10:uidLastSave="{00000000-0000-0000-0000-000000000000}"/>
  <bookViews>
    <workbookView xWindow="5760" yWindow="2700" windowWidth="17280" windowHeight="8880" xr2:uid="{00000000-000D-0000-FFFF-FFFF00000000}"/>
  </bookViews>
  <sheets>
    <sheet name="Cluster Means" sheetId="1" r:id="rId1"/>
    <sheet name="Segements" sheetId="2" r:id="rId2"/>
    <sheet name="Segment 2 Analysis" sheetId="3" r:id="rId3"/>
    <sheet name="Churn by Service Calls" sheetId="4" r:id="rId4"/>
  </sheets>
  <externalReferences>
    <externalReference r:id="rId5"/>
    <externalReference r:id="rId6"/>
  </externalReferences>
  <definedNames>
    <definedName name="_xlnm._FilterDatabase" localSheetId="2" hidden="1">'Segment 2 Analysis'!$G$19:$M$19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4" l="1"/>
  <c r="E3" i="4"/>
  <c r="H22" i="3"/>
  <c r="H20" i="3"/>
  <c r="H21" i="3"/>
  <c r="M38" i="3"/>
  <c r="L38" i="3"/>
  <c r="M37" i="3"/>
  <c r="L37" i="3"/>
  <c r="M36" i="3"/>
  <c r="L36" i="3"/>
  <c r="E5" i="4"/>
  <c r="E6" i="4"/>
  <c r="E7" i="4"/>
  <c r="E8" i="4"/>
  <c r="E9" i="4"/>
  <c r="E10" i="4"/>
  <c r="E11" i="4"/>
  <c r="E12" i="4"/>
  <c r="E13" i="4"/>
  <c r="E14" i="4"/>
  <c r="E15" i="4"/>
  <c r="E16" i="4"/>
  <c r="E17" i="4"/>
  <c r="E18" i="4"/>
  <c r="E19" i="4"/>
  <c r="E20" i="4"/>
  <c r="E21" i="4"/>
  <c r="E22" i="4"/>
  <c r="E23" i="4"/>
  <c r="E24" i="4"/>
  <c r="E25" i="4"/>
  <c r="E26" i="4"/>
  <c r="E27" i="4"/>
  <c r="E28" i="4"/>
  <c r="E29" i="4"/>
  <c r="E30" i="4"/>
  <c r="E31" i="4"/>
  <c r="E32"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4" i="4"/>
  <c r="F3" i="4"/>
  <c r="F2" i="4"/>
  <c r="E2" i="4"/>
  <c r="L4" i="3"/>
  <c r="R4" i="3"/>
  <c r="R11" i="3"/>
  <c r="L11" i="3"/>
  <c r="P9" i="1"/>
  <c r="Q9" i="1"/>
  <c r="O9" i="1"/>
  <c r="E9" i="1"/>
  <c r="F9" i="1"/>
  <c r="G9" i="1"/>
  <c r="H9" i="1"/>
  <c r="I9" i="1"/>
  <c r="J9" i="1"/>
  <c r="K9" i="1"/>
  <c r="L9" i="1"/>
  <c r="M9" i="1"/>
  <c r="N9" i="1"/>
  <c r="D9" i="1"/>
  <c r="P8" i="1"/>
  <c r="Q8" i="1"/>
  <c r="O8" i="1"/>
  <c r="E8" i="1"/>
  <c r="F8" i="1"/>
  <c r="G8" i="1"/>
  <c r="H8" i="1"/>
  <c r="I8" i="1"/>
  <c r="J8" i="1"/>
  <c r="K8" i="1"/>
  <c r="L8" i="1"/>
  <c r="M8" i="1"/>
  <c r="N8" i="1"/>
  <c r="D8" i="1"/>
  <c r="B7" i="1"/>
  <c r="C3" i="1" s="1"/>
  <c r="P7" i="1"/>
  <c r="Q7" i="1"/>
  <c r="O7" i="1"/>
  <c r="E7" i="1"/>
  <c r="F7" i="1"/>
  <c r="G7" i="1"/>
  <c r="H7" i="1"/>
  <c r="I7" i="1"/>
  <c r="J7" i="1"/>
  <c r="K7" i="1"/>
  <c r="L7" i="1"/>
  <c r="M7" i="1"/>
  <c r="N7" i="1"/>
  <c r="D7" i="1"/>
  <c r="B21" i="3"/>
  <c r="B22" i="3" s="1"/>
  <c r="B5" i="3"/>
  <c r="C21" i="3"/>
  <c r="C2" i="1" l="1"/>
  <c r="C6" i="1"/>
  <c r="C5" i="1"/>
  <c r="C4" i="1"/>
</calcChain>
</file>

<file path=xl/sharedStrings.xml><?xml version="1.0" encoding="utf-8"?>
<sst xmlns="http://schemas.openxmlformats.org/spreadsheetml/2006/main" count="174" uniqueCount="91">
  <si>
    <t>Cluster</t>
  </si>
  <si>
    <t>Count</t>
  </si>
  <si>
    <t>Login_Frequency</t>
  </si>
  <si>
    <t>Session_Duration_Avg</t>
  </si>
  <si>
    <t>Pages_Per_Session</t>
  </si>
  <si>
    <t>Cart_Abandonment_Rate</t>
  </si>
  <si>
    <t>Wishlist_Items</t>
  </si>
  <si>
    <t>Total_Purchases</t>
  </si>
  <si>
    <t>Average_Order_Value</t>
  </si>
  <si>
    <t>Days_Since_Last_Purchase</t>
  </si>
  <si>
    <t>Discount_Usage_Rate</t>
  </si>
  <si>
    <t>Returns_Rate</t>
  </si>
  <si>
    <t>Email_Open_Rate</t>
  </si>
  <si>
    <t>Social_Media_Engagement_Score</t>
  </si>
  <si>
    <t>Mobile_App_Usage</t>
  </si>
  <si>
    <t>Payment_Method_Diversity</t>
  </si>
  <si>
    <t>Average</t>
  </si>
  <si>
    <t>Description</t>
  </si>
  <si>
    <t>Characteristics</t>
  </si>
  <si>
    <t>Lower Q</t>
  </si>
  <si>
    <t>Upper Q</t>
  </si>
  <si>
    <t>* High abandonment rate
* Very high order values
* High discount rate usage
* High returns
* Average mobile app usage
* Average Payment Method Diversity</t>
  </si>
  <si>
    <t>* High Login Freq
* High Pages per session
* High Total Purchases
* Very high order values
* High email open rate
* High social media engagement scores
* High app usage
* High payment diversity</t>
  </si>
  <si>
    <t>* High Abandonment rate
* High wishlist items
* High Payment Diversity Method</t>
  </si>
  <si>
    <t>* High Login Freq
* High Duration Avg
* Average wishlist items
* High total purchases
* Very high days since last purchase
* Very high return rate
* High social media engagement score
* High mobile app usage
* High Payment Method Diversity</t>
  </si>
  <si>
    <t>Segment Name</t>
  </si>
  <si>
    <t>* Very high login freq
* Very high duration average
* Very high pages per session
* Very high wishlist items
* Very high total purchases
* High discount usage rate
* Very high Email Open Rate
* Very high social media engagement score
* Very high app usage rate
* High Payment Method Diversity</t>
  </si>
  <si>
    <t>Promo-Driven Bulk Buyers</t>
  </si>
  <si>
    <t>Low-Intent Browsers</t>
  </si>
  <si>
    <t>Dormant High-Engagers</t>
  </si>
  <si>
    <t>Low-engagement customers who exhibit browsing behavior without converting into meaningful purchases. Despite some exploration activity, they contribute minimal revenue and show weak signals of intent or loyalty.</t>
  </si>
  <si>
    <t>Market Cap</t>
  </si>
  <si>
    <t>Behaviors</t>
  </si>
  <si>
    <t>* High tenure
* High CLV
* High Churn
* High Service calls</t>
  </si>
  <si>
    <t>* Average tenure
* Very low CLV
* Average churn
* High Service Calls
* Low Reviews</t>
  </si>
  <si>
    <t>* Slightly Lower tenure
* High CLV
* Low churn
* Very high credit balance
* Very high reviews</t>
  </si>
  <si>
    <t>* Average Tenure
* Slightly low CLV
* High Churn</t>
  </si>
  <si>
    <t>Extremely engaged, stable and active customers who frequently interact with the platform and make repeat purchases. However, their behavior is heavily driven by discounts, indicating high activity but margin sensitivity. They generate strong volume but may dilute profitability.</t>
  </si>
  <si>
    <t>Previously engaged customers with strong historical interaction and purchasing behavior, but currently inactive or lapsed. High return rates and long gaps since last purchase suggest declining value. This segment represents a reactivation opportunity but with uncertain profitability, which is exacerbated by their high churn rates.</t>
  </si>
  <si>
    <t xml:space="preserve">Price-sensitive customers who primarily engage during promotions. They place large orders when incentivized but exhibit high return rates, indicating low purchase intent quality or over-ordering behavior. Overall engagement outside of promotions is low along with high churn rates, suggesting transactional rather than loyal behavior. </t>
  </si>
  <si>
    <t>Deal-Seeking Loyalist</t>
  </si>
  <si>
    <t>Engaged Super Consumers</t>
  </si>
  <si>
    <t>Term</t>
  </si>
  <si>
    <t>Estimate</t>
  </si>
  <si>
    <t>Std Error</t>
  </si>
  <si>
    <t>t Ratio</t>
  </si>
  <si>
    <t>Prob&gt;|t|</t>
  </si>
  <si>
    <t>Intercept</t>
  </si>
  <si>
    <t>&lt;.0001</t>
  </si>
  <si>
    <t>Customer_Service_Calls</t>
  </si>
  <si>
    <t>Seg 2 CLV as a function of service calls</t>
  </si>
  <si>
    <t>Total Loss</t>
  </si>
  <si>
    <t xml:space="preserve">For every service call made, the company loses about $175 in total lifetime value. The group has an average of 6 calls per customer. Being 5% of the market, the company is losing about $536k. </t>
  </si>
  <si>
    <t>Seg 2 CLV as a function of key drivers</t>
  </si>
  <si>
    <t>ChiSquare</t>
  </si>
  <si>
    <t>Prob&gt;ChiSq</t>
  </si>
  <si>
    <t>Seg 2 Churn as a function of service calls</t>
  </si>
  <si>
    <t>All Churn as a function of service calls</t>
  </si>
  <si>
    <t xml:space="preserve">The negative relationship between CLV and service calls along with the high chance the customer churns may indicate either (1) service quality issues of the call center or (2) product quality issues. Further analysis from customer surveys are recommended to understand the issues and drivers. </t>
  </si>
  <si>
    <t>Product_Reviews_Written</t>
  </si>
  <si>
    <t>Seg 2 Churn as a function of product reviews</t>
  </si>
  <si>
    <t>Seg 2 Churn as a function of returns</t>
  </si>
  <si>
    <t xml:space="preserve">Reviews are not highly associated with attrition and instead may indicate the opposite. Review may be more good than bad. </t>
  </si>
  <si>
    <t>Seg 2 CLV as a function of churn</t>
  </si>
  <si>
    <t>Churned[1]</t>
  </si>
  <si>
    <t xml:space="preserve">Returns is not highly associated with attrition. This could be due to several factors, some of which are not related to quality, such as patience/forgiveness, user error, gift returns, etc. </t>
  </si>
  <si>
    <t>For every service call made, the company loses about $185 in total lifetime value. The group has an average of 6 calls per customer. Being 5% of the market, the company is losing about $565k, which is 42% of the segment's total CLV.</t>
  </si>
  <si>
    <t>Loss as a % of Seg 2 Total CLV</t>
  </si>
  <si>
    <t>For every customer service call, there is a 62% chance that the customer will churn, which is 500 basis points higher than the sample</t>
  </si>
  <si>
    <t># of Calls</t>
  </si>
  <si>
    <t>Target Segment</t>
  </si>
  <si>
    <t xml:space="preserve">Highly engaged, high-value customers with strong affinity for the brand. They purchase frequently, spend significantly, and engage across multiple channels without relying on discounts. This segment represents core revenue drivers with strong long-term value potential, but there is a risk of these customers churning more frequently than average. This customer group may present a financial  risk from their high credit balance, payment diversity and churn rates. </t>
  </si>
  <si>
    <t>* Slightly low tenure
* Highest CLV
* Highest Churn
* Slightly high credit balance
* High Service Calls</t>
  </si>
  <si>
    <t>Sample Average</t>
  </si>
  <si>
    <t>Odds Ratio</t>
  </si>
  <si>
    <t>Lower 95%</t>
  </si>
  <si>
    <t>Upper 95%</t>
  </si>
  <si>
    <t>Reciprocal</t>
  </si>
  <si>
    <t>Odds Ratio for Seg 2: Churn as a function of drivers</t>
  </si>
  <si>
    <t>Lower Error</t>
  </si>
  <si>
    <t>Upper Error</t>
  </si>
  <si>
    <t>Parameter Estimates for Seg 2: Churn as a function of drivers</t>
  </si>
  <si>
    <t>x</t>
  </si>
  <si>
    <t>y</t>
  </si>
  <si>
    <t>x-axis</t>
  </si>
  <si>
    <t>Social Media Engagement Score</t>
  </si>
  <si>
    <t>Email Open Rate</t>
  </si>
  <si>
    <t>Mobile App Usage</t>
  </si>
  <si>
    <t>Target segment</t>
  </si>
  <si>
    <t>Regression: Churn x Service Calls</t>
  </si>
  <si>
    <t>Overall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</si>
</sst>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font>
      <sz val="11"/>
      <name val="Calibri"/>
    </font>
    <font>
      <b/>
      <sz val="11"/>
      <color indexed="8"/>
      <name val="Calibri"/>
      <family val="2"/>
    </font>
    <font>
      <sz val="11"/>
      <name val="Calibri"/>
      <family val="2"/>
    </font>
    <font>
      <b/>
      <sz val="11"/>
      <name val="Calibri"/>
      <family val="2"/>
    </font>
    <font>
      <sz val="11"/>
      <name val="Calibri"/>
      <family val="2"/>
    </font>
    <font>
      <b/>
      <sz val="11"/>
      <color indexed="8"/>
      <name val="Calibri"/>
      <family val="2"/>
    </font>
    <font>
      <sz val="11"/>
      <color rgb="FFFF0000"/>
      <name val="Calibri"/>
      <family val="2"/>
    </font>
    <font>
      <sz val="11"/>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bgColor indexed="64"/>
      </patternFill>
    </fill>
  </fills>
  <borders count="15">
    <border>
      <left/>
      <right/>
      <top/>
      <bottom/>
      <diagonal/>
    </border>
    <border>
      <left/>
      <right/>
      <top/>
      <bottom/>
      <diagonal/>
    </border>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64">
    <xf numFmtId="0" fontId="0" fillId="0" borderId="0" xfId="0"/>
    <xf numFmtId="0" fontId="0" fillId="0" borderId="2" xfId="0" applyBorder="1" applyAlignment="1">
      <alignment horizontal="right"/>
    </xf>
    <xf numFmtId="0" fontId="1" fillId="0" borderId="1" xfId="0" applyFont="1" applyBorder="1" applyAlignment="1">
      <alignment horizontal="center" wrapText="1"/>
    </xf>
    <xf numFmtId="0" fontId="0" fillId="0" borderId="0" xfId="0" applyAlignment="1">
      <alignment wrapText="1"/>
    </xf>
    <xf numFmtId="0" fontId="3" fillId="0" borderId="0" xfId="0" applyFont="1"/>
    <xf numFmtId="0" fontId="0" fillId="2" borderId="2" xfId="0" applyFill="1" applyBorder="1" applyAlignment="1">
      <alignment horizontal="right"/>
    </xf>
    <xf numFmtId="0" fontId="0" fillId="3" borderId="2" xfId="0" applyFill="1" applyBorder="1" applyAlignment="1">
      <alignment horizontal="right"/>
    </xf>
    <xf numFmtId="0" fontId="4" fillId="0" borderId="0" xfId="0" applyFont="1" applyAlignment="1">
      <alignment wrapText="1"/>
    </xf>
    <xf numFmtId="0" fontId="0" fillId="4" borderId="2" xfId="0" applyFill="1" applyBorder="1" applyAlignment="1">
      <alignment horizontal="right"/>
    </xf>
    <xf numFmtId="0" fontId="0" fillId="5" borderId="2" xfId="0" applyFill="1" applyBorder="1" applyAlignment="1">
      <alignment horizontal="right"/>
    </xf>
    <xf numFmtId="0" fontId="3" fillId="0" borderId="0" xfId="0" applyFont="1" applyAlignment="1">
      <alignment wrapText="1"/>
    </xf>
    <xf numFmtId="0" fontId="5" fillId="0" borderId="2" xfId="0" applyFont="1" applyBorder="1" applyAlignment="1">
      <alignment horizontal="center" wrapText="1"/>
    </xf>
    <xf numFmtId="9" fontId="0" fillId="0" borderId="2" xfId="1" applyFont="1" applyBorder="1" applyAlignment="1">
      <alignment horizontal="right"/>
    </xf>
    <xf numFmtId="0" fontId="4" fillId="5" borderId="0" xfId="0" applyFont="1" applyFill="1" applyAlignment="1">
      <alignment wrapText="1"/>
    </xf>
    <xf numFmtId="0" fontId="0" fillId="6" borderId="2" xfId="0" applyFill="1" applyBorder="1" applyAlignment="1">
      <alignment horizontal="right"/>
    </xf>
    <xf numFmtId="0" fontId="4" fillId="6" borderId="0" xfId="0" applyFont="1" applyFill="1" applyAlignment="1">
      <alignment wrapText="1"/>
    </xf>
    <xf numFmtId="0" fontId="0" fillId="7" borderId="2" xfId="0" applyFill="1" applyBorder="1" applyAlignment="1">
      <alignment horizontal="right"/>
    </xf>
    <xf numFmtId="0" fontId="4" fillId="7" borderId="0" xfId="0" applyFont="1" applyFill="1" applyAlignment="1">
      <alignment wrapText="1"/>
    </xf>
    <xf numFmtId="44" fontId="0" fillId="0" borderId="0" xfId="2" applyFont="1"/>
    <xf numFmtId="0" fontId="0" fillId="0" borderId="0" xfId="0" applyAlignment="1">
      <alignment vertical="top"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xf numFmtId="0" fontId="0" fillId="0" borderId="10" xfId="0" applyBorder="1"/>
    <xf numFmtId="0" fontId="0" fillId="0" borderId="11" xfId="0" applyBorder="1"/>
    <xf numFmtId="0" fontId="0" fillId="0" borderId="12" xfId="0" applyBorder="1"/>
    <xf numFmtId="0" fontId="0" fillId="0" borderId="13" xfId="0" applyBorder="1"/>
    <xf numFmtId="44" fontId="3" fillId="0" borderId="0" xfId="2" applyFont="1"/>
    <xf numFmtId="0" fontId="3" fillId="0" borderId="2" xfId="0" applyFont="1" applyBorder="1"/>
    <xf numFmtId="44" fontId="0" fillId="0" borderId="0" xfId="0" applyNumberFormat="1"/>
    <xf numFmtId="44" fontId="3" fillId="0" borderId="0" xfId="0" applyNumberFormat="1" applyFont="1"/>
    <xf numFmtId="9" fontId="0" fillId="0" borderId="2" xfId="1" applyFont="1" applyBorder="1"/>
    <xf numFmtId="9" fontId="0" fillId="0" borderId="0" xfId="1" applyFont="1"/>
    <xf numFmtId="9" fontId="3" fillId="0" borderId="0" xfId="1" applyFont="1"/>
    <xf numFmtId="0" fontId="4" fillId="0" borderId="0" xfId="0" applyFont="1"/>
    <xf numFmtId="0" fontId="0" fillId="3" borderId="0" xfId="0" applyFill="1"/>
    <xf numFmtId="9" fontId="0" fillId="3" borderId="0" xfId="1" applyFont="1" applyFill="1"/>
    <xf numFmtId="0" fontId="2" fillId="0" borderId="0" xfId="0" applyFont="1"/>
    <xf numFmtId="0" fontId="6" fillId="0" borderId="0" xfId="0" applyFont="1"/>
    <xf numFmtId="10" fontId="0" fillId="0" borderId="0" xfId="1" applyNumberFormat="1" applyFont="1"/>
    <xf numFmtId="0" fontId="7" fillId="8" borderId="14" xfId="0" applyFont="1" applyFill="1" applyBorder="1"/>
    <xf numFmtId="0" fontId="3" fillId="0" borderId="3" xfId="0" applyFont="1" applyBorder="1" applyAlignment="1">
      <alignment horizontal="right"/>
    </xf>
    <xf numFmtId="0" fontId="3" fillId="0" borderId="4" xfId="0" applyFont="1" applyBorder="1" applyAlignment="1">
      <alignment horizontal="right"/>
    </xf>
    <xf numFmtId="9" fontId="3" fillId="0" borderId="4" xfId="1" applyFont="1" applyBorder="1" applyAlignment="1">
      <alignment horizontal="right"/>
    </xf>
    <xf numFmtId="0" fontId="3" fillId="2" borderId="4" xfId="0" applyFont="1" applyFill="1" applyBorder="1" applyAlignment="1">
      <alignment horizontal="right"/>
    </xf>
    <xf numFmtId="0" fontId="3" fillId="4" borderId="4" xfId="0" applyFont="1" applyFill="1" applyBorder="1" applyAlignment="1">
      <alignment horizontal="right"/>
    </xf>
    <xf numFmtId="0" fontId="3" fillId="2" borderId="5" xfId="0" applyFont="1" applyFill="1" applyBorder="1" applyAlignment="1">
      <alignment horizontal="right"/>
    </xf>
    <xf numFmtId="0" fontId="4" fillId="5" borderId="0" xfId="0" applyFont="1" applyFill="1" applyAlignment="1">
      <alignment horizontal="left" vertical="top" wrapText="1"/>
    </xf>
    <xf numFmtId="0" fontId="4" fillId="7" borderId="0" xfId="0" applyFont="1" applyFill="1" applyAlignment="1">
      <alignment horizontal="left" vertical="top" wrapText="1"/>
    </xf>
    <xf numFmtId="0" fontId="4" fillId="6" borderId="0" xfId="0" applyFont="1" applyFill="1" applyAlignment="1">
      <alignment horizontal="left" vertical="top" wrapText="1"/>
    </xf>
    <xf numFmtId="0" fontId="3" fillId="0" borderId="0" xfId="0" applyFont="1" applyAlignment="1">
      <alignment horizontal="center" wrapText="1"/>
    </xf>
    <xf numFmtId="0" fontId="4" fillId="7" borderId="0" xfId="0" applyFont="1" applyFill="1" applyAlignment="1">
      <alignment vertical="top" wrapText="1"/>
    </xf>
    <xf numFmtId="0" fontId="0" fillId="7" borderId="0" xfId="0" applyFill="1" applyAlignment="1">
      <alignment vertical="top" wrapText="1"/>
    </xf>
    <xf numFmtId="0" fontId="4" fillId="6" borderId="0" xfId="0" applyFont="1" applyFill="1" applyAlignment="1">
      <alignment vertical="top" wrapText="1"/>
    </xf>
    <xf numFmtId="0" fontId="0" fillId="6" borderId="0" xfId="0" applyFill="1" applyAlignment="1">
      <alignment vertical="top" wrapText="1"/>
    </xf>
    <xf numFmtId="0" fontId="4" fillId="5" borderId="0" xfId="0" applyFont="1" applyFill="1" applyAlignment="1">
      <alignment vertical="top" wrapText="1"/>
    </xf>
    <xf numFmtId="0" fontId="0" fillId="5" borderId="0" xfId="0" applyFill="1" applyAlignment="1">
      <alignment vertical="top" wrapText="1"/>
    </xf>
    <xf numFmtId="0" fontId="0" fillId="7" borderId="0" xfId="0" applyFill="1" applyAlignment="1">
      <alignment horizontal="left" vertical="top" wrapText="1"/>
    </xf>
    <xf numFmtId="0" fontId="3" fillId="0" borderId="2" xfId="0" applyFont="1" applyFill="1" applyBorder="1"/>
    <xf numFmtId="0" fontId="3" fillId="0" borderId="0" xfId="0" applyFont="1" applyAlignment="1">
      <alignment horizontal="center" vertical="top" wrapText="1"/>
    </xf>
    <xf numFmtId="0" fontId="3" fillId="0" borderId="0" xfId="0" applyFont="1" applyAlignment="1">
      <alignment vertical="center"/>
    </xf>
    <xf numFmtId="0" fontId="3" fillId="0" borderId="2" xfId="0" applyFont="1" applyBorder="1" applyAlignment="1">
      <alignment vertical="center"/>
    </xf>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0E7C7B"/>
      <color rgb="FF0D1F3C"/>
      <color rgb="FF9CA3AF"/>
      <color rgb="FFDAD7CD"/>
      <color rgb="FF009B77"/>
      <color rgb="FFF4D0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D1F3C"/>
                </a:solidFill>
                <a:latin typeface="Segoe UI" panose="020B0502040204020203" pitchFamily="34" charset="0"/>
                <a:ea typeface="+mn-ea"/>
                <a:cs typeface="Segoe UI" panose="020B0502040204020203" pitchFamily="34" charset="0"/>
              </a:defRPr>
            </a:pPr>
            <a:r>
              <a:rPr lang="en-US" b="1"/>
              <a:t>Drivers of Churn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D1F3C"/>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0.16757121183647239"/>
          <c:y val="0.15642918389942687"/>
          <c:w val="0.80193193688660658"/>
          <c:h val="0.6824388902578421"/>
        </c:manualLayout>
      </c:layout>
      <c:scatterChart>
        <c:scatterStyle val="lineMarker"/>
        <c:varyColors val="0"/>
        <c:ser>
          <c:idx val="0"/>
          <c:order val="0"/>
          <c:tx>
            <c:v>Drivers</c:v>
          </c:tx>
          <c:spPr>
            <a:ln w="38100" cap="rnd">
              <a:noFill/>
              <a:round/>
            </a:ln>
            <a:effectLst/>
          </c:spPr>
          <c:marker>
            <c:symbol val="circle"/>
            <c:size val="5"/>
            <c:spPr>
              <a:solidFill>
                <a:schemeClr val="accent1"/>
              </a:solidFill>
              <a:ln w="9525">
                <a:solidFill>
                  <a:schemeClr val="accent1"/>
                </a:solidFill>
              </a:ln>
              <a:effectLst/>
            </c:spPr>
          </c:marker>
          <c:dPt>
            <c:idx val="0"/>
            <c:marker>
              <c:symbol val="circle"/>
              <c:size val="5"/>
              <c:spPr>
                <a:solidFill>
                  <a:srgbClr val="9CA3AF"/>
                </a:solidFill>
                <a:ln w="9525">
                  <a:solidFill>
                    <a:srgbClr val="9CA3AF"/>
                  </a:solidFill>
                </a:ln>
                <a:effectLst/>
              </c:spPr>
            </c:marker>
            <c:bubble3D val="0"/>
            <c:extLst>
              <c:ext xmlns:c16="http://schemas.microsoft.com/office/drawing/2014/chart" uri="{C3380CC4-5D6E-409C-BE32-E72D297353CC}">
                <c16:uniqueId val="{00000008-DDDE-47DB-9B39-F4A43244C911}"/>
              </c:ext>
            </c:extLst>
          </c:dPt>
          <c:dPt>
            <c:idx val="1"/>
            <c:marker>
              <c:symbol val="circle"/>
              <c:size val="5"/>
              <c:spPr>
                <a:solidFill>
                  <a:srgbClr val="9CA3AF"/>
                </a:solidFill>
                <a:ln w="9525">
                  <a:solidFill>
                    <a:srgbClr val="9CA3AF"/>
                  </a:solidFill>
                </a:ln>
                <a:effectLst/>
              </c:spPr>
            </c:marker>
            <c:bubble3D val="0"/>
            <c:extLst>
              <c:ext xmlns:c16="http://schemas.microsoft.com/office/drawing/2014/chart" uri="{C3380CC4-5D6E-409C-BE32-E72D297353CC}">
                <c16:uniqueId val="{00000009-DDDE-47DB-9B39-F4A43244C911}"/>
              </c:ext>
            </c:extLst>
          </c:dPt>
          <c:dPt>
            <c:idx val="2"/>
            <c:marker>
              <c:symbol val="circle"/>
              <c:size val="5"/>
              <c:spPr>
                <a:solidFill>
                  <a:srgbClr val="009B77"/>
                </a:solidFill>
                <a:ln w="9525">
                  <a:solidFill>
                    <a:srgbClr val="0E7C7B"/>
                  </a:solidFill>
                </a:ln>
                <a:effectLst/>
              </c:spPr>
            </c:marker>
            <c:bubble3D val="0"/>
            <c:extLst>
              <c:ext xmlns:c16="http://schemas.microsoft.com/office/drawing/2014/chart" uri="{C3380CC4-5D6E-409C-BE32-E72D297353CC}">
                <c16:uniqueId val="{0000000A-DDDE-47DB-9B39-F4A43244C911}"/>
              </c:ext>
            </c:extLst>
          </c:dPt>
          <c:errBars>
            <c:errDir val="y"/>
            <c:errBarType val="both"/>
            <c:errValType val="cust"/>
            <c:noEndCap val="0"/>
            <c:plus>
              <c:numRef>
                <c:f>'Segment 2 Analysis'!$M$20:$M$22</c:f>
                <c:numCache>
                  <c:formatCode>General</c:formatCode>
                  <c:ptCount val="3"/>
                  <c:pt idx="0">
                    <c:v>5.4366000000000025E-2</c:v>
                  </c:pt>
                  <c:pt idx="1">
                    <c:v>2.5771999999999906E-2</c:v>
                  </c:pt>
                  <c:pt idx="2">
                    <c:v>6.2013000000000096E-2</c:v>
                  </c:pt>
                </c:numCache>
              </c:numRef>
            </c:plus>
            <c:minus>
              <c:numRef>
                <c:f>'Segment 2 Analysis'!$L$20:$L$22</c:f>
                <c:numCache>
                  <c:formatCode>General</c:formatCode>
                  <c:ptCount val="3"/>
                  <c:pt idx="0">
                    <c:v>5.2769999999999984E-2</c:v>
                  </c:pt>
                  <c:pt idx="1">
                    <c:v>2.4088000000000109E-2</c:v>
                  </c:pt>
                  <c:pt idx="2">
                    <c:v>5.7682000000000011E-2</c:v>
                  </c:pt>
                </c:numCache>
              </c:numRef>
            </c:minus>
            <c:spPr>
              <a:noFill/>
              <a:ln w="9525" cap="flat" cmpd="sng" algn="ctr">
                <a:solidFill>
                  <a:schemeClr val="tx1">
                    <a:lumMod val="65000"/>
                    <a:lumOff val="35000"/>
                  </a:schemeClr>
                </a:solidFill>
                <a:round/>
              </a:ln>
              <a:effectLst/>
            </c:spPr>
          </c:errBars>
          <c:xVal>
            <c:strRef>
              <c:f>'Segment 2 Analysis'!$G$20:$G$22</c:f>
              <c:strCache>
                <c:ptCount val="3"/>
                <c:pt idx="0">
                  <c:v>Product_Reviews_Written</c:v>
                </c:pt>
                <c:pt idx="1">
                  <c:v>Returns_Rate</c:v>
                </c:pt>
                <c:pt idx="2">
                  <c:v>Customer_Service_Calls</c:v>
                </c:pt>
              </c:strCache>
            </c:strRef>
          </c:xVal>
          <c:yVal>
            <c:numRef>
              <c:f>'Segment 2 Analysis'!$H$20:$H$22</c:f>
              <c:numCache>
                <c:formatCode>0.00%</c:formatCode>
                <c:ptCount val="3"/>
                <c:pt idx="0">
                  <c:v>-8.8539000000000034E-2</c:v>
                </c:pt>
                <c:pt idx="1">
                  <c:v>4.9641000000000046E-2</c:v>
                </c:pt>
                <c:pt idx="2">
                  <c:v>0.24573800000000001</c:v>
                </c:pt>
              </c:numCache>
            </c:numRef>
          </c:yVal>
          <c:smooth val="0"/>
          <c:extLst>
            <c:ext xmlns:c16="http://schemas.microsoft.com/office/drawing/2014/chart" uri="{C3380CC4-5D6E-409C-BE32-E72D297353CC}">
              <c16:uniqueId val="{00000000-DDDE-47DB-9B39-F4A43244C911}"/>
            </c:ext>
          </c:extLst>
        </c:ser>
        <c:ser>
          <c:idx val="1"/>
          <c:order val="1"/>
          <c:tx>
            <c:strRef>
              <c:f>'Segment 2 Analysis'!$G$41</c:f>
              <c:strCache>
                <c:ptCount val="1"/>
                <c:pt idx="0">
                  <c:v>x-axis</c:v>
                </c:pt>
              </c:strCache>
            </c:strRef>
          </c:tx>
          <c:spPr>
            <a:ln w="12700" cap="rnd">
              <a:solidFill>
                <a:srgbClr val="0D1F3C"/>
              </a:solidFill>
              <a:prstDash val="sysDash"/>
              <a:round/>
            </a:ln>
            <a:effectLst/>
          </c:spPr>
          <c:marker>
            <c:symbol val="none"/>
          </c:marker>
          <c:xVal>
            <c:numRef>
              <c:f>'Segment 2 Analysis'!$H$41:$H$42</c:f>
              <c:numCache>
                <c:formatCode>General</c:formatCode>
                <c:ptCount val="2"/>
                <c:pt idx="0">
                  <c:v>0</c:v>
                </c:pt>
                <c:pt idx="1">
                  <c:v>4</c:v>
                </c:pt>
              </c:numCache>
            </c:numRef>
          </c:xVal>
          <c:yVal>
            <c:numRef>
              <c:f>'Segment 2 Analysis'!$I$41:$I$42</c:f>
              <c:numCache>
                <c:formatCode>General</c:formatCode>
                <c:ptCount val="2"/>
                <c:pt idx="0">
                  <c:v>0</c:v>
                </c:pt>
                <c:pt idx="1">
                  <c:v>0</c:v>
                </c:pt>
              </c:numCache>
            </c:numRef>
          </c:yVal>
          <c:smooth val="0"/>
          <c:extLst>
            <c:ext xmlns:c16="http://schemas.microsoft.com/office/drawing/2014/chart" uri="{C3380CC4-5D6E-409C-BE32-E72D297353CC}">
              <c16:uniqueId val="{0000000B-DDDE-47DB-9B39-F4A43244C911}"/>
            </c:ext>
          </c:extLst>
        </c:ser>
        <c:dLbls>
          <c:showLegendKey val="0"/>
          <c:showVal val="0"/>
          <c:showCatName val="0"/>
          <c:showSerName val="0"/>
          <c:showPercent val="0"/>
          <c:showBubbleSize val="0"/>
        </c:dLbls>
        <c:axId val="1249851551"/>
        <c:axId val="1249849631"/>
      </c:scatterChart>
      <c:valAx>
        <c:axId val="1249851551"/>
        <c:scaling>
          <c:orientation val="minMax"/>
          <c:max val="4"/>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rgbClr val="0D1F3C"/>
                    </a:solidFill>
                    <a:latin typeface="Segoe UI" panose="020B0502040204020203" pitchFamily="34" charset="0"/>
                    <a:ea typeface="+mn-ea"/>
                    <a:cs typeface="Segoe UI" panose="020B0502040204020203" pitchFamily="34" charset="0"/>
                  </a:defRPr>
                </a:pPr>
                <a:r>
                  <a:rPr lang="en-US" b="1"/>
                  <a:t>Drivers</a:t>
                </a:r>
              </a:p>
            </c:rich>
          </c:tx>
          <c:layout>
            <c:manualLayout>
              <c:xMode val="edge"/>
              <c:yMode val="edge"/>
              <c:x val="0.50941131243618765"/>
              <c:y val="0.9295091919058808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D1F3C"/>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crossAx val="1249849631"/>
        <c:crosses val="autoZero"/>
        <c:crossBetween val="midCat"/>
        <c:majorUnit val="1"/>
      </c:valAx>
      <c:valAx>
        <c:axId val="124984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0D1F3C"/>
                    </a:solidFill>
                    <a:latin typeface="Segoe UI" panose="020B0502040204020203" pitchFamily="34" charset="0"/>
                    <a:ea typeface="+mn-ea"/>
                    <a:cs typeface="Segoe UI" panose="020B0502040204020203" pitchFamily="34" charset="0"/>
                  </a:defRPr>
                </a:pPr>
                <a:r>
                  <a:rPr lang="en-US" b="1"/>
                  <a:t>Change in Liklihood</a:t>
                </a:r>
                <a:r>
                  <a:rPr lang="en-US" b="1" baseline="0"/>
                  <a:t> of Churn</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D1F3C"/>
                  </a:solidFill>
                  <a:latin typeface="Segoe UI" panose="020B0502040204020203" pitchFamily="34" charset="0"/>
                  <a:ea typeface="+mn-ea"/>
                  <a:cs typeface="Segoe UI" panose="020B0502040204020203"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D1F3C"/>
                </a:solidFill>
                <a:latin typeface="Segoe UI" panose="020B0502040204020203" pitchFamily="34" charset="0"/>
                <a:ea typeface="+mn-ea"/>
                <a:cs typeface="Segoe UI" panose="020B0502040204020203" pitchFamily="34" charset="0"/>
              </a:defRPr>
            </a:pPr>
            <a:endParaRPr lang="en-US"/>
          </a:p>
        </c:txPr>
        <c:crossAx val="1249851551"/>
        <c:crossesAt val="0"/>
        <c:crossBetween val="midCat"/>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D1F3C"/>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D1F3C"/>
                </a:solidFill>
                <a:latin typeface="Segoe UI" panose="020B0502040204020203" pitchFamily="34" charset="0"/>
                <a:ea typeface="+mn-ea"/>
                <a:cs typeface="Segoe UI" panose="020B0502040204020203" pitchFamily="34" charset="0"/>
              </a:defRPr>
            </a:pPr>
            <a:r>
              <a:rPr lang="en-US" sz="1100" b="1"/>
              <a:t>Customer Engagement Preferences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1F3C"/>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CA3AF"/>
              </a:solidFill>
              <a:ln>
                <a:noFill/>
              </a:ln>
              <a:effectLst/>
            </c:spPr>
            <c:extLst>
              <c:ext xmlns:c16="http://schemas.microsoft.com/office/drawing/2014/chart" uri="{C3380CC4-5D6E-409C-BE32-E72D297353CC}">
                <c16:uniqueId val="{00000001-F00C-4C59-BF64-2CF41BFB5EFA}"/>
              </c:ext>
            </c:extLst>
          </c:dPt>
          <c:dPt>
            <c:idx val="1"/>
            <c:invertIfNegative val="0"/>
            <c:bubble3D val="0"/>
            <c:spPr>
              <a:solidFill>
                <a:srgbClr val="0D1F3C"/>
              </a:solidFill>
              <a:ln>
                <a:noFill/>
              </a:ln>
              <a:effectLst/>
            </c:spPr>
            <c:extLst>
              <c:ext xmlns:c16="http://schemas.microsoft.com/office/drawing/2014/chart" uri="{C3380CC4-5D6E-409C-BE32-E72D297353CC}">
                <c16:uniqueId val="{00000002-F00C-4C59-BF64-2CF41BFB5EFA}"/>
              </c:ext>
            </c:extLst>
          </c:dPt>
          <c:dPt>
            <c:idx val="2"/>
            <c:invertIfNegative val="0"/>
            <c:bubble3D val="0"/>
            <c:spPr>
              <a:solidFill>
                <a:srgbClr val="0E7C7B"/>
              </a:solidFill>
              <a:ln>
                <a:noFill/>
              </a:ln>
              <a:effectLst/>
            </c:spPr>
            <c:extLst>
              <c:ext xmlns:c16="http://schemas.microsoft.com/office/drawing/2014/chart" uri="{C3380CC4-5D6E-409C-BE32-E72D297353CC}">
                <c16:uniqueId val="{00000003-F00C-4C59-BF64-2CF41BFB5EFA}"/>
              </c:ext>
            </c:extLst>
          </c:dPt>
          <c:cat>
            <c:strRef>
              <c:f>'Segment 2 Analysis'!$A$12:$A$14</c:f>
              <c:strCache>
                <c:ptCount val="3"/>
                <c:pt idx="0">
                  <c:v>Social Media Engagement Score</c:v>
                </c:pt>
                <c:pt idx="1">
                  <c:v>Email Open Rate</c:v>
                </c:pt>
                <c:pt idx="2">
                  <c:v>Mobile App Usage</c:v>
                </c:pt>
              </c:strCache>
            </c:strRef>
          </c:cat>
          <c:val>
            <c:numRef>
              <c:f>'Segment 2 Analysis'!$B$12:$B$14</c:f>
              <c:numCache>
                <c:formatCode>General</c:formatCode>
                <c:ptCount val="3"/>
                <c:pt idx="0">
                  <c:v>8.1809185000000006</c:v>
                </c:pt>
                <c:pt idx="1">
                  <c:v>31.461770000000001</c:v>
                </c:pt>
                <c:pt idx="2">
                  <c:v>48.466166999999999</c:v>
                </c:pt>
              </c:numCache>
            </c:numRef>
          </c:val>
          <c:extLst>
            <c:ext xmlns:c16="http://schemas.microsoft.com/office/drawing/2014/chart" uri="{C3380CC4-5D6E-409C-BE32-E72D297353CC}">
              <c16:uniqueId val="{00000000-F00C-4C59-BF64-2CF41BFB5EFA}"/>
            </c:ext>
          </c:extLst>
        </c:ser>
        <c:dLbls>
          <c:showLegendKey val="0"/>
          <c:showVal val="0"/>
          <c:showCatName val="0"/>
          <c:showSerName val="0"/>
          <c:showPercent val="0"/>
          <c:showBubbleSize val="0"/>
        </c:dLbls>
        <c:gapWidth val="219"/>
        <c:overlap val="-27"/>
        <c:axId val="1381416799"/>
        <c:axId val="1381417279"/>
      </c:barChart>
      <c:catAx>
        <c:axId val="138141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1F3C"/>
                </a:solidFill>
                <a:latin typeface="Segoe UI" panose="020B0502040204020203" pitchFamily="34" charset="0"/>
                <a:ea typeface="+mn-ea"/>
                <a:cs typeface="Segoe UI" panose="020B0502040204020203" pitchFamily="34" charset="0"/>
              </a:defRPr>
            </a:pPr>
            <a:endParaRPr lang="en-US"/>
          </a:p>
        </c:txPr>
        <c:crossAx val="1381417279"/>
        <c:crosses val="autoZero"/>
        <c:auto val="1"/>
        <c:lblAlgn val="ctr"/>
        <c:lblOffset val="100"/>
        <c:noMultiLvlLbl val="0"/>
      </c:catAx>
      <c:valAx>
        <c:axId val="1381417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D1F3C"/>
                    </a:solidFill>
                    <a:latin typeface="Segoe UI" panose="020B0502040204020203" pitchFamily="34" charset="0"/>
                    <a:ea typeface="+mn-ea"/>
                    <a:cs typeface="Segoe UI" panose="020B0502040204020203" pitchFamily="34" charset="0"/>
                  </a:defRPr>
                </a:pPr>
                <a:r>
                  <a:rPr lang="en-US" b="1"/>
                  <a:t>CLV</a:t>
                </a:r>
                <a:r>
                  <a:rPr lang="en-US" b="1" baseline="0"/>
                  <a:t> Lift per Unit Increase in Driver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D1F3C"/>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1F3C"/>
                </a:solidFill>
                <a:latin typeface="Segoe UI" panose="020B0502040204020203" pitchFamily="34" charset="0"/>
                <a:ea typeface="+mn-ea"/>
                <a:cs typeface="Segoe UI" panose="020B0502040204020203" pitchFamily="34" charset="0"/>
              </a:defRPr>
            </a:pPr>
            <a:endParaRPr lang="en-US"/>
          </a:p>
        </c:txPr>
        <c:crossAx val="1381416799"/>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D1F3C"/>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Segoe UI" panose="020B0502040204020203" pitchFamily="34" charset="0"/>
                <a:ea typeface="+mn-ea"/>
                <a:cs typeface="Segoe UI" panose="020B0502040204020203" pitchFamily="34" charset="0"/>
              </a:defRPr>
            </a:pPr>
            <a:r>
              <a:rPr lang="en-US" b="1"/>
              <a:t>Churn Rates by Service 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Segoe UI" panose="020B0502040204020203" pitchFamily="34" charset="0"/>
              <a:ea typeface="+mn-ea"/>
              <a:cs typeface="Segoe UI" panose="020B0502040204020203" pitchFamily="34" charset="0"/>
            </a:defRPr>
          </a:pPr>
          <a:endParaRPr lang="en-US"/>
        </a:p>
      </c:txPr>
    </c:title>
    <c:autoTitleDeleted val="0"/>
    <c:plotArea>
      <c:layout/>
      <c:lineChart>
        <c:grouping val="standard"/>
        <c:varyColors val="0"/>
        <c:ser>
          <c:idx val="0"/>
          <c:order val="0"/>
          <c:tx>
            <c:strRef>
              <c:f>'Churn by Service Calls'!$E$1</c:f>
              <c:strCache>
                <c:ptCount val="1"/>
                <c:pt idx="0">
                  <c:v>Target Segment</c:v>
                </c:pt>
              </c:strCache>
            </c:strRef>
          </c:tx>
          <c:spPr>
            <a:ln w="28575" cap="rnd">
              <a:solidFill>
                <a:srgbClr val="009B77"/>
              </a:solidFill>
              <a:round/>
            </a:ln>
            <a:effectLst/>
          </c:spPr>
          <c:marker>
            <c:symbol val="none"/>
          </c:marker>
          <c:dPt>
            <c:idx val="6"/>
            <c:marker>
              <c:symbol val="square"/>
              <c:size val="5"/>
              <c:spPr>
                <a:solidFill>
                  <a:srgbClr val="009B77"/>
                </a:solidFill>
                <a:ln w="9525">
                  <a:solidFill>
                    <a:srgbClr val="009B77"/>
                  </a:solidFill>
                </a:ln>
                <a:effectLst/>
              </c:spPr>
            </c:marker>
            <c:bubble3D val="0"/>
            <c:extLst>
              <c:ext xmlns:c16="http://schemas.microsoft.com/office/drawing/2014/chart" uri="{C3380CC4-5D6E-409C-BE32-E72D297353CC}">
                <c16:uniqueId val="{00000003-5860-418A-B0D7-E37F7DA67907}"/>
              </c:ext>
            </c:extLst>
          </c:dPt>
          <c:dLbls>
            <c:dLbl>
              <c:idx val="6"/>
              <c:layout>
                <c:manualLayout>
                  <c:x val="-0.1111111111111111"/>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60-418A-B0D7-E37F7DA6790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'Churn by Service Calls'!$D$2:$D$32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'Churn by Service Calls'!$E$2:$E$32</c:f>
              <c:numCache>
                <c:formatCode>0%</c:formatCode>
                <c:ptCount val="31"/>
                <c:pt idx="0">
                  <c:v>4.6122264896523262E-2</c:v>
                </c:pt>
                <c:pt idx="1">
                  <c:v>7.1915449674709545E-2</c:v>
                </c:pt>
                <c:pt idx="2">
                  <c:v>0.11046267960949488</c:v>
                </c:pt>
                <c:pt idx="3">
                  <c:v>0.16597644564610267</c:v>
                </c:pt>
                <c:pt idx="4">
                  <c:v>0.24180522225402629</c:v>
                </c:pt>
                <c:pt idx="5">
                  <c:v>0.33822823758477893</c:v>
                </c:pt>
                <c:pt idx="6">
                  <c:v>0.45026703605591289</c:v>
                </c:pt>
                <c:pt idx="7">
                  <c:v>0.56758780219369531</c:v>
                </c:pt>
                <c:pt idx="8">
                  <c:v>0.67778784697715455</c:v>
                </c:pt>
                <c:pt idx="9">
                  <c:v>0.77122340289155022</c:v>
                </c:pt>
                <c:pt idx="10">
                  <c:v>0.84380815013407673</c:v>
                </c:pt>
                <c:pt idx="11">
                  <c:v>0.89645558332343978</c:v>
                </c:pt>
                <c:pt idx="12">
                  <c:v>0.93277106497549089</c:v>
                </c:pt>
                <c:pt idx="13">
                  <c:v>0.95696133291500618</c:v>
                </c:pt>
                <c:pt idx="14">
                  <c:v>0.97270220428146792</c:v>
                </c:pt>
                <c:pt idx="15">
                  <c:v>0.98278957959594437</c:v>
                </c:pt>
                <c:pt idx="16">
                  <c:v>0.98919078255222259</c:v>
                </c:pt>
                <c:pt idx="17">
                  <c:v>0.99322754381342238</c:v>
                </c:pt>
                <c:pt idx="18">
                  <c:v>0.99576321151325498</c:v>
                </c:pt>
                <c:pt idx="19">
                  <c:v>0.99735203378131387</c:v>
                </c:pt>
                <c:pt idx="20">
                  <c:v>0.99834602738927369</c:v>
                </c:pt>
                <c:pt idx="21">
                  <c:v>0.99896728201466967</c:v>
                </c:pt>
                <c:pt idx="22">
                  <c:v>0.99935533562939782</c:v>
                </c:pt>
                <c:pt idx="23">
                  <c:v>0.99959763313573513</c:v>
                </c:pt>
                <c:pt idx="24">
                  <c:v>0.99974888585611232</c:v>
                </c:pt>
                <c:pt idx="25">
                  <c:v>0.99984329045875098</c:v>
                </c:pt>
                <c:pt idx="26">
                  <c:v>0.99990220778418626</c:v>
                </c:pt>
                <c:pt idx="27">
                  <c:v>0.99993897560076228</c:v>
                </c:pt>
                <c:pt idx="28">
                  <c:v>0.99996192001799911</c:v>
                </c:pt>
                <c:pt idx="29">
                  <c:v>0.99997623782393552</c:v>
                </c:pt>
                <c:pt idx="30">
                  <c:v>0.99998517231516759</c:v>
                </c:pt>
              </c:numCache>
            </c:numRef>
          </c:val>
          <c:smooth val="0"/>
          <c:extLst>
            <c:ext xmlns:c16="http://schemas.microsoft.com/office/drawing/2014/chart" uri="{C3380CC4-5D6E-409C-BE32-E72D297353CC}">
              <c16:uniqueId val="{00000000-5860-418A-B0D7-E37F7DA67907}"/>
            </c:ext>
          </c:extLst>
        </c:ser>
        <c:ser>
          <c:idx val="1"/>
          <c:order val="1"/>
          <c:tx>
            <c:strRef>
              <c:f>'Churn by Service Calls'!$F$1</c:f>
              <c:strCache>
                <c:ptCount val="1"/>
                <c:pt idx="0">
                  <c:v>Sample Average</c:v>
                </c:pt>
              </c:strCache>
            </c:strRef>
          </c:tx>
          <c:spPr>
            <a:ln w="28575" cap="rnd">
              <a:solidFill>
                <a:srgbClr val="F4D03F"/>
              </a:solidFill>
              <a:round/>
            </a:ln>
            <a:effectLst/>
          </c:spPr>
          <c:marker>
            <c:symbol val="none"/>
          </c:marker>
          <c:dPt>
            <c:idx val="6"/>
            <c:marker>
              <c:symbol val="square"/>
              <c:size val="5"/>
              <c:spPr>
                <a:solidFill>
                  <a:srgbClr val="F4D03F"/>
                </a:solidFill>
                <a:ln w="9525">
                  <a:solidFill>
                    <a:srgbClr val="F4D03F"/>
                  </a:solidFill>
                </a:ln>
                <a:effectLst/>
              </c:spPr>
            </c:marker>
            <c:bubble3D val="0"/>
            <c:extLst>
              <c:ext xmlns:c16="http://schemas.microsoft.com/office/drawing/2014/chart" uri="{C3380CC4-5D6E-409C-BE32-E72D297353CC}">
                <c16:uniqueId val="{00000004-5860-418A-B0D7-E37F7DA67907}"/>
              </c:ext>
            </c:extLst>
          </c:dPt>
          <c:dLbls>
            <c:dLbl>
              <c:idx val="6"/>
              <c:layout>
                <c:manualLayout>
                  <c:x val="0"/>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60-418A-B0D7-E37F7DA6790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'Churn by Service Calls'!$D$2:$D$32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'Churn by Service Calls'!$F$2:$F$32</c:f>
              <c:numCache>
                <c:formatCode>0%</c:formatCode>
                <c:ptCount val="31"/>
                <c:pt idx="0">
                  <c:v>7.7971482662308758E-2</c:v>
                </c:pt>
                <c:pt idx="1">
                  <c:v>9.9154358606605111E-2</c:v>
                </c:pt>
                <c:pt idx="2">
                  <c:v>0.1253099617132756</c:v>
                </c:pt>
                <c:pt idx="3">
                  <c:v>0.15716137984288084</c:v>
                </c:pt>
                <c:pt idx="4">
                  <c:v>0.19530114085413897</c:v>
                </c:pt>
                <c:pt idx="5">
                  <c:v>0.24006037228722066</c:v>
                </c:pt>
                <c:pt idx="6">
                  <c:v>0.29136337871636897</c:v>
                </c:pt>
                <c:pt idx="7">
                  <c:v>0.34860090598656812</c:v>
                </c:pt>
                <c:pt idx="8">
                  <c:v>0.41056797931187528</c:v>
                </c:pt>
                <c:pt idx="9">
                  <c:v>0.47550936642844438</c:v>
                </c:pt>
                <c:pt idx="10">
                  <c:v>0.54128973246654832</c:v>
                </c:pt>
                <c:pt idx="11">
                  <c:v>0.60566179098775097</c:v>
                </c:pt>
                <c:pt idx="12">
                  <c:v>0.66656499212464793</c:v>
                </c:pt>
                <c:pt idx="13">
                  <c:v>0.72237368791927947</c:v>
                </c:pt>
                <c:pt idx="14">
                  <c:v>0.7720360001212665</c:v>
                </c:pt>
                <c:pt idx="15">
                  <c:v>0.81508864859976826</c:v>
                </c:pt>
                <c:pt idx="16">
                  <c:v>0.85157366577854265</c:v>
                </c:pt>
                <c:pt idx="17">
                  <c:v>0.88190283107307776</c:v>
                </c:pt>
                <c:pt idx="18">
                  <c:v>0.90671349146974245</c:v>
                </c:pt>
                <c:pt idx="19">
                  <c:v>0.92674472628145343</c:v>
                </c:pt>
                <c:pt idx="20">
                  <c:v>0.94274629232058349</c:v>
                </c:pt>
                <c:pt idx="21">
                  <c:v>0.95542068077767706</c:v>
                </c:pt>
                <c:pt idx="22">
                  <c:v>0.96539230779893415</c:v>
                </c:pt>
                <c:pt idx="23">
                  <c:v>0.9731960286774447</c:v>
                </c:pt>
                <c:pt idx="24">
                  <c:v>0.97927785252061428</c:v>
                </c:pt>
                <c:pt idx="25">
                  <c:v>0.98400239409553192</c:v>
                </c:pt>
                <c:pt idx="26">
                  <c:v>0.98766333471978018</c:v>
                </c:pt>
                <c:pt idx="27">
                  <c:v>0.99049458751410779</c:v>
                </c:pt>
                <c:pt idx="28">
                  <c:v>0.99268088566247259</c:v>
                </c:pt>
                <c:pt idx="29">
                  <c:v>0.99436718268865598</c:v>
                </c:pt>
                <c:pt idx="30">
                  <c:v>0.99566665906978657</c:v>
                </c:pt>
              </c:numCache>
            </c:numRef>
          </c:val>
          <c:smooth val="0"/>
          <c:extLst>
            <c:ext xmlns:c16="http://schemas.microsoft.com/office/drawing/2014/chart" uri="{C3380CC4-5D6E-409C-BE32-E72D297353CC}">
              <c16:uniqueId val="{00000001-5860-418A-B0D7-E37F7DA67907}"/>
            </c:ext>
          </c:extLst>
        </c:ser>
        <c:dLbls>
          <c:showLegendKey val="0"/>
          <c:showVal val="0"/>
          <c:showCatName val="0"/>
          <c:showSerName val="0"/>
          <c:showPercent val="0"/>
          <c:showBubbleSize val="0"/>
        </c:dLbls>
        <c:smooth val="0"/>
        <c:axId val="2020465679"/>
        <c:axId val="2020449839"/>
      </c:lineChart>
      <c:catAx>
        <c:axId val="202046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r>
                  <a:rPr lang="en-US"/>
                  <a:t>Number of Service Calls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020449839"/>
        <c:crosses val="autoZero"/>
        <c:auto val="1"/>
        <c:lblAlgn val="ctr"/>
        <c:lblOffset val="100"/>
        <c:tickLblSkip val="3"/>
        <c:tickMarkSkip val="1"/>
        <c:noMultiLvlLbl val="0"/>
      </c:catAx>
      <c:valAx>
        <c:axId val="202044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r>
                  <a:rPr lang="en-US"/>
                  <a:t>Probability of Churn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020465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168086</xdr:colOff>
      <xdr:row>16</xdr:row>
      <xdr:rowOff>128125</xdr:rowOff>
    </xdr:from>
    <xdr:to>
      <xdr:col>22</xdr:col>
      <xdr:colOff>384657</xdr:colOff>
      <xdr:row>33</xdr:row>
      <xdr:rowOff>34669</xdr:rowOff>
    </xdr:to>
    <xdr:graphicFrame macro="">
      <xdr:nvGraphicFramePr>
        <xdr:cNvPr id="2" name="Chart 1">
          <a:extLst>
            <a:ext uri="{FF2B5EF4-FFF2-40B4-BE49-F238E27FC236}">
              <a16:creationId xmlns:a16="http://schemas.microsoft.com/office/drawing/2014/main" id="{FDC88B84-CC46-F09A-ED4E-1AE9B3E9A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463485</xdr:colOff>
      <xdr:row>27</xdr:row>
      <xdr:rowOff>62060</xdr:rowOff>
    </xdr:from>
    <xdr:to>
      <xdr:col>4</xdr:col>
      <xdr:colOff>172825</xdr:colOff>
      <xdr:row>42</xdr:row>
      <xdr:rowOff>95054</xdr:rowOff>
    </xdr:to>
    <xdr:graphicFrame macro="">
      <xdr:nvGraphicFramePr>
        <xdr:cNvPr id="3" name="Chart 2">
          <a:extLst>
            <a:ext uri="{FF2B5EF4-FFF2-40B4-BE49-F238E27FC236}">
              <a16:creationId xmlns:a16="http://schemas.microsoft.com/office/drawing/2014/main" id="{8D11DF1A-5038-1F12-AB46-8EECE5AE3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0.29695</cdr:x>
      <cdr:y>0.90841</cdr:y>
    </cdr:from>
    <cdr:to>
      <cdr:x>0.40693</cdr:x>
      <cdr:y>0.94749</cdr:y>
    </cdr:to>
    <cdr:sp macro="" textlink="">
      <cdr:nvSpPr>
        <cdr:cNvPr id="2" name="TextBox 1">
          <a:extLst xmlns:a="http://schemas.openxmlformats.org/drawingml/2006/main">
            <a:ext uri="{FF2B5EF4-FFF2-40B4-BE49-F238E27FC236}">
              <a16:creationId xmlns:a16="http://schemas.microsoft.com/office/drawing/2014/main" id="{BA3E4D16-1A12-F003-18C6-5EC93D0D55B7}"/>
            </a:ext>
          </a:extLst>
        </cdr:cNvPr>
        <cdr:cNvSpPr txBox="1"/>
      </cdr:nvSpPr>
      <cdr:spPr>
        <a:xfrm xmlns:a="http://schemas.openxmlformats.org/drawingml/2006/main">
          <a:off x="1360264" y="2488527"/>
          <a:ext cx="503802" cy="1070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7620</xdr:colOff>
      <xdr:row>1</xdr:row>
      <xdr:rowOff>3810</xdr:rowOff>
    </xdr:from>
    <xdr:to>
      <xdr:col>14</xdr:col>
      <xdr:colOff>312420</xdr:colOff>
      <xdr:row>16</xdr:row>
      <xdr:rowOff>3810</xdr:rowOff>
    </xdr:to>
    <xdr:graphicFrame macro="">
      <xdr:nvGraphicFramePr>
        <xdr:cNvPr id="2" name="Chart 1">
          <a:extLst>
            <a:ext uri="{FF2B5EF4-FFF2-40B4-BE49-F238E27FC236}">
              <a16:creationId xmlns:a16="http://schemas.microsoft.com/office/drawing/2014/main" id="{AC7F457D-5556-DD01-99D4-AD3D7031F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Commerce%20Dataset_Random%20Sample.xlsx" TargetMode="External"/><Relationship Id="rId2" Type="http://schemas.openxmlformats.org/officeDocument/2006/relationships/externalLinkPath" Target="file:///C:\Users\emily\Documents\eCommerce%20Dataset_Random%20Sample.xlsx" TargetMode="External"/><Relationship Id="rId1" Type="http://schemas.openxmlformats.org/officeDocument/2006/relationships/externalLinkPath" Target="/Users/emily/Documents/eCommerce%20Dataset_Random%20Sampl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mily\Documents\Product%20Management%20Portfolio\Customer%20Data%20with%20Clusters.xlsx" TargetMode="External"/><Relationship Id="rId1" Type="http://schemas.openxmlformats.org/officeDocument/2006/relationships/externalLinkPath" Target="Customer%20Data%20with%20Clust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stomer Data"/>
    </sheetNames>
    <sheetDataSet>
      <sheetData sheetId="0">
        <row r="1">
          <cell r="F1" t="str">
            <v>Login_Frequency</v>
          </cell>
          <cell r="G1" t="str">
            <v>Session_Duration_Avg</v>
          </cell>
          <cell r="H1" t="str">
            <v>Pages_Per_Session</v>
          </cell>
          <cell r="I1" t="str">
            <v>Cart_Abandonment_Rate</v>
          </cell>
          <cell r="J1" t="str">
            <v>Wishlist_Items</v>
          </cell>
          <cell r="K1" t="str">
            <v>Total_Purchases</v>
          </cell>
          <cell r="L1" t="str">
            <v>Average_Order_Value</v>
          </cell>
          <cell r="M1" t="str">
            <v>Days_Since_Last_Purchase</v>
          </cell>
          <cell r="N1" t="str">
            <v>Discount_Usage_Rate</v>
          </cell>
          <cell r="O1" t="str">
            <v>Returns_Rate</v>
          </cell>
          <cell r="P1" t="str">
            <v>Email_Open_Rate</v>
          </cell>
          <cell r="S1" t="str">
            <v>Social_Media_Engagement_Score</v>
          </cell>
          <cell r="T1" t="str">
            <v>Mobile_App_Usage</v>
          </cell>
          <cell r="U1" t="str">
            <v>Payment_Method_Diversity</v>
          </cell>
        </row>
        <row r="2">
          <cell r="B2" t="str">
            <v>Male</v>
          </cell>
          <cell r="F2">
            <v>17</v>
          </cell>
          <cell r="G2">
            <v>27.6</v>
          </cell>
          <cell r="H2">
            <v>14.1</v>
          </cell>
          <cell r="I2">
            <v>42.1</v>
          </cell>
          <cell r="J2">
            <v>3</v>
          </cell>
          <cell r="K2">
            <v>19.5</v>
          </cell>
          <cell r="L2">
            <v>172.03</v>
          </cell>
          <cell r="M2">
            <v>1</v>
          </cell>
          <cell r="N2">
            <v>40.799999999999997</v>
          </cell>
          <cell r="O2">
            <v>7.2</v>
          </cell>
          <cell r="P2">
            <v>13.1</v>
          </cell>
          <cell r="S2">
            <v>32.799999999999997</v>
          </cell>
          <cell r="T2">
            <v>19.899999999999999</v>
          </cell>
          <cell r="U2">
            <v>1</v>
          </cell>
        </row>
        <row r="3">
          <cell r="B3" t="str">
            <v>Male</v>
          </cell>
          <cell r="F3">
            <v>0</v>
          </cell>
          <cell r="G3">
            <v>30.2</v>
          </cell>
          <cell r="H3">
            <v>10.1</v>
          </cell>
          <cell r="I3">
            <v>64.3</v>
          </cell>
          <cell r="J3">
            <v>4</v>
          </cell>
          <cell r="K3">
            <v>7</v>
          </cell>
          <cell r="L3">
            <v>122.66</v>
          </cell>
          <cell r="M3">
            <v>10</v>
          </cell>
          <cell r="N3">
            <v>34.1</v>
          </cell>
          <cell r="O3">
            <v>0.9</v>
          </cell>
          <cell r="P3">
            <v>27.1</v>
          </cell>
          <cell r="S3">
            <v>13.6</v>
          </cell>
          <cell r="T3">
            <v>20.2</v>
          </cell>
          <cell r="U3">
            <v>2</v>
          </cell>
        </row>
        <row r="4">
          <cell r="B4" t="str">
            <v>Female</v>
          </cell>
          <cell r="F4">
            <v>9</v>
          </cell>
          <cell r="G4">
            <v>27.6</v>
          </cell>
          <cell r="H4">
            <v>9.9</v>
          </cell>
          <cell r="I4">
            <v>50.2</v>
          </cell>
          <cell r="J4">
            <v>6</v>
          </cell>
          <cell r="K4">
            <v>20.8</v>
          </cell>
          <cell r="L4">
            <v>62.59</v>
          </cell>
          <cell r="M4">
            <v>22</v>
          </cell>
          <cell r="N4" t="str">
            <v>98.39999999999999</v>
          </cell>
          <cell r="O4">
            <v>2.4</v>
          </cell>
          <cell r="S4">
            <v>44.6</v>
          </cell>
          <cell r="T4">
            <v>16.600000000000001</v>
          </cell>
          <cell r="U4">
            <v>3</v>
          </cell>
        </row>
        <row r="5">
          <cell r="B5" t="str">
            <v>Female</v>
          </cell>
          <cell r="F5">
            <v>5</v>
          </cell>
          <cell r="G5">
            <v>11.8</v>
          </cell>
          <cell r="H5">
            <v>3.9</v>
          </cell>
          <cell r="I5">
            <v>71.7</v>
          </cell>
          <cell r="J5">
            <v>1</v>
          </cell>
          <cell r="K5">
            <v>5</v>
          </cell>
          <cell r="L5">
            <v>132.78</v>
          </cell>
          <cell r="M5">
            <v>3</v>
          </cell>
          <cell r="N5">
            <v>40.6</v>
          </cell>
          <cell r="O5">
            <v>3.3</v>
          </cell>
          <cell r="P5">
            <v>16.3</v>
          </cell>
          <cell r="S5">
            <v>3.3</v>
          </cell>
          <cell r="U5">
            <v>2</v>
          </cell>
        </row>
        <row r="6">
          <cell r="B6" t="str">
            <v>Female</v>
          </cell>
          <cell r="F6">
            <v>10</v>
          </cell>
          <cell r="G6">
            <v>12.6</v>
          </cell>
          <cell r="H6">
            <v>2.2999999999999998</v>
          </cell>
          <cell r="I6">
            <v>79.8</v>
          </cell>
          <cell r="J6">
            <v>1</v>
          </cell>
          <cell r="K6">
            <v>15</v>
          </cell>
          <cell r="L6">
            <v>73.680000000000007</v>
          </cell>
          <cell r="M6">
            <v>8</v>
          </cell>
          <cell r="N6">
            <v>57.2</v>
          </cell>
          <cell r="O6">
            <v>2.6</v>
          </cell>
          <cell r="P6">
            <v>13.9</v>
          </cell>
          <cell r="S6">
            <v>0.8</v>
          </cell>
          <cell r="T6">
            <v>15.4</v>
          </cell>
          <cell r="U6">
            <v>2</v>
          </cell>
        </row>
        <row r="7">
          <cell r="B7" t="str">
            <v>Female</v>
          </cell>
          <cell r="F7">
            <v>4</v>
          </cell>
          <cell r="G7">
            <v>36.200000000000003</v>
          </cell>
          <cell r="H7">
            <v>9.6999999999999993</v>
          </cell>
          <cell r="I7">
            <v>48.8</v>
          </cell>
          <cell r="J7">
            <v>6</v>
          </cell>
          <cell r="K7">
            <v>10</v>
          </cell>
          <cell r="L7">
            <v>264.02</v>
          </cell>
          <cell r="N7">
            <v>33.299999999999997</v>
          </cell>
          <cell r="O7">
            <v>7.1</v>
          </cell>
          <cell r="P7">
            <v>23.8</v>
          </cell>
          <cell r="S7">
            <v>34.5</v>
          </cell>
          <cell r="U7">
            <v>2</v>
          </cell>
        </row>
        <row r="8">
          <cell r="B8" t="str">
            <v>Female</v>
          </cell>
          <cell r="F8">
            <v>9</v>
          </cell>
          <cell r="G8">
            <v>23</v>
          </cell>
          <cell r="H8">
            <v>4.3</v>
          </cell>
          <cell r="I8">
            <v>64.099999999999994</v>
          </cell>
          <cell r="J8">
            <v>4</v>
          </cell>
          <cell r="K8">
            <v>5</v>
          </cell>
          <cell r="L8">
            <v>72</v>
          </cell>
          <cell r="M8">
            <v>2</v>
          </cell>
          <cell r="N8">
            <v>46.3</v>
          </cell>
          <cell r="O8">
            <v>4.3</v>
          </cell>
          <cell r="P8">
            <v>6</v>
          </cell>
          <cell r="S8">
            <v>5.5</v>
          </cell>
          <cell r="T8">
            <v>13.6</v>
          </cell>
          <cell r="U8">
            <v>2</v>
          </cell>
        </row>
        <row r="9">
          <cell r="B9" t="str">
            <v>Female</v>
          </cell>
          <cell r="F9">
            <v>3</v>
          </cell>
          <cell r="G9">
            <v>6.9</v>
          </cell>
          <cell r="H9">
            <v>3.3</v>
          </cell>
          <cell r="I9">
            <v>73.5</v>
          </cell>
          <cell r="K9">
            <v>7</v>
          </cell>
          <cell r="L9">
            <v>66.55</v>
          </cell>
          <cell r="M9">
            <v>3</v>
          </cell>
          <cell r="N9">
            <v>65.7</v>
          </cell>
          <cell r="P9">
            <v>10.7</v>
          </cell>
          <cell r="S9">
            <v>0</v>
          </cell>
          <cell r="T9">
            <v>1</v>
          </cell>
          <cell r="U9">
            <v>3</v>
          </cell>
        </row>
        <row r="10">
          <cell r="B10" t="str">
            <v>Female</v>
          </cell>
          <cell r="F10">
            <v>8</v>
          </cell>
          <cell r="G10">
            <v>25.7</v>
          </cell>
          <cell r="H10">
            <v>6.7</v>
          </cell>
          <cell r="I10">
            <v>37.5</v>
          </cell>
          <cell r="J10">
            <v>8</v>
          </cell>
          <cell r="K10">
            <v>16</v>
          </cell>
          <cell r="L10">
            <v>106.33</v>
          </cell>
          <cell r="M10">
            <v>37</v>
          </cell>
          <cell r="N10">
            <v>46.8</v>
          </cell>
          <cell r="O10">
            <v>4.5</v>
          </cell>
          <cell r="P10">
            <v>12</v>
          </cell>
          <cell r="S10">
            <v>56.6</v>
          </cell>
          <cell r="T10">
            <v>25.8</v>
          </cell>
          <cell r="U10">
            <v>1</v>
          </cell>
        </row>
        <row r="11">
          <cell r="B11" t="str">
            <v>Male</v>
          </cell>
          <cell r="F11">
            <v>24</v>
          </cell>
          <cell r="G11">
            <v>54.1</v>
          </cell>
          <cell r="H11">
            <v>16.3</v>
          </cell>
          <cell r="I11">
            <v>16</v>
          </cell>
          <cell r="K11">
            <v>28.6</v>
          </cell>
          <cell r="L11">
            <v>121.2</v>
          </cell>
          <cell r="M11">
            <v>54</v>
          </cell>
          <cell r="N11">
            <v>21</v>
          </cell>
          <cell r="O11">
            <v>7.2</v>
          </cell>
          <cell r="P11">
            <v>58.5</v>
          </cell>
          <cell r="S11">
            <v>66</v>
          </cell>
          <cell r="T11">
            <v>38.6</v>
          </cell>
          <cell r="U11">
            <v>1</v>
          </cell>
        </row>
        <row r="12">
          <cell r="B12" t="str">
            <v>Female</v>
          </cell>
          <cell r="F12">
            <v>33</v>
          </cell>
          <cell r="G12">
            <v>47.3</v>
          </cell>
          <cell r="H12">
            <v>16.399999999999999</v>
          </cell>
          <cell r="I12">
            <v>36.9</v>
          </cell>
          <cell r="J12">
            <v>9</v>
          </cell>
          <cell r="K12">
            <v>22</v>
          </cell>
          <cell r="L12">
            <v>109.27</v>
          </cell>
          <cell r="M12">
            <v>89</v>
          </cell>
          <cell r="O12">
            <v>8.6</v>
          </cell>
          <cell r="P12">
            <v>47.9</v>
          </cell>
          <cell r="T12">
            <v>31.7</v>
          </cell>
          <cell r="U12">
            <v>2</v>
          </cell>
        </row>
        <row r="13">
          <cell r="B13" t="str">
            <v>Male</v>
          </cell>
          <cell r="F13">
            <v>21</v>
          </cell>
          <cell r="G13">
            <v>32.9</v>
          </cell>
          <cell r="H13">
            <v>15.2</v>
          </cell>
          <cell r="I13">
            <v>35.6</v>
          </cell>
          <cell r="J13">
            <v>8</v>
          </cell>
          <cell r="K13">
            <v>15</v>
          </cell>
          <cell r="L13">
            <v>73.42</v>
          </cell>
          <cell r="O13">
            <v>6</v>
          </cell>
          <cell r="P13">
            <v>37.799999999999997</v>
          </cell>
          <cell r="S13">
            <v>69</v>
          </cell>
          <cell r="T13">
            <v>18.399999999999999</v>
          </cell>
          <cell r="U13">
            <v>1</v>
          </cell>
        </row>
        <row r="14">
          <cell r="B14" t="str">
            <v>Female</v>
          </cell>
          <cell r="F14">
            <v>10</v>
          </cell>
          <cell r="G14">
            <v>30</v>
          </cell>
          <cell r="H14">
            <v>12</v>
          </cell>
          <cell r="I14">
            <v>52.7</v>
          </cell>
          <cell r="J14">
            <v>3</v>
          </cell>
          <cell r="K14">
            <v>20.8</v>
          </cell>
          <cell r="L14">
            <v>177.04</v>
          </cell>
          <cell r="M14">
            <v>61</v>
          </cell>
          <cell r="N14" t="str">
            <v>50.879999999999995</v>
          </cell>
          <cell r="O14">
            <v>16</v>
          </cell>
          <cell r="P14">
            <v>37.9</v>
          </cell>
          <cell r="S14">
            <v>44</v>
          </cell>
          <cell r="U14">
            <v>3</v>
          </cell>
        </row>
        <row r="15">
          <cell r="B15" t="str">
            <v>Female</v>
          </cell>
          <cell r="F15">
            <v>4</v>
          </cell>
          <cell r="G15">
            <v>26.5</v>
          </cell>
          <cell r="H15">
            <v>10.8</v>
          </cell>
          <cell r="I15">
            <v>48.4</v>
          </cell>
          <cell r="J15">
            <v>2</v>
          </cell>
          <cell r="K15">
            <v>9</v>
          </cell>
          <cell r="L15">
            <v>105.01</v>
          </cell>
          <cell r="M15">
            <v>4</v>
          </cell>
          <cell r="N15">
            <v>30.4</v>
          </cell>
          <cell r="O15">
            <v>8.4</v>
          </cell>
          <cell r="P15">
            <v>13.4</v>
          </cell>
          <cell r="S15">
            <v>9.8000000000000007</v>
          </cell>
          <cell r="T15">
            <v>16.7</v>
          </cell>
          <cell r="U15">
            <v>2</v>
          </cell>
        </row>
        <row r="16">
          <cell r="B16" t="str">
            <v>Male</v>
          </cell>
          <cell r="F16">
            <v>0</v>
          </cell>
          <cell r="H16">
            <v>9.4</v>
          </cell>
          <cell r="I16">
            <v>72.5</v>
          </cell>
          <cell r="J16">
            <v>3</v>
          </cell>
          <cell r="K16">
            <v>6</v>
          </cell>
          <cell r="L16">
            <v>158.31</v>
          </cell>
          <cell r="M16">
            <v>57</v>
          </cell>
          <cell r="N16">
            <v>10.8</v>
          </cell>
          <cell r="O16">
            <v>21.1</v>
          </cell>
          <cell r="P16">
            <v>7.7</v>
          </cell>
          <cell r="S16">
            <v>38.799999999999997</v>
          </cell>
          <cell r="T16">
            <v>10.4</v>
          </cell>
          <cell r="U16">
            <v>3</v>
          </cell>
        </row>
        <row r="17">
          <cell r="B17" t="str">
            <v>Female</v>
          </cell>
          <cell r="F17">
            <v>7</v>
          </cell>
          <cell r="G17">
            <v>21.9</v>
          </cell>
          <cell r="H17">
            <v>6.3</v>
          </cell>
          <cell r="I17">
            <v>61.3</v>
          </cell>
          <cell r="J17">
            <v>2</v>
          </cell>
          <cell r="K17">
            <v>7</v>
          </cell>
          <cell r="L17">
            <v>89.4</v>
          </cell>
          <cell r="M17">
            <v>9</v>
          </cell>
          <cell r="N17">
            <v>81.599999999999994</v>
          </cell>
          <cell r="O17">
            <v>5.2</v>
          </cell>
          <cell r="P17">
            <v>12.7</v>
          </cell>
          <cell r="S17">
            <v>17.5</v>
          </cell>
          <cell r="T17">
            <v>10.1</v>
          </cell>
          <cell r="U17">
            <v>1</v>
          </cell>
        </row>
        <row r="18">
          <cell r="B18" t="str">
            <v>Female</v>
          </cell>
          <cell r="F18">
            <v>11</v>
          </cell>
          <cell r="G18">
            <v>25.7</v>
          </cell>
          <cell r="H18">
            <v>5.2</v>
          </cell>
          <cell r="I18">
            <v>41.9</v>
          </cell>
          <cell r="J18">
            <v>8</v>
          </cell>
          <cell r="K18">
            <v>10</v>
          </cell>
          <cell r="L18">
            <v>92.39</v>
          </cell>
          <cell r="M18">
            <v>2</v>
          </cell>
          <cell r="N18">
            <v>36</v>
          </cell>
          <cell r="P18">
            <v>6.1</v>
          </cell>
          <cell r="S18">
            <v>28.4</v>
          </cell>
          <cell r="T18">
            <v>12.4</v>
          </cell>
          <cell r="U18">
            <v>3</v>
          </cell>
        </row>
        <row r="19">
          <cell r="B19" t="str">
            <v>Male</v>
          </cell>
          <cell r="F19">
            <v>0</v>
          </cell>
          <cell r="H19">
            <v>8.1</v>
          </cell>
          <cell r="I19">
            <v>63.6</v>
          </cell>
          <cell r="K19">
            <v>7</v>
          </cell>
          <cell r="L19">
            <v>135</v>
          </cell>
          <cell r="M19">
            <v>103</v>
          </cell>
          <cell r="N19">
            <v>49.1</v>
          </cell>
          <cell r="O19">
            <v>0.4</v>
          </cell>
          <cell r="P19">
            <v>21.8</v>
          </cell>
          <cell r="S19">
            <v>45.4</v>
          </cell>
          <cell r="T19">
            <v>11.1</v>
          </cell>
        </row>
        <row r="20">
          <cell r="B20" t="str">
            <v>Female</v>
          </cell>
          <cell r="F20">
            <v>5</v>
          </cell>
          <cell r="G20">
            <v>16.899999999999999</v>
          </cell>
          <cell r="H20">
            <v>7.7</v>
          </cell>
          <cell r="I20">
            <v>81.900000000000006</v>
          </cell>
          <cell r="J20">
            <v>1</v>
          </cell>
          <cell r="K20">
            <v>4</v>
          </cell>
          <cell r="L20">
            <v>64.59</v>
          </cell>
          <cell r="M20">
            <v>4</v>
          </cell>
          <cell r="N20">
            <v>27.9</v>
          </cell>
          <cell r="O20">
            <v>9.1999999999999993</v>
          </cell>
          <cell r="P20">
            <v>8.6999999999999993</v>
          </cell>
          <cell r="S20">
            <v>9</v>
          </cell>
          <cell r="T20">
            <v>15</v>
          </cell>
          <cell r="U20">
            <v>4</v>
          </cell>
        </row>
        <row r="21">
          <cell r="B21" t="str">
            <v>Male</v>
          </cell>
          <cell r="F21">
            <v>8</v>
          </cell>
          <cell r="G21">
            <v>29.3</v>
          </cell>
          <cell r="H21">
            <v>6.3</v>
          </cell>
          <cell r="I21">
            <v>60.2</v>
          </cell>
          <cell r="K21">
            <v>8</v>
          </cell>
          <cell r="L21">
            <v>100.84</v>
          </cell>
          <cell r="M21">
            <v>40</v>
          </cell>
          <cell r="N21">
            <v>37.799999999999997</v>
          </cell>
          <cell r="O21">
            <v>8.5</v>
          </cell>
          <cell r="P21">
            <v>14.7</v>
          </cell>
          <cell r="S21">
            <v>18.899999999999999</v>
          </cell>
          <cell r="U21">
            <v>1</v>
          </cell>
        </row>
        <row r="22">
          <cell r="B22" t="str">
            <v>Male</v>
          </cell>
          <cell r="F22">
            <v>24</v>
          </cell>
          <cell r="G22">
            <v>29.4</v>
          </cell>
          <cell r="H22">
            <v>10.199999999999999</v>
          </cell>
          <cell r="I22">
            <v>38.6</v>
          </cell>
          <cell r="J22">
            <v>4</v>
          </cell>
          <cell r="K22" t="str">
            <v>15.600000000000001</v>
          </cell>
          <cell r="L22">
            <v>85.44</v>
          </cell>
          <cell r="M22">
            <v>3</v>
          </cell>
          <cell r="N22">
            <v>16.32</v>
          </cell>
          <cell r="O22">
            <v>3.1</v>
          </cell>
          <cell r="P22">
            <v>24.5</v>
          </cell>
          <cell r="S22">
            <v>9.4</v>
          </cell>
          <cell r="T22">
            <v>35.5</v>
          </cell>
        </row>
        <row r="23">
          <cell r="B23" t="str">
            <v>Male</v>
          </cell>
          <cell r="F23">
            <v>16</v>
          </cell>
          <cell r="G23">
            <v>27</v>
          </cell>
          <cell r="I23">
            <v>36.200000000000003</v>
          </cell>
          <cell r="J23">
            <v>4</v>
          </cell>
          <cell r="K23">
            <v>14</v>
          </cell>
          <cell r="L23">
            <v>178.15</v>
          </cell>
          <cell r="M23">
            <v>43</v>
          </cell>
          <cell r="N23">
            <v>43.2</v>
          </cell>
          <cell r="O23">
            <v>13.4</v>
          </cell>
          <cell r="P23">
            <v>22.1</v>
          </cell>
          <cell r="S23">
            <v>1.9</v>
          </cell>
          <cell r="T23">
            <v>27.9</v>
          </cell>
          <cell r="U23">
            <v>1</v>
          </cell>
        </row>
        <row r="24">
          <cell r="B24" t="str">
            <v>Female</v>
          </cell>
          <cell r="F24">
            <v>0</v>
          </cell>
          <cell r="G24">
            <v>14.9</v>
          </cell>
          <cell r="H24">
            <v>1.5</v>
          </cell>
          <cell r="I24">
            <v>84.1</v>
          </cell>
          <cell r="J24">
            <v>1</v>
          </cell>
          <cell r="K24">
            <v>9</v>
          </cell>
          <cell r="L24">
            <v>108.54</v>
          </cell>
          <cell r="M24">
            <v>21</v>
          </cell>
          <cell r="N24">
            <v>60.5</v>
          </cell>
          <cell r="O24">
            <v>11.1</v>
          </cell>
          <cell r="P24">
            <v>23.6</v>
          </cell>
          <cell r="S24">
            <v>0</v>
          </cell>
          <cell r="T24">
            <v>10.7</v>
          </cell>
        </row>
        <row r="25">
          <cell r="B25" t="str">
            <v>Male</v>
          </cell>
          <cell r="F25">
            <v>5</v>
          </cell>
          <cell r="G25">
            <v>37.1</v>
          </cell>
          <cell r="H25">
            <v>12.9</v>
          </cell>
          <cell r="I25">
            <v>62.3</v>
          </cell>
          <cell r="J25">
            <v>5</v>
          </cell>
          <cell r="K25">
            <v>18</v>
          </cell>
          <cell r="L25">
            <v>125.21</v>
          </cell>
          <cell r="M25">
            <v>12</v>
          </cell>
          <cell r="N25">
            <v>30.7</v>
          </cell>
          <cell r="O25">
            <v>5.0999999999999996</v>
          </cell>
          <cell r="P25">
            <v>21.7</v>
          </cell>
          <cell r="S25">
            <v>14.2</v>
          </cell>
          <cell r="T25">
            <v>24.7</v>
          </cell>
          <cell r="U25">
            <v>2</v>
          </cell>
        </row>
        <row r="26">
          <cell r="B26" t="str">
            <v>Male</v>
          </cell>
          <cell r="F26">
            <v>18</v>
          </cell>
          <cell r="G26">
            <v>32.6</v>
          </cell>
          <cell r="H26">
            <v>10.4</v>
          </cell>
          <cell r="I26">
            <v>32.1</v>
          </cell>
          <cell r="J26">
            <v>10</v>
          </cell>
          <cell r="K26">
            <v>35.1</v>
          </cell>
          <cell r="L26">
            <v>99.77</v>
          </cell>
          <cell r="N26">
            <v>47.4</v>
          </cell>
          <cell r="O26">
            <v>8</v>
          </cell>
          <cell r="P26">
            <v>37.6</v>
          </cell>
          <cell r="S26">
            <v>32.6</v>
          </cell>
          <cell r="T26">
            <v>30.2</v>
          </cell>
          <cell r="U26">
            <v>2</v>
          </cell>
        </row>
        <row r="27">
          <cell r="B27" t="str">
            <v>Female</v>
          </cell>
          <cell r="F27">
            <v>15</v>
          </cell>
          <cell r="G27">
            <v>31.8</v>
          </cell>
          <cell r="H27">
            <v>12.3</v>
          </cell>
          <cell r="I27">
            <v>35.9</v>
          </cell>
          <cell r="J27">
            <v>5</v>
          </cell>
          <cell r="K27">
            <v>15</v>
          </cell>
          <cell r="L27">
            <v>282.81</v>
          </cell>
          <cell r="M27">
            <v>24</v>
          </cell>
          <cell r="N27">
            <v>63.1</v>
          </cell>
          <cell r="O27">
            <v>4.5999999999999996</v>
          </cell>
          <cell r="P27">
            <v>13.4</v>
          </cell>
          <cell r="S27">
            <v>37.700000000000003</v>
          </cell>
          <cell r="U27">
            <v>2</v>
          </cell>
        </row>
        <row r="28">
          <cell r="B28" t="str">
            <v>Male</v>
          </cell>
          <cell r="F28">
            <v>19</v>
          </cell>
          <cell r="G28">
            <v>34.299999999999997</v>
          </cell>
          <cell r="H28">
            <v>9.8000000000000007</v>
          </cell>
          <cell r="I28">
            <v>62.9</v>
          </cell>
          <cell r="J28">
            <v>7</v>
          </cell>
          <cell r="K28">
            <v>18.2</v>
          </cell>
          <cell r="L28">
            <v>179.79</v>
          </cell>
          <cell r="M28">
            <v>35</v>
          </cell>
          <cell r="N28" t="str">
            <v>49.440000000000005</v>
          </cell>
          <cell r="O28">
            <v>12.4</v>
          </cell>
          <cell r="P28">
            <v>39.6</v>
          </cell>
          <cell r="S28">
            <v>34</v>
          </cell>
          <cell r="T28">
            <v>25.1</v>
          </cell>
          <cell r="U28">
            <v>3</v>
          </cell>
        </row>
        <row r="29">
          <cell r="B29" t="str">
            <v>Female</v>
          </cell>
          <cell r="F29">
            <v>21</v>
          </cell>
          <cell r="G29">
            <v>35</v>
          </cell>
          <cell r="H29">
            <v>8</v>
          </cell>
          <cell r="I29">
            <v>42.1</v>
          </cell>
          <cell r="J29">
            <v>4</v>
          </cell>
          <cell r="K29" t="str">
            <v>23.400000000000002</v>
          </cell>
          <cell r="L29">
            <v>250.74</v>
          </cell>
          <cell r="M29">
            <v>7</v>
          </cell>
          <cell r="N29">
            <v>74.28</v>
          </cell>
          <cell r="P29">
            <v>24.2</v>
          </cell>
          <cell r="S29">
            <v>29.8</v>
          </cell>
          <cell r="T29">
            <v>21</v>
          </cell>
          <cell r="U29">
            <v>3</v>
          </cell>
        </row>
        <row r="30">
          <cell r="B30" t="str">
            <v>Male</v>
          </cell>
          <cell r="F30">
            <v>17</v>
          </cell>
          <cell r="G30">
            <v>33.4</v>
          </cell>
          <cell r="H30">
            <v>9.1</v>
          </cell>
          <cell r="I30">
            <v>50.7</v>
          </cell>
          <cell r="J30">
            <v>7</v>
          </cell>
          <cell r="K30">
            <v>18.2</v>
          </cell>
          <cell r="L30">
            <v>115.11</v>
          </cell>
          <cell r="M30">
            <v>15</v>
          </cell>
          <cell r="N30" t="str">
            <v>74.39999999999999</v>
          </cell>
          <cell r="O30">
            <v>7.7</v>
          </cell>
          <cell r="P30">
            <v>38.4</v>
          </cell>
          <cell r="S30">
            <v>46.3</v>
          </cell>
          <cell r="T30">
            <v>25.5</v>
          </cell>
          <cell r="U30">
            <v>4</v>
          </cell>
        </row>
        <row r="31">
          <cell r="B31" t="str">
            <v>Female</v>
          </cell>
          <cell r="F31">
            <v>12</v>
          </cell>
          <cell r="G31">
            <v>35.9</v>
          </cell>
          <cell r="H31">
            <v>11.3</v>
          </cell>
          <cell r="I31">
            <v>55.6</v>
          </cell>
          <cell r="J31">
            <v>8</v>
          </cell>
          <cell r="K31">
            <v>11</v>
          </cell>
          <cell r="L31">
            <v>57.15</v>
          </cell>
          <cell r="M31">
            <v>11</v>
          </cell>
          <cell r="O31">
            <v>10.5</v>
          </cell>
          <cell r="P31">
            <v>34.700000000000003</v>
          </cell>
          <cell r="S31">
            <v>22.9</v>
          </cell>
          <cell r="T31">
            <v>21.8</v>
          </cell>
          <cell r="U31">
            <v>3</v>
          </cell>
        </row>
        <row r="32">
          <cell r="B32" t="str">
            <v>Female</v>
          </cell>
          <cell r="F32">
            <v>17</v>
          </cell>
          <cell r="G32">
            <v>32.799999999999997</v>
          </cell>
          <cell r="H32">
            <v>7.9</v>
          </cell>
          <cell r="I32">
            <v>50.3</v>
          </cell>
          <cell r="J32">
            <v>5</v>
          </cell>
          <cell r="K32">
            <v>14</v>
          </cell>
          <cell r="L32">
            <v>125.53</v>
          </cell>
          <cell r="M32">
            <v>51</v>
          </cell>
          <cell r="N32">
            <v>27.1</v>
          </cell>
          <cell r="O32">
            <v>6.1</v>
          </cell>
          <cell r="P32">
            <v>23.1</v>
          </cell>
          <cell r="S32">
            <v>0</v>
          </cell>
          <cell r="T32">
            <v>17.399999999999999</v>
          </cell>
          <cell r="U32">
            <v>3</v>
          </cell>
        </row>
        <row r="33">
          <cell r="B33" t="str">
            <v>Female</v>
          </cell>
          <cell r="F33">
            <v>25</v>
          </cell>
          <cell r="G33">
            <v>19.600000000000001</v>
          </cell>
          <cell r="H33">
            <v>10.4</v>
          </cell>
          <cell r="I33">
            <v>57.9</v>
          </cell>
          <cell r="J33">
            <v>3</v>
          </cell>
          <cell r="K33">
            <v>13</v>
          </cell>
          <cell r="L33">
            <v>102.71</v>
          </cell>
          <cell r="M33">
            <v>4</v>
          </cell>
          <cell r="N33">
            <v>10.7</v>
          </cell>
          <cell r="P33">
            <v>13.5</v>
          </cell>
          <cell r="S33">
            <v>39.799999999999997</v>
          </cell>
          <cell r="T33">
            <v>26.7</v>
          </cell>
          <cell r="U33">
            <v>2</v>
          </cell>
        </row>
        <row r="34">
          <cell r="B34" t="str">
            <v>Male</v>
          </cell>
          <cell r="F34">
            <v>30</v>
          </cell>
          <cell r="G34">
            <v>47.6</v>
          </cell>
          <cell r="H34">
            <v>20.100000000000001</v>
          </cell>
          <cell r="I34">
            <v>10.4</v>
          </cell>
          <cell r="J34">
            <v>14</v>
          </cell>
          <cell r="K34">
            <v>28</v>
          </cell>
          <cell r="L34">
            <v>91.81</v>
          </cell>
          <cell r="M34">
            <v>20</v>
          </cell>
          <cell r="N34">
            <v>14.5</v>
          </cell>
          <cell r="P34">
            <v>47.2</v>
          </cell>
          <cell r="T34">
            <v>43.7</v>
          </cell>
          <cell r="U34">
            <v>1</v>
          </cell>
        </row>
        <row r="35">
          <cell r="B35" t="str">
            <v>Male</v>
          </cell>
          <cell r="F35">
            <v>0</v>
          </cell>
          <cell r="G35">
            <v>17.2</v>
          </cell>
          <cell r="H35">
            <v>7.8</v>
          </cell>
          <cell r="I35">
            <v>69.3</v>
          </cell>
          <cell r="J35">
            <v>4</v>
          </cell>
          <cell r="K35">
            <v>12</v>
          </cell>
          <cell r="L35">
            <v>103.12</v>
          </cell>
          <cell r="M35">
            <v>41</v>
          </cell>
          <cell r="O35">
            <v>2.4</v>
          </cell>
          <cell r="P35">
            <v>27.4</v>
          </cell>
          <cell r="T35">
            <v>16.5</v>
          </cell>
          <cell r="U35">
            <v>5</v>
          </cell>
        </row>
        <row r="36">
          <cell r="B36" t="str">
            <v>Female</v>
          </cell>
          <cell r="F36">
            <v>12</v>
          </cell>
          <cell r="G36">
            <v>30.5</v>
          </cell>
          <cell r="H36">
            <v>9.9</v>
          </cell>
          <cell r="I36">
            <v>41.2</v>
          </cell>
          <cell r="J36">
            <v>1</v>
          </cell>
          <cell r="K36">
            <v>14</v>
          </cell>
          <cell r="L36">
            <v>238</v>
          </cell>
          <cell r="M36">
            <v>57</v>
          </cell>
          <cell r="N36">
            <v>35.1</v>
          </cell>
          <cell r="O36">
            <v>2.2999999999999998</v>
          </cell>
          <cell r="P36">
            <v>42.6</v>
          </cell>
          <cell r="S36">
            <v>30.8</v>
          </cell>
          <cell r="T36">
            <v>24.1</v>
          </cell>
          <cell r="U36">
            <v>2</v>
          </cell>
        </row>
        <row r="37">
          <cell r="B37" t="str">
            <v>Female</v>
          </cell>
          <cell r="F37">
            <v>16</v>
          </cell>
          <cell r="G37">
            <v>30</v>
          </cell>
          <cell r="H37">
            <v>14</v>
          </cell>
          <cell r="I37">
            <v>55.7</v>
          </cell>
          <cell r="J37">
            <v>7</v>
          </cell>
          <cell r="K37">
            <v>14</v>
          </cell>
          <cell r="L37">
            <v>165.65</v>
          </cell>
          <cell r="M37">
            <v>6</v>
          </cell>
          <cell r="N37">
            <v>17.8</v>
          </cell>
          <cell r="O37">
            <v>15.5</v>
          </cell>
          <cell r="P37">
            <v>19.3</v>
          </cell>
          <cell r="S37">
            <v>51.2</v>
          </cell>
          <cell r="T37">
            <v>29.1</v>
          </cell>
          <cell r="U37">
            <v>2</v>
          </cell>
        </row>
        <row r="38">
          <cell r="B38" t="str">
            <v>Male</v>
          </cell>
          <cell r="F38">
            <v>8</v>
          </cell>
          <cell r="G38">
            <v>33.1</v>
          </cell>
          <cell r="H38">
            <v>8.1999999999999993</v>
          </cell>
          <cell r="I38">
            <v>51.6</v>
          </cell>
          <cell r="J38">
            <v>7</v>
          </cell>
          <cell r="K38">
            <v>10</v>
          </cell>
          <cell r="L38">
            <v>97.81</v>
          </cell>
          <cell r="M38">
            <v>7</v>
          </cell>
          <cell r="N38">
            <v>9.1999999999999993</v>
          </cell>
          <cell r="O38">
            <v>4.2</v>
          </cell>
          <cell r="P38">
            <v>18.2</v>
          </cell>
          <cell r="S38">
            <v>17.3</v>
          </cell>
          <cell r="T38">
            <v>12.2</v>
          </cell>
          <cell r="U38">
            <v>3</v>
          </cell>
        </row>
        <row r="39">
          <cell r="B39" t="str">
            <v>Male</v>
          </cell>
          <cell r="F39">
            <v>17</v>
          </cell>
          <cell r="G39">
            <v>35.1</v>
          </cell>
          <cell r="H39">
            <v>5.5</v>
          </cell>
          <cell r="I39">
            <v>48</v>
          </cell>
          <cell r="J39">
            <v>6</v>
          </cell>
          <cell r="K39">
            <v>15</v>
          </cell>
          <cell r="L39">
            <v>76.03</v>
          </cell>
          <cell r="M39">
            <v>19</v>
          </cell>
          <cell r="N39">
            <v>59.8</v>
          </cell>
          <cell r="O39">
            <v>10</v>
          </cell>
          <cell r="P39">
            <v>8.1999999999999993</v>
          </cell>
          <cell r="T39">
            <v>32.299999999999997</v>
          </cell>
          <cell r="U39">
            <v>2</v>
          </cell>
        </row>
        <row r="40">
          <cell r="B40" t="str">
            <v>Male</v>
          </cell>
          <cell r="F40">
            <v>12</v>
          </cell>
          <cell r="H40">
            <v>5.3</v>
          </cell>
          <cell r="I40">
            <v>63.6</v>
          </cell>
          <cell r="J40">
            <v>1</v>
          </cell>
          <cell r="K40">
            <v>10</v>
          </cell>
          <cell r="L40">
            <v>138.03</v>
          </cell>
          <cell r="M40">
            <v>2</v>
          </cell>
          <cell r="N40">
            <v>68.900000000000006</v>
          </cell>
          <cell r="O40">
            <v>10.1</v>
          </cell>
          <cell r="P40">
            <v>13.2</v>
          </cell>
          <cell r="S40">
            <v>39.1</v>
          </cell>
          <cell r="T40">
            <v>14.8</v>
          </cell>
          <cell r="U40">
            <v>4</v>
          </cell>
        </row>
        <row r="41">
          <cell r="B41" t="str">
            <v>Male</v>
          </cell>
          <cell r="F41">
            <v>15</v>
          </cell>
          <cell r="G41">
            <v>29.8</v>
          </cell>
          <cell r="H41">
            <v>9.6999999999999993</v>
          </cell>
          <cell r="I41">
            <v>55.6</v>
          </cell>
          <cell r="J41">
            <v>1</v>
          </cell>
          <cell r="K41">
            <v>11</v>
          </cell>
          <cell r="L41">
            <v>145.32</v>
          </cell>
          <cell r="M41">
            <v>21</v>
          </cell>
          <cell r="N41">
            <v>78.5</v>
          </cell>
          <cell r="O41">
            <v>2.9</v>
          </cell>
          <cell r="P41">
            <v>8.5</v>
          </cell>
          <cell r="S41">
            <v>2.6</v>
          </cell>
          <cell r="T41">
            <v>29.9</v>
          </cell>
          <cell r="U41">
            <v>2</v>
          </cell>
        </row>
        <row r="42">
          <cell r="B42" t="str">
            <v>Female</v>
          </cell>
          <cell r="F42">
            <v>5</v>
          </cell>
          <cell r="G42">
            <v>20.2</v>
          </cell>
          <cell r="H42">
            <v>6.8</v>
          </cell>
          <cell r="I42">
            <v>69.5</v>
          </cell>
          <cell r="J42">
            <v>4</v>
          </cell>
          <cell r="K42">
            <v>10</v>
          </cell>
          <cell r="L42">
            <v>68.98</v>
          </cell>
          <cell r="M42">
            <v>165</v>
          </cell>
          <cell r="P42">
            <v>15.2</v>
          </cell>
          <cell r="T42">
            <v>13.9</v>
          </cell>
          <cell r="U42">
            <v>2</v>
          </cell>
        </row>
        <row r="43">
          <cell r="B43" t="str">
            <v>Other</v>
          </cell>
          <cell r="F43">
            <v>18</v>
          </cell>
          <cell r="H43">
            <v>6.8</v>
          </cell>
          <cell r="I43">
            <v>62.3</v>
          </cell>
          <cell r="K43">
            <v>13</v>
          </cell>
          <cell r="L43">
            <v>135.68</v>
          </cell>
          <cell r="M43">
            <v>14</v>
          </cell>
          <cell r="P43">
            <v>33.5</v>
          </cell>
          <cell r="S43">
            <v>56.3</v>
          </cell>
          <cell r="T43">
            <v>16.2</v>
          </cell>
          <cell r="U43">
            <v>2</v>
          </cell>
        </row>
        <row r="44">
          <cell r="B44" t="str">
            <v>Male</v>
          </cell>
          <cell r="F44">
            <v>10</v>
          </cell>
          <cell r="G44">
            <v>21.5</v>
          </cell>
          <cell r="H44">
            <v>6</v>
          </cell>
          <cell r="I44">
            <v>65</v>
          </cell>
          <cell r="J44">
            <v>5</v>
          </cell>
          <cell r="K44">
            <v>8</v>
          </cell>
          <cell r="L44">
            <v>200.04</v>
          </cell>
          <cell r="N44">
            <v>44.4</v>
          </cell>
          <cell r="P44">
            <v>1.6</v>
          </cell>
          <cell r="S44">
            <v>9.8000000000000007</v>
          </cell>
          <cell r="T44">
            <v>15.5</v>
          </cell>
          <cell r="U44">
            <v>3</v>
          </cell>
        </row>
        <row r="45">
          <cell r="B45" t="str">
            <v>Male</v>
          </cell>
          <cell r="F45">
            <v>6</v>
          </cell>
          <cell r="G45">
            <v>7.5</v>
          </cell>
          <cell r="H45">
            <v>4.5999999999999996</v>
          </cell>
          <cell r="I45">
            <v>72</v>
          </cell>
          <cell r="J45">
            <v>3</v>
          </cell>
          <cell r="K45">
            <v>2</v>
          </cell>
          <cell r="L45">
            <v>113.99</v>
          </cell>
          <cell r="M45">
            <v>20</v>
          </cell>
          <cell r="N45">
            <v>42.1</v>
          </cell>
          <cell r="O45">
            <v>10</v>
          </cell>
          <cell r="S45">
            <v>0</v>
          </cell>
          <cell r="T45">
            <v>8.5</v>
          </cell>
          <cell r="U45">
            <v>3</v>
          </cell>
        </row>
        <row r="46">
          <cell r="B46" t="str">
            <v>Male</v>
          </cell>
          <cell r="F46">
            <v>1</v>
          </cell>
          <cell r="G46">
            <v>15.5</v>
          </cell>
          <cell r="H46">
            <v>5.3</v>
          </cell>
          <cell r="I46">
            <v>51.9</v>
          </cell>
          <cell r="J46">
            <v>5</v>
          </cell>
          <cell r="K46">
            <v>7</v>
          </cell>
          <cell r="L46">
            <v>172.37</v>
          </cell>
          <cell r="M46">
            <v>108</v>
          </cell>
          <cell r="O46">
            <v>12.3</v>
          </cell>
          <cell r="P46">
            <v>18.399999999999999</v>
          </cell>
          <cell r="S46">
            <v>13.4</v>
          </cell>
          <cell r="T46">
            <v>19.100000000000001</v>
          </cell>
          <cell r="U46">
            <v>2</v>
          </cell>
        </row>
        <row r="47">
          <cell r="B47" t="str">
            <v>Male</v>
          </cell>
          <cell r="F47">
            <v>9</v>
          </cell>
          <cell r="G47">
            <v>27.2</v>
          </cell>
          <cell r="H47">
            <v>7.2</v>
          </cell>
          <cell r="I47">
            <v>60.5</v>
          </cell>
          <cell r="K47">
            <v>15</v>
          </cell>
          <cell r="L47">
            <v>132.37</v>
          </cell>
          <cell r="M47">
            <v>41</v>
          </cell>
          <cell r="N47">
            <v>48.7</v>
          </cell>
          <cell r="O47">
            <v>10.199999999999999</v>
          </cell>
          <cell r="P47">
            <v>35.5</v>
          </cell>
          <cell r="S47">
            <v>29.6</v>
          </cell>
          <cell r="T47">
            <v>16.7</v>
          </cell>
          <cell r="U47">
            <v>3</v>
          </cell>
        </row>
        <row r="48">
          <cell r="B48" t="str">
            <v>Female</v>
          </cell>
          <cell r="F48">
            <v>18</v>
          </cell>
          <cell r="G48">
            <v>33.700000000000003</v>
          </cell>
          <cell r="I48">
            <v>28.7</v>
          </cell>
          <cell r="J48">
            <v>7</v>
          </cell>
          <cell r="K48">
            <v>19.5</v>
          </cell>
          <cell r="L48">
            <v>73.41</v>
          </cell>
          <cell r="M48">
            <v>57</v>
          </cell>
          <cell r="N48">
            <v>27</v>
          </cell>
          <cell r="O48">
            <v>2.8</v>
          </cell>
          <cell r="P48">
            <v>41.6</v>
          </cell>
          <cell r="S48">
            <v>65.7</v>
          </cell>
          <cell r="T48">
            <v>29.5</v>
          </cell>
          <cell r="U48">
            <v>3</v>
          </cell>
        </row>
        <row r="49">
          <cell r="B49" t="str">
            <v>Male</v>
          </cell>
          <cell r="F49">
            <v>0</v>
          </cell>
          <cell r="H49">
            <v>4.0999999999999996</v>
          </cell>
          <cell r="I49">
            <v>92.1</v>
          </cell>
          <cell r="J49">
            <v>1</v>
          </cell>
          <cell r="K49">
            <v>2</v>
          </cell>
          <cell r="L49">
            <v>138.09</v>
          </cell>
          <cell r="M49">
            <v>80</v>
          </cell>
          <cell r="N49">
            <v>64.3</v>
          </cell>
          <cell r="O49">
            <v>4.0999999999999996</v>
          </cell>
          <cell r="S49">
            <v>4</v>
          </cell>
          <cell r="T49">
            <v>8.5</v>
          </cell>
          <cell r="U49">
            <v>2</v>
          </cell>
        </row>
        <row r="50">
          <cell r="B50" t="str">
            <v>Female</v>
          </cell>
          <cell r="F50">
            <v>0</v>
          </cell>
          <cell r="G50">
            <v>17.100000000000001</v>
          </cell>
          <cell r="H50">
            <v>2.2999999999999998</v>
          </cell>
          <cell r="I50">
            <v>84.1</v>
          </cell>
          <cell r="J50">
            <v>2</v>
          </cell>
          <cell r="K50">
            <v>6</v>
          </cell>
          <cell r="L50">
            <v>107.25</v>
          </cell>
          <cell r="M50">
            <v>86</v>
          </cell>
          <cell r="N50">
            <v>44.9</v>
          </cell>
          <cell r="O50">
            <v>6.6</v>
          </cell>
          <cell r="P50">
            <v>0</v>
          </cell>
          <cell r="S50">
            <v>8.6999999999999993</v>
          </cell>
          <cell r="T50">
            <v>3.7</v>
          </cell>
          <cell r="U50">
            <v>2</v>
          </cell>
        </row>
        <row r="51">
          <cell r="B51" t="str">
            <v>Male</v>
          </cell>
          <cell r="F51">
            <v>8</v>
          </cell>
          <cell r="G51">
            <v>35.200000000000003</v>
          </cell>
          <cell r="H51">
            <v>8</v>
          </cell>
          <cell r="I51">
            <v>43.6</v>
          </cell>
          <cell r="J51">
            <v>4</v>
          </cell>
          <cell r="K51">
            <v>9</v>
          </cell>
          <cell r="L51">
            <v>94.42</v>
          </cell>
          <cell r="M51">
            <v>19</v>
          </cell>
          <cell r="N51">
            <v>13</v>
          </cell>
          <cell r="O51">
            <v>7.6</v>
          </cell>
          <cell r="P51">
            <v>0</v>
          </cell>
          <cell r="S51">
            <v>35.1</v>
          </cell>
          <cell r="T51">
            <v>22.6</v>
          </cell>
          <cell r="U51">
            <v>2</v>
          </cell>
        </row>
        <row r="52">
          <cell r="B52" t="str">
            <v>Female</v>
          </cell>
          <cell r="F52">
            <v>0</v>
          </cell>
          <cell r="G52">
            <v>23.8</v>
          </cell>
          <cell r="H52">
            <v>4.5</v>
          </cell>
          <cell r="I52">
            <v>72.900000000000006</v>
          </cell>
          <cell r="J52">
            <v>1</v>
          </cell>
          <cell r="K52">
            <v>9.1</v>
          </cell>
          <cell r="L52">
            <v>74.709999999999994</v>
          </cell>
          <cell r="M52">
            <v>77</v>
          </cell>
          <cell r="N52">
            <v>31.56</v>
          </cell>
          <cell r="O52">
            <v>10.7</v>
          </cell>
          <cell r="P52">
            <v>22.5</v>
          </cell>
          <cell r="T52">
            <v>11.9</v>
          </cell>
          <cell r="U52">
            <v>2</v>
          </cell>
        </row>
        <row r="53">
          <cell r="B53" t="str">
            <v>Male</v>
          </cell>
          <cell r="F53">
            <v>0</v>
          </cell>
          <cell r="G53">
            <v>6.9</v>
          </cell>
          <cell r="H53">
            <v>4.5999999999999996</v>
          </cell>
          <cell r="I53">
            <v>80.599999999999994</v>
          </cell>
          <cell r="J53">
            <v>1</v>
          </cell>
          <cell r="K53">
            <v>4</v>
          </cell>
          <cell r="L53">
            <v>139.19</v>
          </cell>
          <cell r="M53">
            <v>111</v>
          </cell>
          <cell r="N53">
            <v>38.200000000000003</v>
          </cell>
          <cell r="O53">
            <v>1.3</v>
          </cell>
          <cell r="T53">
            <v>8.4</v>
          </cell>
          <cell r="U53">
            <v>1</v>
          </cell>
        </row>
        <row r="54">
          <cell r="B54" t="str">
            <v>Male</v>
          </cell>
          <cell r="F54">
            <v>6</v>
          </cell>
          <cell r="G54">
            <v>17.5</v>
          </cell>
          <cell r="H54">
            <v>3.2</v>
          </cell>
          <cell r="I54">
            <v>72.3</v>
          </cell>
          <cell r="J54">
            <v>3</v>
          </cell>
          <cell r="K54" t="str">
            <v>3.9000000000000004</v>
          </cell>
          <cell r="L54">
            <v>169.7</v>
          </cell>
          <cell r="M54">
            <v>15</v>
          </cell>
          <cell r="N54">
            <v>32.04</v>
          </cell>
          <cell r="O54">
            <v>14.5</v>
          </cell>
          <cell r="P54">
            <v>0</v>
          </cell>
          <cell r="S54">
            <v>5.6</v>
          </cell>
          <cell r="T54">
            <v>6.8</v>
          </cell>
          <cell r="U54">
            <v>3</v>
          </cell>
        </row>
        <row r="55">
          <cell r="B55" t="str">
            <v>Male</v>
          </cell>
          <cell r="F55">
            <v>0</v>
          </cell>
          <cell r="G55">
            <v>24.1</v>
          </cell>
          <cell r="H55">
            <v>6.3</v>
          </cell>
          <cell r="I55">
            <v>68.5</v>
          </cell>
          <cell r="J55">
            <v>2</v>
          </cell>
          <cell r="K55">
            <v>9</v>
          </cell>
          <cell r="L55">
            <v>129.35</v>
          </cell>
          <cell r="M55">
            <v>29</v>
          </cell>
          <cell r="N55">
            <v>53.3</v>
          </cell>
          <cell r="O55">
            <v>3.2</v>
          </cell>
          <cell r="P55">
            <v>6.3</v>
          </cell>
          <cell r="S55">
            <v>66.599999999999994</v>
          </cell>
          <cell r="T55">
            <v>7.4</v>
          </cell>
          <cell r="U55">
            <v>3</v>
          </cell>
        </row>
        <row r="56">
          <cell r="B56" t="str">
            <v>Female</v>
          </cell>
          <cell r="F56">
            <v>6</v>
          </cell>
          <cell r="H56">
            <v>10.1</v>
          </cell>
          <cell r="I56">
            <v>79.099999999999994</v>
          </cell>
          <cell r="J56">
            <v>2</v>
          </cell>
          <cell r="K56">
            <v>9</v>
          </cell>
          <cell r="L56">
            <v>135.91999999999999</v>
          </cell>
          <cell r="M56">
            <v>25</v>
          </cell>
          <cell r="N56">
            <v>11.7</v>
          </cell>
          <cell r="O56">
            <v>3.3</v>
          </cell>
          <cell r="P56">
            <v>11.1</v>
          </cell>
          <cell r="S56">
            <v>52.6</v>
          </cell>
          <cell r="U56">
            <v>1</v>
          </cell>
        </row>
        <row r="57">
          <cell r="B57" t="str">
            <v>Male</v>
          </cell>
          <cell r="F57">
            <v>2</v>
          </cell>
          <cell r="G57">
            <v>15.2</v>
          </cell>
          <cell r="H57">
            <v>7.7</v>
          </cell>
          <cell r="I57">
            <v>81.3</v>
          </cell>
          <cell r="J57">
            <v>3</v>
          </cell>
          <cell r="K57">
            <v>6.5</v>
          </cell>
          <cell r="L57">
            <v>103.48</v>
          </cell>
          <cell r="N57">
            <v>50.16</v>
          </cell>
          <cell r="O57">
            <v>16</v>
          </cell>
          <cell r="P57">
            <v>21.3</v>
          </cell>
          <cell r="S57">
            <v>28.7</v>
          </cell>
          <cell r="T57">
            <v>1.4</v>
          </cell>
          <cell r="U57">
            <v>4</v>
          </cell>
        </row>
        <row r="58">
          <cell r="B58" t="str">
            <v>Female</v>
          </cell>
          <cell r="F58">
            <v>20</v>
          </cell>
          <cell r="G58">
            <v>33.700000000000003</v>
          </cell>
          <cell r="H58">
            <v>10.199999999999999</v>
          </cell>
          <cell r="I58">
            <v>46.9</v>
          </cell>
          <cell r="J58">
            <v>4</v>
          </cell>
          <cell r="K58">
            <v>11</v>
          </cell>
          <cell r="L58">
            <v>101.15</v>
          </cell>
          <cell r="N58">
            <v>49.7</v>
          </cell>
          <cell r="O58">
            <v>5.5</v>
          </cell>
          <cell r="P58">
            <v>9.8000000000000007</v>
          </cell>
          <cell r="S58">
            <v>3.6</v>
          </cell>
          <cell r="T58">
            <v>25.6</v>
          </cell>
          <cell r="U58">
            <v>1</v>
          </cell>
        </row>
        <row r="59">
          <cell r="B59" t="str">
            <v>Female</v>
          </cell>
          <cell r="F59">
            <v>3</v>
          </cell>
          <cell r="G59">
            <v>24.6</v>
          </cell>
          <cell r="H59">
            <v>8.3000000000000007</v>
          </cell>
          <cell r="I59">
            <v>48.3</v>
          </cell>
          <cell r="J59">
            <v>4</v>
          </cell>
          <cell r="K59">
            <v>15</v>
          </cell>
          <cell r="L59">
            <v>118.12</v>
          </cell>
          <cell r="M59">
            <v>18</v>
          </cell>
          <cell r="N59">
            <v>29.7</v>
          </cell>
          <cell r="O59">
            <v>6</v>
          </cell>
          <cell r="P59">
            <v>32.1</v>
          </cell>
          <cell r="S59">
            <v>49.8</v>
          </cell>
          <cell r="T59">
            <v>7.3</v>
          </cell>
          <cell r="U59">
            <v>5</v>
          </cell>
        </row>
        <row r="60">
          <cell r="B60" t="str">
            <v>Male</v>
          </cell>
          <cell r="F60">
            <v>18</v>
          </cell>
          <cell r="G60">
            <v>33.799999999999997</v>
          </cell>
          <cell r="H60">
            <v>14.4</v>
          </cell>
          <cell r="I60">
            <v>46.7</v>
          </cell>
          <cell r="J60">
            <v>5</v>
          </cell>
          <cell r="K60">
            <v>20</v>
          </cell>
          <cell r="L60">
            <v>135.52000000000001</v>
          </cell>
          <cell r="M60">
            <v>10</v>
          </cell>
          <cell r="N60">
            <v>45.4</v>
          </cell>
          <cell r="O60">
            <v>16.600000000000001</v>
          </cell>
          <cell r="P60">
            <v>41.4</v>
          </cell>
          <cell r="U60">
            <v>4</v>
          </cell>
        </row>
        <row r="61">
          <cell r="B61" t="str">
            <v>Female</v>
          </cell>
          <cell r="F61">
            <v>16</v>
          </cell>
          <cell r="G61">
            <v>36.200000000000003</v>
          </cell>
          <cell r="H61">
            <v>10.1</v>
          </cell>
          <cell r="I61">
            <v>32.4</v>
          </cell>
          <cell r="J61">
            <v>7</v>
          </cell>
          <cell r="K61">
            <v>15</v>
          </cell>
          <cell r="L61">
            <v>97.6</v>
          </cell>
          <cell r="M61">
            <v>0</v>
          </cell>
          <cell r="P61">
            <v>41.3</v>
          </cell>
          <cell r="S61">
            <v>77.900000000000006</v>
          </cell>
          <cell r="T61">
            <v>27.2</v>
          </cell>
          <cell r="U61">
            <v>3</v>
          </cell>
        </row>
        <row r="62">
          <cell r="B62" t="str">
            <v>Male</v>
          </cell>
          <cell r="F62">
            <v>22</v>
          </cell>
          <cell r="G62">
            <v>23.6</v>
          </cell>
          <cell r="H62">
            <v>7</v>
          </cell>
          <cell r="I62">
            <v>61.2</v>
          </cell>
          <cell r="J62">
            <v>1</v>
          </cell>
          <cell r="K62">
            <v>10</v>
          </cell>
          <cell r="L62">
            <v>191.62</v>
          </cell>
          <cell r="M62">
            <v>21</v>
          </cell>
          <cell r="N62">
            <v>71.400000000000006</v>
          </cell>
          <cell r="O62">
            <v>2</v>
          </cell>
          <cell r="P62">
            <v>1.3</v>
          </cell>
          <cell r="S62">
            <v>1.5</v>
          </cell>
          <cell r="T62">
            <v>9.6</v>
          </cell>
          <cell r="U62">
            <v>3</v>
          </cell>
        </row>
        <row r="63">
          <cell r="B63" t="str">
            <v>Female</v>
          </cell>
          <cell r="F63">
            <v>8</v>
          </cell>
          <cell r="G63">
            <v>30</v>
          </cell>
          <cell r="H63">
            <v>7.4</v>
          </cell>
          <cell r="I63">
            <v>63</v>
          </cell>
          <cell r="J63">
            <v>1</v>
          </cell>
          <cell r="K63">
            <v>14.3</v>
          </cell>
          <cell r="L63">
            <v>193.65</v>
          </cell>
          <cell r="M63">
            <v>1</v>
          </cell>
          <cell r="N63">
            <v>54</v>
          </cell>
          <cell r="O63">
            <v>7.9</v>
          </cell>
          <cell r="P63">
            <v>0</v>
          </cell>
          <cell r="S63">
            <v>31.1</v>
          </cell>
          <cell r="T63">
            <v>8.1</v>
          </cell>
          <cell r="U63">
            <v>4</v>
          </cell>
        </row>
        <row r="64">
          <cell r="B64" t="str">
            <v>Male</v>
          </cell>
          <cell r="F64">
            <v>17</v>
          </cell>
          <cell r="G64">
            <v>39.799999999999997</v>
          </cell>
          <cell r="H64">
            <v>14.4</v>
          </cell>
          <cell r="I64">
            <v>33.5</v>
          </cell>
          <cell r="J64">
            <v>7</v>
          </cell>
          <cell r="K64">
            <v>18</v>
          </cell>
          <cell r="L64">
            <v>138.38999999999999</v>
          </cell>
          <cell r="M64">
            <v>11</v>
          </cell>
          <cell r="N64">
            <v>47.6</v>
          </cell>
          <cell r="O64">
            <v>6.7</v>
          </cell>
          <cell r="P64">
            <v>37</v>
          </cell>
          <cell r="S64">
            <v>56.3</v>
          </cell>
          <cell r="U64">
            <v>2</v>
          </cell>
        </row>
        <row r="65">
          <cell r="B65" t="str">
            <v>Female</v>
          </cell>
          <cell r="F65">
            <v>19</v>
          </cell>
          <cell r="G65">
            <v>32.4</v>
          </cell>
          <cell r="H65">
            <v>15.2</v>
          </cell>
          <cell r="I65">
            <v>16</v>
          </cell>
          <cell r="J65">
            <v>11</v>
          </cell>
          <cell r="K65">
            <v>16</v>
          </cell>
          <cell r="L65">
            <v>173.47</v>
          </cell>
          <cell r="M65">
            <v>8</v>
          </cell>
          <cell r="N65">
            <v>41.7</v>
          </cell>
          <cell r="O65">
            <v>5.0999999999999996</v>
          </cell>
          <cell r="P65">
            <v>43.7</v>
          </cell>
          <cell r="T65">
            <v>39.4</v>
          </cell>
          <cell r="U65">
            <v>4</v>
          </cell>
        </row>
        <row r="66">
          <cell r="B66" t="str">
            <v>Female</v>
          </cell>
          <cell r="F66">
            <v>3</v>
          </cell>
          <cell r="G66">
            <v>10.199999999999999</v>
          </cell>
          <cell r="H66">
            <v>3.9</v>
          </cell>
          <cell r="I66">
            <v>88.8</v>
          </cell>
          <cell r="K66">
            <v>2</v>
          </cell>
          <cell r="L66">
            <v>128.30000000000001</v>
          </cell>
          <cell r="M66">
            <v>30</v>
          </cell>
          <cell r="N66">
            <v>25.8</v>
          </cell>
          <cell r="O66">
            <v>14.8</v>
          </cell>
          <cell r="P66">
            <v>1.4</v>
          </cell>
          <cell r="S66">
            <v>12.8</v>
          </cell>
          <cell r="T66">
            <v>2.2000000000000002</v>
          </cell>
          <cell r="U66">
            <v>4</v>
          </cell>
        </row>
        <row r="67">
          <cell r="B67" t="str">
            <v>Male</v>
          </cell>
          <cell r="F67">
            <v>24</v>
          </cell>
          <cell r="G67">
            <v>45</v>
          </cell>
          <cell r="H67">
            <v>15.2</v>
          </cell>
          <cell r="I67">
            <v>36.9</v>
          </cell>
          <cell r="J67">
            <v>9</v>
          </cell>
          <cell r="K67">
            <v>20</v>
          </cell>
          <cell r="L67">
            <v>153.84</v>
          </cell>
          <cell r="M67">
            <v>32</v>
          </cell>
          <cell r="N67">
            <v>55.1</v>
          </cell>
          <cell r="O67">
            <v>1.5</v>
          </cell>
          <cell r="P67">
            <v>45.2</v>
          </cell>
          <cell r="S67">
            <v>44.4</v>
          </cell>
          <cell r="T67">
            <v>36.6</v>
          </cell>
          <cell r="U67">
            <v>3</v>
          </cell>
        </row>
        <row r="68">
          <cell r="B68" t="str">
            <v>Female</v>
          </cell>
          <cell r="F68">
            <v>10</v>
          </cell>
          <cell r="G68">
            <v>21.2</v>
          </cell>
          <cell r="H68">
            <v>10.7</v>
          </cell>
          <cell r="I68">
            <v>41.5</v>
          </cell>
          <cell r="K68">
            <v>12</v>
          </cell>
          <cell r="L68">
            <v>101.43</v>
          </cell>
          <cell r="M68">
            <v>154</v>
          </cell>
          <cell r="N68">
            <v>62.8</v>
          </cell>
          <cell r="O68">
            <v>14.2</v>
          </cell>
          <cell r="P68">
            <v>25.9</v>
          </cell>
          <cell r="S68">
            <v>33.9</v>
          </cell>
          <cell r="T68">
            <v>22.8</v>
          </cell>
          <cell r="U68">
            <v>3</v>
          </cell>
        </row>
        <row r="69">
          <cell r="B69" t="str">
            <v>Male</v>
          </cell>
          <cell r="F69">
            <v>11</v>
          </cell>
          <cell r="G69">
            <v>34.200000000000003</v>
          </cell>
          <cell r="H69">
            <v>11.3</v>
          </cell>
          <cell r="I69">
            <v>37.200000000000003</v>
          </cell>
          <cell r="J69">
            <v>5</v>
          </cell>
          <cell r="K69">
            <v>14</v>
          </cell>
          <cell r="L69">
            <v>153.97999999999999</v>
          </cell>
          <cell r="M69">
            <v>17</v>
          </cell>
          <cell r="O69">
            <v>2.2000000000000002</v>
          </cell>
          <cell r="P69">
            <v>29.1</v>
          </cell>
          <cell r="S69">
            <v>54.9</v>
          </cell>
          <cell r="T69">
            <v>21.6</v>
          </cell>
          <cell r="U69">
            <v>2</v>
          </cell>
        </row>
        <row r="70">
          <cell r="B70" t="str">
            <v>Male</v>
          </cell>
          <cell r="F70">
            <v>1</v>
          </cell>
          <cell r="G70">
            <v>16.8</v>
          </cell>
          <cell r="H70">
            <v>3.2</v>
          </cell>
          <cell r="I70">
            <v>77.5</v>
          </cell>
          <cell r="J70">
            <v>2</v>
          </cell>
          <cell r="K70">
            <v>5.2</v>
          </cell>
          <cell r="L70">
            <v>81.540000000000006</v>
          </cell>
          <cell r="M70">
            <v>9</v>
          </cell>
          <cell r="N70">
            <v>47.64</v>
          </cell>
          <cell r="O70">
            <v>0.9</v>
          </cell>
          <cell r="P70">
            <v>6.7</v>
          </cell>
          <cell r="S70">
            <v>0</v>
          </cell>
          <cell r="T70">
            <v>8.6999999999999993</v>
          </cell>
          <cell r="U70">
            <v>1</v>
          </cell>
        </row>
        <row r="71">
          <cell r="B71" t="str">
            <v>Female</v>
          </cell>
          <cell r="F71">
            <v>16</v>
          </cell>
          <cell r="G71">
            <v>28.8</v>
          </cell>
          <cell r="H71">
            <v>9.6</v>
          </cell>
          <cell r="I71">
            <v>69</v>
          </cell>
          <cell r="J71">
            <v>7</v>
          </cell>
          <cell r="K71">
            <v>15</v>
          </cell>
          <cell r="L71">
            <v>85.13</v>
          </cell>
          <cell r="M71">
            <v>84</v>
          </cell>
          <cell r="N71">
            <v>19</v>
          </cell>
          <cell r="O71">
            <v>0.4</v>
          </cell>
          <cell r="P71">
            <v>8</v>
          </cell>
          <cell r="S71">
            <v>45.5</v>
          </cell>
          <cell r="T71">
            <v>18.899999999999999</v>
          </cell>
          <cell r="U71">
            <v>1</v>
          </cell>
        </row>
        <row r="72">
          <cell r="B72" t="str">
            <v>Male</v>
          </cell>
          <cell r="F72">
            <v>2</v>
          </cell>
          <cell r="G72">
            <v>28.6</v>
          </cell>
          <cell r="H72">
            <v>6.7</v>
          </cell>
          <cell r="I72">
            <v>37.4</v>
          </cell>
          <cell r="J72">
            <v>4</v>
          </cell>
          <cell r="K72">
            <v>10</v>
          </cell>
          <cell r="L72">
            <v>159.62</v>
          </cell>
          <cell r="M72">
            <v>16</v>
          </cell>
          <cell r="N72">
            <v>70.3</v>
          </cell>
          <cell r="O72">
            <v>4.7</v>
          </cell>
          <cell r="P72">
            <v>22.1</v>
          </cell>
          <cell r="S72">
            <v>0</v>
          </cell>
          <cell r="T72">
            <v>22.7</v>
          </cell>
          <cell r="U72">
            <v>3</v>
          </cell>
        </row>
        <row r="73">
          <cell r="B73" t="str">
            <v>Male</v>
          </cell>
          <cell r="F73">
            <v>6</v>
          </cell>
          <cell r="I73">
            <v>64.2</v>
          </cell>
          <cell r="J73">
            <v>1</v>
          </cell>
          <cell r="K73">
            <v>7</v>
          </cell>
          <cell r="L73">
            <v>180.68</v>
          </cell>
          <cell r="M73">
            <v>20</v>
          </cell>
          <cell r="N73">
            <v>36.200000000000003</v>
          </cell>
          <cell r="O73">
            <v>6.4</v>
          </cell>
          <cell r="P73">
            <v>1.5</v>
          </cell>
          <cell r="S73">
            <v>20.3</v>
          </cell>
          <cell r="T73">
            <v>4.5</v>
          </cell>
          <cell r="U73">
            <v>2</v>
          </cell>
        </row>
        <row r="74">
          <cell r="B74" t="str">
            <v>Female</v>
          </cell>
          <cell r="F74">
            <v>7</v>
          </cell>
          <cell r="G74">
            <v>27.1</v>
          </cell>
          <cell r="I74">
            <v>76</v>
          </cell>
          <cell r="J74">
            <v>7</v>
          </cell>
          <cell r="K74" t="str">
            <v>11.700000000000001</v>
          </cell>
          <cell r="L74">
            <v>91.41</v>
          </cell>
          <cell r="M74">
            <v>33</v>
          </cell>
          <cell r="N74">
            <v>39.479999999999997</v>
          </cell>
          <cell r="O74">
            <v>1.3</v>
          </cell>
          <cell r="P74">
            <v>6.8</v>
          </cell>
          <cell r="S74">
            <v>16.8</v>
          </cell>
          <cell r="T74">
            <v>10.199999999999999</v>
          </cell>
          <cell r="U74">
            <v>4</v>
          </cell>
        </row>
        <row r="75">
          <cell r="B75" t="str">
            <v>Female</v>
          </cell>
          <cell r="F75">
            <v>13</v>
          </cell>
          <cell r="G75">
            <v>31.8</v>
          </cell>
          <cell r="H75">
            <v>11.2</v>
          </cell>
          <cell r="I75">
            <v>44</v>
          </cell>
          <cell r="J75">
            <v>5</v>
          </cell>
          <cell r="K75">
            <v>19.5</v>
          </cell>
          <cell r="L75">
            <v>55.62</v>
          </cell>
          <cell r="M75">
            <v>22</v>
          </cell>
          <cell r="N75">
            <v>50.04</v>
          </cell>
          <cell r="O75">
            <v>7.9</v>
          </cell>
          <cell r="P75">
            <v>54.9</v>
          </cell>
          <cell r="S75">
            <v>59.9</v>
          </cell>
          <cell r="T75">
            <v>23.6</v>
          </cell>
          <cell r="U75">
            <v>4</v>
          </cell>
        </row>
        <row r="76">
          <cell r="B76" t="str">
            <v>Male</v>
          </cell>
          <cell r="F76">
            <v>15</v>
          </cell>
          <cell r="G76">
            <v>32.299999999999997</v>
          </cell>
          <cell r="H76">
            <v>10.7</v>
          </cell>
          <cell r="I76">
            <v>71.5</v>
          </cell>
          <cell r="J76">
            <v>5</v>
          </cell>
          <cell r="K76">
            <v>20.8</v>
          </cell>
          <cell r="L76">
            <v>86.52</v>
          </cell>
          <cell r="M76">
            <v>81</v>
          </cell>
          <cell r="O76">
            <v>1.9</v>
          </cell>
          <cell r="P76">
            <v>17.2</v>
          </cell>
          <cell r="S76">
            <v>45.5</v>
          </cell>
          <cell r="T76">
            <v>27.6</v>
          </cell>
          <cell r="U76">
            <v>2</v>
          </cell>
        </row>
        <row r="77">
          <cell r="B77" t="str">
            <v>Male</v>
          </cell>
          <cell r="F77">
            <v>28</v>
          </cell>
          <cell r="G77">
            <v>47.1</v>
          </cell>
          <cell r="H77">
            <v>13.9</v>
          </cell>
          <cell r="I77">
            <v>33.700000000000003</v>
          </cell>
          <cell r="J77">
            <v>7</v>
          </cell>
          <cell r="K77">
            <v>18</v>
          </cell>
          <cell r="L77">
            <v>102.76</v>
          </cell>
          <cell r="M77">
            <v>37</v>
          </cell>
          <cell r="N77">
            <v>58.2</v>
          </cell>
          <cell r="O77">
            <v>13.7</v>
          </cell>
          <cell r="P77">
            <v>47.1</v>
          </cell>
          <cell r="S77">
            <v>74</v>
          </cell>
          <cell r="T77">
            <v>44</v>
          </cell>
          <cell r="U77">
            <v>2</v>
          </cell>
        </row>
        <row r="78">
          <cell r="B78" t="str">
            <v>Female</v>
          </cell>
          <cell r="F78">
            <v>8</v>
          </cell>
          <cell r="H78">
            <v>5</v>
          </cell>
          <cell r="I78">
            <v>70</v>
          </cell>
          <cell r="J78">
            <v>2</v>
          </cell>
          <cell r="K78">
            <v>6.5</v>
          </cell>
          <cell r="L78">
            <v>82.15</v>
          </cell>
          <cell r="M78">
            <v>2</v>
          </cell>
          <cell r="N78">
            <v>7.56</v>
          </cell>
          <cell r="O78">
            <v>10.8</v>
          </cell>
          <cell r="S78">
            <v>15.7</v>
          </cell>
          <cell r="T78">
            <v>3.1</v>
          </cell>
          <cell r="U78">
            <v>3</v>
          </cell>
        </row>
        <row r="79">
          <cell r="B79" t="str">
            <v>Female</v>
          </cell>
          <cell r="F79">
            <v>15</v>
          </cell>
          <cell r="G79">
            <v>29.1</v>
          </cell>
          <cell r="H79">
            <v>11.3</v>
          </cell>
          <cell r="I79">
            <v>41.6</v>
          </cell>
          <cell r="J79">
            <v>2</v>
          </cell>
          <cell r="K79">
            <v>11</v>
          </cell>
          <cell r="L79">
            <v>261.19</v>
          </cell>
          <cell r="M79">
            <v>40</v>
          </cell>
          <cell r="N79">
            <v>52.6</v>
          </cell>
          <cell r="O79">
            <v>8.6</v>
          </cell>
          <cell r="P79">
            <v>36.5</v>
          </cell>
          <cell r="S79">
            <v>28.3</v>
          </cell>
          <cell r="T79">
            <v>20.8</v>
          </cell>
          <cell r="U79">
            <v>2</v>
          </cell>
        </row>
        <row r="80">
          <cell r="B80" t="str">
            <v>Male</v>
          </cell>
          <cell r="F80">
            <v>5</v>
          </cell>
          <cell r="G80">
            <v>18.2</v>
          </cell>
          <cell r="I80">
            <v>61.1</v>
          </cell>
          <cell r="J80">
            <v>1</v>
          </cell>
          <cell r="K80">
            <v>9</v>
          </cell>
          <cell r="L80">
            <v>103.16</v>
          </cell>
          <cell r="M80">
            <v>10</v>
          </cell>
          <cell r="N80">
            <v>43.4</v>
          </cell>
          <cell r="O80">
            <v>0.2</v>
          </cell>
          <cell r="P80">
            <v>0</v>
          </cell>
          <cell r="T80">
            <v>15.5</v>
          </cell>
          <cell r="U80">
            <v>1</v>
          </cell>
        </row>
        <row r="81">
          <cell r="B81" t="str">
            <v>Male</v>
          </cell>
          <cell r="F81">
            <v>4</v>
          </cell>
          <cell r="G81">
            <v>16.3</v>
          </cell>
          <cell r="H81">
            <v>1</v>
          </cell>
          <cell r="I81">
            <v>79.400000000000006</v>
          </cell>
          <cell r="J81">
            <v>0</v>
          </cell>
          <cell r="K81" t="str">
            <v>7.800000000000001</v>
          </cell>
          <cell r="L81">
            <v>162.69999999999999</v>
          </cell>
          <cell r="M81">
            <v>14</v>
          </cell>
          <cell r="N81">
            <v>35.520000000000003</v>
          </cell>
          <cell r="O81">
            <v>7.7</v>
          </cell>
          <cell r="P81">
            <v>3.7</v>
          </cell>
          <cell r="S81">
            <v>6.2</v>
          </cell>
          <cell r="T81">
            <v>3.2</v>
          </cell>
          <cell r="U81">
            <v>3</v>
          </cell>
        </row>
        <row r="82">
          <cell r="B82" t="str">
            <v>Male</v>
          </cell>
          <cell r="F82">
            <v>17</v>
          </cell>
          <cell r="G82">
            <v>17</v>
          </cell>
          <cell r="H82">
            <v>8.1</v>
          </cell>
          <cell r="I82">
            <v>59.2</v>
          </cell>
          <cell r="J82">
            <v>6</v>
          </cell>
          <cell r="K82">
            <v>13</v>
          </cell>
          <cell r="L82">
            <v>94.98</v>
          </cell>
          <cell r="M82">
            <v>13</v>
          </cell>
          <cell r="N82" t="str">
            <v>31.679999999999996</v>
          </cell>
          <cell r="O82">
            <v>10</v>
          </cell>
          <cell r="P82">
            <v>0</v>
          </cell>
          <cell r="S82">
            <v>31.8</v>
          </cell>
          <cell r="T82">
            <v>16.5</v>
          </cell>
          <cell r="U82">
            <v>1</v>
          </cell>
        </row>
        <row r="83">
          <cell r="B83" t="str">
            <v>Female</v>
          </cell>
          <cell r="F83">
            <v>18</v>
          </cell>
          <cell r="G83">
            <v>35</v>
          </cell>
          <cell r="H83">
            <v>13.2</v>
          </cell>
          <cell r="I83">
            <v>39.6</v>
          </cell>
          <cell r="J83">
            <v>5</v>
          </cell>
          <cell r="K83">
            <v>20</v>
          </cell>
          <cell r="L83">
            <v>97.98</v>
          </cell>
          <cell r="N83">
            <v>51.7</v>
          </cell>
          <cell r="O83">
            <v>9</v>
          </cell>
          <cell r="P83">
            <v>30.1</v>
          </cell>
          <cell r="T83">
            <v>36.6</v>
          </cell>
          <cell r="U83">
            <v>2</v>
          </cell>
        </row>
        <row r="84">
          <cell r="B84" t="str">
            <v>Male</v>
          </cell>
          <cell r="F84">
            <v>4</v>
          </cell>
          <cell r="G84">
            <v>34.5</v>
          </cell>
          <cell r="H84">
            <v>9.5</v>
          </cell>
          <cell r="I84">
            <v>50.3</v>
          </cell>
          <cell r="J84">
            <v>1</v>
          </cell>
          <cell r="K84">
            <v>12</v>
          </cell>
          <cell r="L84">
            <v>78.11</v>
          </cell>
          <cell r="M84">
            <v>19</v>
          </cell>
          <cell r="N84">
            <v>68.8</v>
          </cell>
          <cell r="O84">
            <v>5.2</v>
          </cell>
          <cell r="P84">
            <v>24.1</v>
          </cell>
          <cell r="S84">
            <v>22.5</v>
          </cell>
          <cell r="T84">
            <v>15.6</v>
          </cell>
          <cell r="U84">
            <v>3</v>
          </cell>
        </row>
        <row r="85">
          <cell r="B85" t="str">
            <v>Male</v>
          </cell>
          <cell r="F85">
            <v>7</v>
          </cell>
          <cell r="G85">
            <v>28.6</v>
          </cell>
          <cell r="H85">
            <v>11.3</v>
          </cell>
          <cell r="I85">
            <v>56.9</v>
          </cell>
          <cell r="K85">
            <v>11</v>
          </cell>
          <cell r="L85">
            <v>138.96</v>
          </cell>
          <cell r="M85">
            <v>101</v>
          </cell>
          <cell r="N85">
            <v>12.9</v>
          </cell>
          <cell r="O85">
            <v>6.5</v>
          </cell>
          <cell r="P85">
            <v>18.5</v>
          </cell>
          <cell r="S85">
            <v>35.1</v>
          </cell>
          <cell r="T85">
            <v>21.4</v>
          </cell>
          <cell r="U85">
            <v>2</v>
          </cell>
        </row>
        <row r="86">
          <cell r="B86" t="str">
            <v>Male</v>
          </cell>
          <cell r="F86">
            <v>15</v>
          </cell>
          <cell r="G86">
            <v>32.299999999999997</v>
          </cell>
          <cell r="H86">
            <v>10.3</v>
          </cell>
          <cell r="I86">
            <v>74.8</v>
          </cell>
          <cell r="J86">
            <v>5</v>
          </cell>
          <cell r="K86">
            <v>15</v>
          </cell>
          <cell r="L86">
            <v>140.31</v>
          </cell>
          <cell r="M86">
            <v>26</v>
          </cell>
          <cell r="N86">
            <v>53.6</v>
          </cell>
          <cell r="O86">
            <v>6.9</v>
          </cell>
          <cell r="P86">
            <v>13.3</v>
          </cell>
          <cell r="S86">
            <v>25.6</v>
          </cell>
          <cell r="T86">
            <v>31.3</v>
          </cell>
          <cell r="U86">
            <v>4</v>
          </cell>
        </row>
        <row r="87">
          <cell r="B87" t="str">
            <v>Male</v>
          </cell>
          <cell r="F87">
            <v>0</v>
          </cell>
          <cell r="G87">
            <v>18.399999999999999</v>
          </cell>
          <cell r="H87">
            <v>1.3</v>
          </cell>
          <cell r="I87">
            <v>68.900000000000006</v>
          </cell>
          <cell r="J87">
            <v>2</v>
          </cell>
          <cell r="K87">
            <v>6.5</v>
          </cell>
          <cell r="L87">
            <v>374.94</v>
          </cell>
          <cell r="M87">
            <v>9</v>
          </cell>
          <cell r="N87" t="str">
            <v>9.839999999999998</v>
          </cell>
          <cell r="O87">
            <v>2.4</v>
          </cell>
          <cell r="P87">
            <v>0</v>
          </cell>
          <cell r="S87">
            <v>0</v>
          </cell>
          <cell r="T87">
            <v>2.4</v>
          </cell>
          <cell r="U87">
            <v>3</v>
          </cell>
        </row>
        <row r="88">
          <cell r="B88" t="str">
            <v>Female</v>
          </cell>
          <cell r="F88">
            <v>8</v>
          </cell>
          <cell r="G88">
            <v>22.2</v>
          </cell>
          <cell r="H88">
            <v>6.1</v>
          </cell>
          <cell r="I88">
            <v>51.8</v>
          </cell>
          <cell r="J88">
            <v>3</v>
          </cell>
          <cell r="K88">
            <v>8</v>
          </cell>
          <cell r="L88">
            <v>213.5</v>
          </cell>
          <cell r="M88">
            <v>60</v>
          </cell>
          <cell r="P88">
            <v>5.2</v>
          </cell>
          <cell r="S88">
            <v>48.2</v>
          </cell>
          <cell r="T88">
            <v>24.9</v>
          </cell>
          <cell r="U88">
            <v>4</v>
          </cell>
        </row>
        <row r="89">
          <cell r="B89" t="str">
            <v>Male</v>
          </cell>
          <cell r="F89">
            <v>13</v>
          </cell>
          <cell r="G89">
            <v>22.1</v>
          </cell>
          <cell r="H89">
            <v>3.9</v>
          </cell>
          <cell r="I89">
            <v>76.900000000000006</v>
          </cell>
          <cell r="J89">
            <v>2</v>
          </cell>
          <cell r="K89">
            <v>14</v>
          </cell>
          <cell r="L89">
            <v>76.760000000000005</v>
          </cell>
          <cell r="N89">
            <v>70.400000000000006</v>
          </cell>
          <cell r="P89">
            <v>22.5</v>
          </cell>
          <cell r="S89">
            <v>25.8</v>
          </cell>
          <cell r="T89">
            <v>11.5</v>
          </cell>
          <cell r="U89">
            <v>4</v>
          </cell>
        </row>
        <row r="90">
          <cell r="B90" t="str">
            <v>Male</v>
          </cell>
          <cell r="F90">
            <v>29</v>
          </cell>
          <cell r="G90">
            <v>51.5</v>
          </cell>
          <cell r="H90">
            <v>17.399999999999999</v>
          </cell>
          <cell r="I90">
            <v>33.1</v>
          </cell>
          <cell r="J90">
            <v>16</v>
          </cell>
          <cell r="K90">
            <v>32</v>
          </cell>
          <cell r="L90">
            <v>49.76</v>
          </cell>
          <cell r="M90">
            <v>0</v>
          </cell>
          <cell r="N90">
            <v>40</v>
          </cell>
          <cell r="O90">
            <v>8.6999999999999993</v>
          </cell>
          <cell r="P90">
            <v>55.9</v>
          </cell>
          <cell r="S90">
            <v>71.8</v>
          </cell>
          <cell r="T90">
            <v>42.5</v>
          </cell>
          <cell r="U90">
            <v>1</v>
          </cell>
        </row>
        <row r="91">
          <cell r="B91" t="str">
            <v>Female</v>
          </cell>
          <cell r="F91">
            <v>2</v>
          </cell>
          <cell r="G91">
            <v>23.6</v>
          </cell>
          <cell r="H91">
            <v>5.0999999999999996</v>
          </cell>
          <cell r="I91">
            <v>66.8</v>
          </cell>
          <cell r="J91">
            <v>4</v>
          </cell>
          <cell r="K91" t="str">
            <v>7.800000000000001</v>
          </cell>
          <cell r="L91">
            <v>54.05</v>
          </cell>
          <cell r="M91">
            <v>23</v>
          </cell>
          <cell r="N91">
            <v>66.84</v>
          </cell>
          <cell r="O91">
            <v>10.6</v>
          </cell>
          <cell r="P91">
            <v>15.5</v>
          </cell>
          <cell r="S91">
            <v>19.600000000000001</v>
          </cell>
          <cell r="T91">
            <v>10.1</v>
          </cell>
          <cell r="U91">
            <v>3</v>
          </cell>
        </row>
        <row r="92">
          <cell r="B92" t="str">
            <v>Female</v>
          </cell>
          <cell r="F92">
            <v>13</v>
          </cell>
          <cell r="G92">
            <v>36.299999999999997</v>
          </cell>
          <cell r="H92">
            <v>8.1999999999999993</v>
          </cell>
          <cell r="I92">
            <v>37.9</v>
          </cell>
          <cell r="J92">
            <v>6</v>
          </cell>
          <cell r="K92">
            <v>14</v>
          </cell>
          <cell r="L92">
            <v>80.959999999999994</v>
          </cell>
          <cell r="M92">
            <v>11</v>
          </cell>
          <cell r="N92">
            <v>58.6</v>
          </cell>
          <cell r="O92">
            <v>9.1</v>
          </cell>
          <cell r="P92">
            <v>21.5</v>
          </cell>
          <cell r="S92">
            <v>41.2</v>
          </cell>
          <cell r="T92">
            <v>27.1</v>
          </cell>
          <cell r="U92">
            <v>3</v>
          </cell>
        </row>
        <row r="93">
          <cell r="B93" t="str">
            <v>Female</v>
          </cell>
          <cell r="F93">
            <v>2</v>
          </cell>
          <cell r="G93">
            <v>16.5</v>
          </cell>
          <cell r="H93">
            <v>3.9</v>
          </cell>
          <cell r="I93">
            <v>89.3</v>
          </cell>
          <cell r="J93">
            <v>3</v>
          </cell>
          <cell r="K93">
            <v>6</v>
          </cell>
          <cell r="L93">
            <v>78.8</v>
          </cell>
          <cell r="M93">
            <v>6</v>
          </cell>
          <cell r="O93">
            <v>11.3</v>
          </cell>
          <cell r="P93">
            <v>9.3000000000000007</v>
          </cell>
          <cell r="S93">
            <v>0</v>
          </cell>
          <cell r="T93">
            <v>13.6</v>
          </cell>
          <cell r="U93">
            <v>1</v>
          </cell>
        </row>
        <row r="94">
          <cell r="B94" t="str">
            <v>Female</v>
          </cell>
          <cell r="F94">
            <v>28</v>
          </cell>
          <cell r="G94">
            <v>34.5</v>
          </cell>
          <cell r="H94">
            <v>16.5</v>
          </cell>
          <cell r="I94">
            <v>47.4</v>
          </cell>
          <cell r="J94">
            <v>11</v>
          </cell>
          <cell r="K94">
            <v>23</v>
          </cell>
          <cell r="L94">
            <v>177.25</v>
          </cell>
          <cell r="M94">
            <v>14</v>
          </cell>
          <cell r="N94">
            <v>19.8</v>
          </cell>
          <cell r="O94">
            <v>2.9</v>
          </cell>
          <cell r="P94">
            <v>47.2</v>
          </cell>
          <cell r="T94">
            <v>19.899999999999999</v>
          </cell>
          <cell r="U94">
            <v>3</v>
          </cell>
        </row>
        <row r="95">
          <cell r="B95" t="str">
            <v>Male</v>
          </cell>
          <cell r="F95">
            <v>6</v>
          </cell>
          <cell r="G95">
            <v>35.200000000000003</v>
          </cell>
          <cell r="H95">
            <v>7.7</v>
          </cell>
          <cell r="I95">
            <v>63</v>
          </cell>
          <cell r="J95">
            <v>2</v>
          </cell>
          <cell r="K95">
            <v>10</v>
          </cell>
          <cell r="L95">
            <v>97.07</v>
          </cell>
          <cell r="M95">
            <v>18</v>
          </cell>
          <cell r="N95">
            <v>42.8</v>
          </cell>
          <cell r="O95">
            <v>0.2</v>
          </cell>
          <cell r="P95">
            <v>27.3</v>
          </cell>
          <cell r="S95">
            <v>26</v>
          </cell>
          <cell r="T95">
            <v>31.3</v>
          </cell>
          <cell r="U95">
            <v>2</v>
          </cell>
        </row>
        <row r="96">
          <cell r="B96" t="str">
            <v>Male</v>
          </cell>
          <cell r="F96">
            <v>13</v>
          </cell>
          <cell r="G96">
            <v>13.9</v>
          </cell>
          <cell r="H96">
            <v>5</v>
          </cell>
          <cell r="I96">
            <v>68.599999999999994</v>
          </cell>
          <cell r="J96">
            <v>2</v>
          </cell>
          <cell r="K96">
            <v>11</v>
          </cell>
          <cell r="L96">
            <v>58.29</v>
          </cell>
          <cell r="M96">
            <v>25</v>
          </cell>
          <cell r="N96">
            <v>25.9</v>
          </cell>
          <cell r="O96">
            <v>8.1999999999999993</v>
          </cell>
          <cell r="P96">
            <v>14</v>
          </cell>
          <cell r="S96">
            <v>28.3</v>
          </cell>
          <cell r="U96">
            <v>2</v>
          </cell>
        </row>
        <row r="97">
          <cell r="B97" t="str">
            <v>Female</v>
          </cell>
          <cell r="F97">
            <v>11</v>
          </cell>
          <cell r="G97">
            <v>25.7</v>
          </cell>
          <cell r="H97">
            <v>9.3000000000000007</v>
          </cell>
          <cell r="I97">
            <v>53.4</v>
          </cell>
          <cell r="J97">
            <v>5</v>
          </cell>
          <cell r="K97">
            <v>12</v>
          </cell>
          <cell r="L97">
            <v>83.64</v>
          </cell>
          <cell r="M97">
            <v>14</v>
          </cell>
          <cell r="N97">
            <v>46</v>
          </cell>
          <cell r="O97">
            <v>7.1</v>
          </cell>
          <cell r="P97">
            <v>26.8</v>
          </cell>
          <cell r="S97">
            <v>32.700000000000003</v>
          </cell>
          <cell r="T97">
            <v>23.1</v>
          </cell>
          <cell r="U97">
            <v>2</v>
          </cell>
        </row>
        <row r="98">
          <cell r="B98" t="str">
            <v>Female</v>
          </cell>
          <cell r="F98">
            <v>13</v>
          </cell>
          <cell r="G98">
            <v>25.3</v>
          </cell>
          <cell r="H98">
            <v>9.3000000000000007</v>
          </cell>
          <cell r="I98">
            <v>48.5</v>
          </cell>
          <cell r="J98">
            <v>3</v>
          </cell>
          <cell r="K98" t="str">
            <v>16.900000000000002</v>
          </cell>
          <cell r="L98">
            <v>40.450000000000003</v>
          </cell>
          <cell r="M98">
            <v>38</v>
          </cell>
          <cell r="N98">
            <v>24.24</v>
          </cell>
          <cell r="O98">
            <v>16.3</v>
          </cell>
          <cell r="P98">
            <v>33.799999999999997</v>
          </cell>
          <cell r="S98">
            <v>62.3</v>
          </cell>
          <cell r="T98">
            <v>22.9</v>
          </cell>
          <cell r="U98">
            <v>4</v>
          </cell>
        </row>
        <row r="99">
          <cell r="B99" t="str">
            <v>Female</v>
          </cell>
          <cell r="F99">
            <v>25</v>
          </cell>
          <cell r="G99">
            <v>44.8</v>
          </cell>
          <cell r="H99">
            <v>14</v>
          </cell>
          <cell r="I99">
            <v>36</v>
          </cell>
          <cell r="J99">
            <v>5</v>
          </cell>
          <cell r="K99">
            <v>22</v>
          </cell>
          <cell r="L99">
            <v>134.18</v>
          </cell>
          <cell r="N99">
            <v>32.4</v>
          </cell>
          <cell r="O99">
            <v>13.1</v>
          </cell>
          <cell r="P99">
            <v>41.3</v>
          </cell>
          <cell r="T99">
            <v>27.2</v>
          </cell>
          <cell r="U99">
            <v>1</v>
          </cell>
        </row>
        <row r="100">
          <cell r="B100" t="str">
            <v>Male</v>
          </cell>
          <cell r="F100">
            <v>21</v>
          </cell>
          <cell r="G100">
            <v>29.4</v>
          </cell>
          <cell r="H100">
            <v>10.8</v>
          </cell>
          <cell r="I100">
            <v>73.900000000000006</v>
          </cell>
          <cell r="J100">
            <v>3</v>
          </cell>
          <cell r="K100">
            <v>13</v>
          </cell>
          <cell r="L100">
            <v>163.78</v>
          </cell>
          <cell r="M100">
            <v>3</v>
          </cell>
          <cell r="O100">
            <v>18.100000000000001</v>
          </cell>
          <cell r="P100">
            <v>17.5</v>
          </cell>
          <cell r="S100">
            <v>45.3</v>
          </cell>
          <cell r="T100">
            <v>20</v>
          </cell>
          <cell r="U100">
            <v>1</v>
          </cell>
        </row>
        <row r="101">
          <cell r="B101" t="str">
            <v>Female</v>
          </cell>
          <cell r="F101">
            <v>15</v>
          </cell>
          <cell r="G101">
            <v>27.2</v>
          </cell>
          <cell r="H101">
            <v>9.3000000000000007</v>
          </cell>
          <cell r="I101">
            <v>56.4</v>
          </cell>
          <cell r="J101">
            <v>6</v>
          </cell>
          <cell r="K101">
            <v>16</v>
          </cell>
          <cell r="L101">
            <v>164.89</v>
          </cell>
          <cell r="M101">
            <v>80</v>
          </cell>
          <cell r="N101">
            <v>36.6</v>
          </cell>
          <cell r="O101">
            <v>1.7</v>
          </cell>
          <cell r="P101">
            <v>33.299999999999997</v>
          </cell>
          <cell r="S101">
            <v>21</v>
          </cell>
          <cell r="T101">
            <v>25.1</v>
          </cell>
          <cell r="U101">
            <v>2</v>
          </cell>
        </row>
        <row r="102">
          <cell r="B102" t="str">
            <v>Female</v>
          </cell>
          <cell r="F102">
            <v>21</v>
          </cell>
          <cell r="G102">
            <v>35.700000000000003</v>
          </cell>
          <cell r="H102">
            <v>14.3</v>
          </cell>
          <cell r="I102">
            <v>34.299999999999997</v>
          </cell>
          <cell r="J102">
            <v>2</v>
          </cell>
          <cell r="K102">
            <v>17</v>
          </cell>
          <cell r="L102">
            <v>156.4</v>
          </cell>
          <cell r="M102">
            <v>41</v>
          </cell>
          <cell r="N102">
            <v>39</v>
          </cell>
          <cell r="O102">
            <v>0.2</v>
          </cell>
          <cell r="P102">
            <v>52</v>
          </cell>
          <cell r="T102">
            <v>29.6</v>
          </cell>
          <cell r="U102">
            <v>1</v>
          </cell>
        </row>
        <row r="103">
          <cell r="B103" t="str">
            <v>Female</v>
          </cell>
          <cell r="F103">
            <v>2</v>
          </cell>
          <cell r="G103">
            <v>13</v>
          </cell>
          <cell r="H103">
            <v>3.1</v>
          </cell>
          <cell r="I103">
            <v>81.599999999999994</v>
          </cell>
          <cell r="J103">
            <v>2</v>
          </cell>
          <cell r="K103">
            <v>8</v>
          </cell>
          <cell r="L103">
            <v>88.51</v>
          </cell>
          <cell r="M103">
            <v>26</v>
          </cell>
          <cell r="N103">
            <v>41.9</v>
          </cell>
          <cell r="O103">
            <v>3.9</v>
          </cell>
          <cell r="P103">
            <v>22.4</v>
          </cell>
          <cell r="S103">
            <v>0</v>
          </cell>
          <cell r="T103">
            <v>2</v>
          </cell>
          <cell r="U103">
            <v>5</v>
          </cell>
        </row>
        <row r="104">
          <cell r="B104" t="str">
            <v>Male</v>
          </cell>
          <cell r="F104">
            <v>8</v>
          </cell>
          <cell r="G104">
            <v>26.1</v>
          </cell>
          <cell r="H104">
            <v>7.8</v>
          </cell>
          <cell r="I104">
            <v>45.9</v>
          </cell>
          <cell r="J104">
            <v>5</v>
          </cell>
          <cell r="K104">
            <v>20</v>
          </cell>
          <cell r="L104">
            <v>63.65</v>
          </cell>
          <cell r="N104">
            <v>36.700000000000003</v>
          </cell>
          <cell r="O104">
            <v>7.6</v>
          </cell>
          <cell r="S104">
            <v>43.5</v>
          </cell>
          <cell r="T104">
            <v>26.1</v>
          </cell>
          <cell r="U104">
            <v>1</v>
          </cell>
        </row>
        <row r="105">
          <cell r="B105" t="str">
            <v>Female</v>
          </cell>
          <cell r="F105">
            <v>16</v>
          </cell>
          <cell r="G105">
            <v>21.1</v>
          </cell>
          <cell r="H105">
            <v>10</v>
          </cell>
          <cell r="I105">
            <v>75.2</v>
          </cell>
          <cell r="J105">
            <v>2</v>
          </cell>
          <cell r="K105">
            <v>14</v>
          </cell>
          <cell r="L105">
            <v>145.96</v>
          </cell>
          <cell r="M105">
            <v>36</v>
          </cell>
          <cell r="N105">
            <v>8</v>
          </cell>
          <cell r="O105">
            <v>15.8</v>
          </cell>
          <cell r="P105">
            <v>49.1</v>
          </cell>
          <cell r="S105">
            <v>29.8</v>
          </cell>
          <cell r="T105">
            <v>18.7</v>
          </cell>
          <cell r="U105">
            <v>5</v>
          </cell>
        </row>
        <row r="106">
          <cell r="B106" t="str">
            <v>Female</v>
          </cell>
          <cell r="F106">
            <v>8</v>
          </cell>
          <cell r="G106">
            <v>25.7</v>
          </cell>
          <cell r="H106">
            <v>8.5</v>
          </cell>
          <cell r="I106">
            <v>51.2</v>
          </cell>
          <cell r="J106">
            <v>2</v>
          </cell>
          <cell r="K106">
            <v>21</v>
          </cell>
          <cell r="L106">
            <v>278.18</v>
          </cell>
          <cell r="M106">
            <v>10</v>
          </cell>
          <cell r="N106">
            <v>26.7</v>
          </cell>
          <cell r="O106">
            <v>21.2</v>
          </cell>
          <cell r="P106">
            <v>23.5</v>
          </cell>
          <cell r="S106">
            <v>33</v>
          </cell>
          <cell r="T106">
            <v>32.200000000000003</v>
          </cell>
          <cell r="U106">
            <v>2</v>
          </cell>
        </row>
        <row r="107">
          <cell r="B107" t="str">
            <v>Female</v>
          </cell>
          <cell r="F107">
            <v>29</v>
          </cell>
          <cell r="G107">
            <v>43.5</v>
          </cell>
          <cell r="H107">
            <v>11.8</v>
          </cell>
          <cell r="I107">
            <v>20</v>
          </cell>
          <cell r="J107">
            <v>3</v>
          </cell>
          <cell r="K107">
            <v>17</v>
          </cell>
          <cell r="L107">
            <v>172.48</v>
          </cell>
          <cell r="M107">
            <v>7</v>
          </cell>
          <cell r="O107">
            <v>5.6</v>
          </cell>
          <cell r="P107">
            <v>48.6</v>
          </cell>
          <cell r="S107">
            <v>79.8</v>
          </cell>
          <cell r="T107">
            <v>30.2</v>
          </cell>
          <cell r="U107">
            <v>1</v>
          </cell>
        </row>
        <row r="108">
          <cell r="B108" t="str">
            <v>Female</v>
          </cell>
          <cell r="F108">
            <v>5</v>
          </cell>
          <cell r="G108">
            <v>23.2</v>
          </cell>
          <cell r="H108">
            <v>7.4</v>
          </cell>
          <cell r="I108">
            <v>52.9</v>
          </cell>
          <cell r="J108">
            <v>4</v>
          </cell>
          <cell r="K108">
            <v>12</v>
          </cell>
          <cell r="L108">
            <v>188.57</v>
          </cell>
          <cell r="M108">
            <v>29</v>
          </cell>
          <cell r="N108">
            <v>11.5</v>
          </cell>
          <cell r="O108">
            <v>4.3</v>
          </cell>
          <cell r="S108">
            <v>15.5</v>
          </cell>
          <cell r="T108">
            <v>12.3</v>
          </cell>
          <cell r="U108">
            <v>1</v>
          </cell>
        </row>
        <row r="109">
          <cell r="B109" t="str">
            <v>Female</v>
          </cell>
          <cell r="F109">
            <v>22</v>
          </cell>
          <cell r="G109">
            <v>41.2</v>
          </cell>
          <cell r="H109">
            <v>16.100000000000001</v>
          </cell>
          <cell r="I109">
            <v>25</v>
          </cell>
          <cell r="J109">
            <v>8</v>
          </cell>
          <cell r="K109">
            <v>24</v>
          </cell>
          <cell r="L109">
            <v>108.33</v>
          </cell>
          <cell r="M109">
            <v>12</v>
          </cell>
          <cell r="N109">
            <v>22</v>
          </cell>
          <cell r="O109">
            <v>9.3000000000000007</v>
          </cell>
          <cell r="P109">
            <v>52.5</v>
          </cell>
          <cell r="S109">
            <v>57.2</v>
          </cell>
          <cell r="T109">
            <v>27.9</v>
          </cell>
          <cell r="U109">
            <v>3</v>
          </cell>
        </row>
        <row r="110">
          <cell r="B110" t="str">
            <v>Female</v>
          </cell>
          <cell r="F110">
            <v>14</v>
          </cell>
          <cell r="G110">
            <v>27.9</v>
          </cell>
          <cell r="H110">
            <v>9</v>
          </cell>
          <cell r="I110">
            <v>49.3</v>
          </cell>
          <cell r="J110">
            <v>1</v>
          </cell>
          <cell r="K110">
            <v>11</v>
          </cell>
          <cell r="L110">
            <v>116.34</v>
          </cell>
          <cell r="M110">
            <v>39</v>
          </cell>
          <cell r="N110">
            <v>15</v>
          </cell>
          <cell r="O110">
            <v>14.6</v>
          </cell>
          <cell r="P110">
            <v>0</v>
          </cell>
          <cell r="S110">
            <v>16.899999999999999</v>
          </cell>
          <cell r="T110">
            <v>26</v>
          </cell>
          <cell r="U110">
            <v>5</v>
          </cell>
        </row>
        <row r="111">
          <cell r="B111" t="str">
            <v>Male</v>
          </cell>
          <cell r="F111">
            <v>14</v>
          </cell>
          <cell r="G111">
            <v>14.7</v>
          </cell>
          <cell r="H111">
            <v>6.6</v>
          </cell>
          <cell r="I111">
            <v>62</v>
          </cell>
          <cell r="K111">
            <v>9.1</v>
          </cell>
          <cell r="L111">
            <v>43.77</v>
          </cell>
          <cell r="M111">
            <v>8</v>
          </cell>
          <cell r="N111" t="str">
            <v>9.719999999999999</v>
          </cell>
          <cell r="O111">
            <v>3.2</v>
          </cell>
          <cell r="P111">
            <v>14.4</v>
          </cell>
          <cell r="T111">
            <v>22.5</v>
          </cell>
        </row>
        <row r="112">
          <cell r="B112" t="str">
            <v>Male</v>
          </cell>
          <cell r="F112">
            <v>4</v>
          </cell>
          <cell r="G112">
            <v>24.2</v>
          </cell>
          <cell r="H112">
            <v>6.6</v>
          </cell>
          <cell r="I112">
            <v>57.2</v>
          </cell>
          <cell r="J112">
            <v>2</v>
          </cell>
          <cell r="K112">
            <v>13</v>
          </cell>
          <cell r="L112">
            <v>87.29</v>
          </cell>
          <cell r="M112">
            <v>45</v>
          </cell>
          <cell r="N112">
            <v>45</v>
          </cell>
          <cell r="O112">
            <v>4</v>
          </cell>
          <cell r="P112">
            <v>23.2</v>
          </cell>
          <cell r="S112">
            <v>30.1</v>
          </cell>
          <cell r="T112">
            <v>16.2</v>
          </cell>
          <cell r="U112">
            <v>1</v>
          </cell>
        </row>
        <row r="113">
          <cell r="B113" t="str">
            <v>Female</v>
          </cell>
          <cell r="F113">
            <v>17</v>
          </cell>
          <cell r="G113">
            <v>25.6</v>
          </cell>
          <cell r="H113">
            <v>7.7</v>
          </cell>
          <cell r="I113">
            <v>65.3</v>
          </cell>
          <cell r="J113">
            <v>2</v>
          </cell>
          <cell r="K113">
            <v>11</v>
          </cell>
          <cell r="L113">
            <v>105.58</v>
          </cell>
          <cell r="M113">
            <v>35</v>
          </cell>
          <cell r="N113">
            <v>22.2</v>
          </cell>
          <cell r="O113">
            <v>3.1</v>
          </cell>
          <cell r="P113">
            <v>18.600000000000001</v>
          </cell>
          <cell r="S113">
            <v>34.799999999999997</v>
          </cell>
          <cell r="T113">
            <v>14.7</v>
          </cell>
          <cell r="U113">
            <v>1</v>
          </cell>
        </row>
        <row r="114">
          <cell r="B114" t="str">
            <v>Female</v>
          </cell>
          <cell r="F114">
            <v>0</v>
          </cell>
          <cell r="H114">
            <v>1</v>
          </cell>
          <cell r="I114">
            <v>81.7</v>
          </cell>
          <cell r="J114">
            <v>1</v>
          </cell>
          <cell r="K114" t="str">
            <v>3.9000000000000004</v>
          </cell>
          <cell r="L114">
            <v>86.48</v>
          </cell>
          <cell r="M114">
            <v>66</v>
          </cell>
          <cell r="N114">
            <v>66.959999999999994</v>
          </cell>
          <cell r="O114">
            <v>2.1</v>
          </cell>
          <cell r="P114">
            <v>0.8</v>
          </cell>
          <cell r="S114">
            <v>11.1</v>
          </cell>
          <cell r="T114">
            <v>5.9</v>
          </cell>
          <cell r="U114">
            <v>2</v>
          </cell>
        </row>
        <row r="115">
          <cell r="B115" t="str">
            <v>Male</v>
          </cell>
          <cell r="F115">
            <v>11</v>
          </cell>
          <cell r="G115">
            <v>27.6</v>
          </cell>
          <cell r="H115">
            <v>5.3</v>
          </cell>
          <cell r="I115">
            <v>51.2</v>
          </cell>
          <cell r="J115">
            <v>3</v>
          </cell>
          <cell r="K115">
            <v>18</v>
          </cell>
          <cell r="L115">
            <v>187.41</v>
          </cell>
          <cell r="M115">
            <v>6</v>
          </cell>
          <cell r="O115">
            <v>0.4</v>
          </cell>
          <cell r="P115">
            <v>24.5</v>
          </cell>
          <cell r="S115">
            <v>8.4</v>
          </cell>
          <cell r="T115">
            <v>14.9</v>
          </cell>
          <cell r="U115">
            <v>2</v>
          </cell>
        </row>
        <row r="116">
          <cell r="B116" t="str">
            <v>Male</v>
          </cell>
          <cell r="F116">
            <v>23</v>
          </cell>
          <cell r="G116">
            <v>33.9</v>
          </cell>
          <cell r="H116">
            <v>11</v>
          </cell>
          <cell r="I116">
            <v>62.7</v>
          </cell>
          <cell r="J116">
            <v>11</v>
          </cell>
          <cell r="K116">
            <v>19.5</v>
          </cell>
          <cell r="L116">
            <v>124.16</v>
          </cell>
          <cell r="M116">
            <v>38</v>
          </cell>
          <cell r="N116">
            <v>14.76</v>
          </cell>
          <cell r="O116">
            <v>9.6999999999999993</v>
          </cell>
          <cell r="P116">
            <v>19.600000000000001</v>
          </cell>
          <cell r="S116">
            <v>51.3</v>
          </cell>
          <cell r="T116">
            <v>33.4</v>
          </cell>
          <cell r="U116">
            <v>1</v>
          </cell>
        </row>
        <row r="117">
          <cell r="B117" t="str">
            <v>Female</v>
          </cell>
          <cell r="F117">
            <v>14</v>
          </cell>
          <cell r="G117">
            <v>36.9</v>
          </cell>
          <cell r="H117">
            <v>5.8</v>
          </cell>
          <cell r="I117">
            <v>56.7</v>
          </cell>
          <cell r="J117">
            <v>4</v>
          </cell>
          <cell r="K117">
            <v>11</v>
          </cell>
          <cell r="L117">
            <v>76.8</v>
          </cell>
          <cell r="M117">
            <v>37</v>
          </cell>
          <cell r="N117">
            <v>48.7</v>
          </cell>
          <cell r="O117">
            <v>2.9</v>
          </cell>
          <cell r="P117">
            <v>36.200000000000003</v>
          </cell>
          <cell r="S117">
            <v>28.6</v>
          </cell>
          <cell r="T117">
            <v>22.9</v>
          </cell>
          <cell r="U117">
            <v>5</v>
          </cell>
        </row>
        <row r="118">
          <cell r="B118" t="str">
            <v>Female</v>
          </cell>
          <cell r="F118">
            <v>2</v>
          </cell>
          <cell r="G118">
            <v>23.1</v>
          </cell>
          <cell r="H118">
            <v>5.0999999999999996</v>
          </cell>
          <cell r="I118">
            <v>69.5</v>
          </cell>
          <cell r="J118">
            <v>3</v>
          </cell>
          <cell r="K118">
            <v>6</v>
          </cell>
          <cell r="L118">
            <v>129.91</v>
          </cell>
          <cell r="M118">
            <v>15</v>
          </cell>
          <cell r="N118">
            <v>12.4</v>
          </cell>
          <cell r="O118">
            <v>0.3</v>
          </cell>
          <cell r="P118">
            <v>10.3</v>
          </cell>
          <cell r="T118">
            <v>7</v>
          </cell>
          <cell r="U118">
            <v>1</v>
          </cell>
        </row>
        <row r="119">
          <cell r="B119" t="str">
            <v>Female</v>
          </cell>
          <cell r="F119">
            <v>1</v>
          </cell>
          <cell r="G119">
            <v>15.3</v>
          </cell>
          <cell r="H119">
            <v>4</v>
          </cell>
          <cell r="I119">
            <v>62.1</v>
          </cell>
          <cell r="J119">
            <v>0</v>
          </cell>
          <cell r="K119">
            <v>4</v>
          </cell>
          <cell r="L119">
            <v>53.98</v>
          </cell>
          <cell r="M119">
            <v>15</v>
          </cell>
          <cell r="O119">
            <v>6.6</v>
          </cell>
          <cell r="S119">
            <v>7</v>
          </cell>
          <cell r="T119">
            <v>3.5</v>
          </cell>
          <cell r="U119">
            <v>5</v>
          </cell>
        </row>
        <row r="120">
          <cell r="B120" t="str">
            <v>Male</v>
          </cell>
          <cell r="F120">
            <v>8</v>
          </cell>
          <cell r="G120">
            <v>16.899999999999999</v>
          </cell>
          <cell r="H120">
            <v>9.9</v>
          </cell>
          <cell r="I120">
            <v>60.3</v>
          </cell>
          <cell r="J120">
            <v>2</v>
          </cell>
          <cell r="K120">
            <v>6</v>
          </cell>
          <cell r="L120">
            <v>112.73</v>
          </cell>
          <cell r="M120">
            <v>5</v>
          </cell>
          <cell r="N120">
            <v>66.599999999999994</v>
          </cell>
          <cell r="O120">
            <v>5.3</v>
          </cell>
          <cell r="P120">
            <v>25.5</v>
          </cell>
          <cell r="T120">
            <v>12.9</v>
          </cell>
          <cell r="U120">
            <v>3</v>
          </cell>
        </row>
        <row r="121">
          <cell r="B121" t="str">
            <v>Male</v>
          </cell>
          <cell r="F121">
            <v>7</v>
          </cell>
          <cell r="H121">
            <v>3.7</v>
          </cell>
          <cell r="I121">
            <v>65</v>
          </cell>
          <cell r="J121">
            <v>5</v>
          </cell>
          <cell r="K121" t="str">
            <v>11.700000000000001</v>
          </cell>
          <cell r="L121">
            <v>113.65</v>
          </cell>
          <cell r="M121">
            <v>38</v>
          </cell>
          <cell r="N121">
            <v>31.56</v>
          </cell>
          <cell r="O121">
            <v>3.5</v>
          </cell>
          <cell r="S121">
            <v>0</v>
          </cell>
          <cell r="T121">
            <v>12.6</v>
          </cell>
          <cell r="U121">
            <v>5</v>
          </cell>
        </row>
        <row r="122">
          <cell r="B122" t="str">
            <v>Female</v>
          </cell>
          <cell r="F122">
            <v>7</v>
          </cell>
          <cell r="H122">
            <v>8.4</v>
          </cell>
          <cell r="I122">
            <v>73.8</v>
          </cell>
          <cell r="J122">
            <v>5</v>
          </cell>
          <cell r="K122">
            <v>8</v>
          </cell>
          <cell r="L122">
            <v>87.69</v>
          </cell>
          <cell r="M122">
            <v>77</v>
          </cell>
          <cell r="N122">
            <v>49.4</v>
          </cell>
          <cell r="O122">
            <v>18</v>
          </cell>
          <cell r="P122">
            <v>16</v>
          </cell>
          <cell r="S122">
            <v>0</v>
          </cell>
          <cell r="T122">
            <v>2</v>
          </cell>
          <cell r="U122">
            <v>3</v>
          </cell>
        </row>
        <row r="123">
          <cell r="B123" t="str">
            <v>Male</v>
          </cell>
          <cell r="F123">
            <v>9</v>
          </cell>
          <cell r="G123">
            <v>29.7</v>
          </cell>
          <cell r="H123">
            <v>6.4</v>
          </cell>
          <cell r="I123">
            <v>73.5</v>
          </cell>
          <cell r="J123">
            <v>6</v>
          </cell>
          <cell r="K123" t="str">
            <v>7.800000000000001</v>
          </cell>
          <cell r="L123">
            <v>91.49</v>
          </cell>
          <cell r="M123">
            <v>32</v>
          </cell>
          <cell r="N123" t="str">
            <v>23.639999999999997</v>
          </cell>
          <cell r="O123">
            <v>7.7</v>
          </cell>
          <cell r="P123">
            <v>6.9</v>
          </cell>
          <cell r="S123">
            <v>9.5</v>
          </cell>
          <cell r="T123">
            <v>13.1</v>
          </cell>
          <cell r="U123">
            <v>2</v>
          </cell>
        </row>
        <row r="124">
          <cell r="B124" t="str">
            <v>Female</v>
          </cell>
          <cell r="F124">
            <v>19</v>
          </cell>
          <cell r="G124">
            <v>25.9</v>
          </cell>
          <cell r="H124">
            <v>5.2</v>
          </cell>
          <cell r="I124">
            <v>69.3</v>
          </cell>
          <cell r="J124">
            <v>7</v>
          </cell>
          <cell r="K124">
            <v>10</v>
          </cell>
          <cell r="L124">
            <v>124.35</v>
          </cell>
          <cell r="M124">
            <v>22</v>
          </cell>
          <cell r="N124">
            <v>21.2</v>
          </cell>
          <cell r="O124">
            <v>0.7</v>
          </cell>
          <cell r="P124">
            <v>16</v>
          </cell>
          <cell r="S124">
            <v>2.6</v>
          </cell>
          <cell r="T124">
            <v>18.8</v>
          </cell>
          <cell r="U124">
            <v>2</v>
          </cell>
        </row>
        <row r="125">
          <cell r="B125" t="str">
            <v>Male</v>
          </cell>
          <cell r="F125">
            <v>7</v>
          </cell>
          <cell r="G125">
            <v>24.6</v>
          </cell>
          <cell r="H125">
            <v>8.5</v>
          </cell>
          <cell r="I125">
            <v>40</v>
          </cell>
          <cell r="J125">
            <v>0</v>
          </cell>
          <cell r="K125">
            <v>9</v>
          </cell>
          <cell r="L125">
            <v>154.63999999999999</v>
          </cell>
          <cell r="M125">
            <v>8</v>
          </cell>
          <cell r="N125">
            <v>60.2</v>
          </cell>
          <cell r="O125">
            <v>3.8</v>
          </cell>
          <cell r="P125">
            <v>0</v>
          </cell>
          <cell r="S125">
            <v>19</v>
          </cell>
          <cell r="T125">
            <v>16.399999999999999</v>
          </cell>
          <cell r="U125">
            <v>3</v>
          </cell>
        </row>
        <row r="126">
          <cell r="B126" t="str">
            <v>Female</v>
          </cell>
          <cell r="F126">
            <v>10</v>
          </cell>
          <cell r="G126">
            <v>16.100000000000001</v>
          </cell>
          <cell r="H126">
            <v>6.3</v>
          </cell>
          <cell r="I126">
            <v>31</v>
          </cell>
          <cell r="J126">
            <v>2</v>
          </cell>
          <cell r="K126">
            <v>20</v>
          </cell>
          <cell r="L126">
            <v>97.98</v>
          </cell>
          <cell r="M126">
            <v>6</v>
          </cell>
          <cell r="N126">
            <v>33.5</v>
          </cell>
          <cell r="O126">
            <v>3</v>
          </cell>
          <cell r="P126">
            <v>9.5</v>
          </cell>
          <cell r="S126">
            <v>13.6</v>
          </cell>
          <cell r="T126">
            <v>10.199999999999999</v>
          </cell>
          <cell r="U126">
            <v>5</v>
          </cell>
        </row>
        <row r="127">
          <cell r="B127" t="str">
            <v>Male</v>
          </cell>
          <cell r="F127">
            <v>22</v>
          </cell>
          <cell r="G127">
            <v>37.6</v>
          </cell>
          <cell r="H127">
            <v>10.9</v>
          </cell>
          <cell r="I127">
            <v>35.700000000000003</v>
          </cell>
          <cell r="J127">
            <v>11</v>
          </cell>
          <cell r="K127">
            <v>19</v>
          </cell>
          <cell r="L127">
            <v>96</v>
          </cell>
          <cell r="M127">
            <v>47</v>
          </cell>
          <cell r="N127">
            <v>27.9</v>
          </cell>
          <cell r="O127">
            <v>8.1999999999999993</v>
          </cell>
          <cell r="P127">
            <v>40.1</v>
          </cell>
          <cell r="S127">
            <v>23.8</v>
          </cell>
          <cell r="T127">
            <v>36.6</v>
          </cell>
          <cell r="U127">
            <v>3</v>
          </cell>
        </row>
        <row r="128">
          <cell r="B128" t="str">
            <v>Male</v>
          </cell>
          <cell r="F128">
            <v>8</v>
          </cell>
          <cell r="G128">
            <v>19.100000000000001</v>
          </cell>
          <cell r="H128">
            <v>8.6</v>
          </cell>
          <cell r="I128">
            <v>65.3</v>
          </cell>
          <cell r="J128">
            <v>2</v>
          </cell>
          <cell r="K128">
            <v>13</v>
          </cell>
          <cell r="L128">
            <v>93.54</v>
          </cell>
          <cell r="M128">
            <v>9</v>
          </cell>
          <cell r="N128">
            <v>33.700000000000003</v>
          </cell>
          <cell r="O128">
            <v>1.2</v>
          </cell>
          <cell r="P128">
            <v>0</v>
          </cell>
          <cell r="S128">
            <v>44.5</v>
          </cell>
          <cell r="T128">
            <v>11</v>
          </cell>
          <cell r="U128">
            <v>1</v>
          </cell>
        </row>
        <row r="129">
          <cell r="B129" t="str">
            <v>Male</v>
          </cell>
          <cell r="F129">
            <v>7</v>
          </cell>
          <cell r="H129">
            <v>5</v>
          </cell>
          <cell r="I129">
            <v>86.4</v>
          </cell>
          <cell r="J129">
            <v>1</v>
          </cell>
          <cell r="K129">
            <v>3</v>
          </cell>
          <cell r="L129">
            <v>78.040000000000006</v>
          </cell>
          <cell r="M129">
            <v>7</v>
          </cell>
          <cell r="N129">
            <v>17</v>
          </cell>
          <cell r="O129">
            <v>3</v>
          </cell>
          <cell r="P129">
            <v>11.5</v>
          </cell>
          <cell r="S129">
            <v>0</v>
          </cell>
          <cell r="T129">
            <v>3</v>
          </cell>
          <cell r="U129">
            <v>2</v>
          </cell>
        </row>
        <row r="130">
          <cell r="B130" t="str">
            <v>Male</v>
          </cell>
          <cell r="F130">
            <v>29</v>
          </cell>
          <cell r="G130">
            <v>56.7</v>
          </cell>
          <cell r="H130">
            <v>15.3</v>
          </cell>
          <cell r="I130">
            <v>25.1</v>
          </cell>
          <cell r="K130">
            <v>32.5</v>
          </cell>
          <cell r="L130">
            <v>193.62</v>
          </cell>
          <cell r="N130">
            <v>23.16</v>
          </cell>
          <cell r="O130">
            <v>2.1</v>
          </cell>
          <cell r="P130">
            <v>22.9</v>
          </cell>
          <cell r="S130">
            <v>82</v>
          </cell>
          <cell r="T130">
            <v>38.700000000000003</v>
          </cell>
          <cell r="U130">
            <v>1</v>
          </cell>
        </row>
        <row r="131">
          <cell r="B131" t="str">
            <v>Female</v>
          </cell>
          <cell r="F131">
            <v>13</v>
          </cell>
          <cell r="G131">
            <v>29.8</v>
          </cell>
          <cell r="H131">
            <v>4.5</v>
          </cell>
          <cell r="I131">
            <v>51</v>
          </cell>
          <cell r="J131">
            <v>6</v>
          </cell>
          <cell r="K131">
            <v>13</v>
          </cell>
          <cell r="L131">
            <v>124.29</v>
          </cell>
          <cell r="M131">
            <v>51</v>
          </cell>
          <cell r="N131">
            <v>10.44</v>
          </cell>
          <cell r="O131">
            <v>22.9</v>
          </cell>
          <cell r="P131">
            <v>1.2</v>
          </cell>
          <cell r="S131">
            <v>43.9</v>
          </cell>
          <cell r="T131">
            <v>17.100000000000001</v>
          </cell>
          <cell r="U131">
            <v>3</v>
          </cell>
        </row>
        <row r="132">
          <cell r="B132" t="str">
            <v>Female</v>
          </cell>
          <cell r="F132">
            <v>0</v>
          </cell>
          <cell r="G132">
            <v>13.1</v>
          </cell>
          <cell r="H132">
            <v>6</v>
          </cell>
          <cell r="I132">
            <v>73.5</v>
          </cell>
          <cell r="J132">
            <v>4</v>
          </cell>
          <cell r="K132">
            <v>9.1</v>
          </cell>
          <cell r="L132">
            <v>110.18</v>
          </cell>
          <cell r="M132">
            <v>27</v>
          </cell>
          <cell r="N132" t="str">
            <v>31.439999999999998</v>
          </cell>
          <cell r="O132">
            <v>11.2</v>
          </cell>
          <cell r="S132">
            <v>3.9</v>
          </cell>
          <cell r="T132">
            <v>11</v>
          </cell>
          <cell r="U132">
            <v>2</v>
          </cell>
        </row>
        <row r="133">
          <cell r="B133" t="str">
            <v>Male</v>
          </cell>
          <cell r="F133">
            <v>6</v>
          </cell>
          <cell r="G133">
            <v>23.8</v>
          </cell>
          <cell r="H133">
            <v>7.9</v>
          </cell>
          <cell r="I133">
            <v>65.2</v>
          </cell>
          <cell r="J133">
            <v>6</v>
          </cell>
          <cell r="K133">
            <v>12</v>
          </cell>
          <cell r="L133">
            <v>125.35</v>
          </cell>
          <cell r="M133">
            <v>102</v>
          </cell>
          <cell r="N133">
            <v>23.4</v>
          </cell>
          <cell r="O133">
            <v>2.1</v>
          </cell>
          <cell r="P133">
            <v>16.899999999999999</v>
          </cell>
          <cell r="U133">
            <v>3</v>
          </cell>
        </row>
        <row r="134">
          <cell r="B134" t="str">
            <v>Male</v>
          </cell>
          <cell r="F134">
            <v>18</v>
          </cell>
          <cell r="G134">
            <v>45.9</v>
          </cell>
          <cell r="H134">
            <v>17.8</v>
          </cell>
          <cell r="I134">
            <v>21.4</v>
          </cell>
          <cell r="J134">
            <v>12</v>
          </cell>
          <cell r="K134">
            <v>20</v>
          </cell>
          <cell r="L134">
            <v>68.61</v>
          </cell>
          <cell r="M134">
            <v>12</v>
          </cell>
          <cell r="N134">
            <v>12.8</v>
          </cell>
          <cell r="O134">
            <v>4.2</v>
          </cell>
          <cell r="P134">
            <v>47.1</v>
          </cell>
          <cell r="S134">
            <v>73.099999999999994</v>
          </cell>
          <cell r="T134">
            <v>40.5</v>
          </cell>
          <cell r="U134">
            <v>1</v>
          </cell>
        </row>
        <row r="135">
          <cell r="B135" t="str">
            <v>Male</v>
          </cell>
          <cell r="F135">
            <v>18</v>
          </cell>
          <cell r="G135">
            <v>44.1</v>
          </cell>
          <cell r="H135">
            <v>10</v>
          </cell>
          <cell r="I135">
            <v>38</v>
          </cell>
          <cell r="J135">
            <v>1</v>
          </cell>
          <cell r="K135">
            <v>14</v>
          </cell>
          <cell r="L135">
            <v>326</v>
          </cell>
          <cell r="M135">
            <v>6</v>
          </cell>
          <cell r="O135">
            <v>10.3</v>
          </cell>
          <cell r="P135">
            <v>21.5</v>
          </cell>
          <cell r="S135">
            <v>46.9</v>
          </cell>
          <cell r="T135">
            <v>31.1</v>
          </cell>
          <cell r="U135">
            <v>5</v>
          </cell>
        </row>
        <row r="136">
          <cell r="B136" t="str">
            <v>Female</v>
          </cell>
          <cell r="F136">
            <v>0</v>
          </cell>
          <cell r="G136">
            <v>19.2</v>
          </cell>
          <cell r="H136">
            <v>5.9</v>
          </cell>
          <cell r="I136">
            <v>79.3</v>
          </cell>
          <cell r="J136">
            <v>1</v>
          </cell>
          <cell r="K136">
            <v>6.5</v>
          </cell>
          <cell r="L136">
            <v>161.12</v>
          </cell>
          <cell r="M136">
            <v>193</v>
          </cell>
          <cell r="N136">
            <v>74.16</v>
          </cell>
          <cell r="O136">
            <v>5.3</v>
          </cell>
          <cell r="P136">
            <v>3.1</v>
          </cell>
          <cell r="S136">
            <v>22.5</v>
          </cell>
          <cell r="U136">
            <v>3</v>
          </cell>
        </row>
        <row r="137">
          <cell r="B137" t="str">
            <v>Male</v>
          </cell>
          <cell r="F137">
            <v>23</v>
          </cell>
          <cell r="G137">
            <v>34.700000000000003</v>
          </cell>
          <cell r="H137">
            <v>9.1999999999999993</v>
          </cell>
          <cell r="I137">
            <v>39.9</v>
          </cell>
          <cell r="J137">
            <v>4</v>
          </cell>
          <cell r="K137">
            <v>16</v>
          </cell>
          <cell r="L137">
            <v>88.18</v>
          </cell>
          <cell r="M137">
            <v>30</v>
          </cell>
          <cell r="N137">
            <v>72.400000000000006</v>
          </cell>
          <cell r="O137">
            <v>2.5</v>
          </cell>
          <cell r="P137">
            <v>39.5</v>
          </cell>
          <cell r="S137">
            <v>22.2</v>
          </cell>
          <cell r="U137">
            <v>2</v>
          </cell>
        </row>
        <row r="138">
          <cell r="B138" t="str">
            <v>Female</v>
          </cell>
          <cell r="F138">
            <v>7</v>
          </cell>
          <cell r="H138">
            <v>10.4</v>
          </cell>
          <cell r="I138">
            <v>67.7</v>
          </cell>
          <cell r="J138">
            <v>3</v>
          </cell>
          <cell r="K138">
            <v>7</v>
          </cell>
          <cell r="L138">
            <v>68.489999999999995</v>
          </cell>
          <cell r="M138">
            <v>8</v>
          </cell>
          <cell r="N138">
            <v>23.5</v>
          </cell>
          <cell r="O138">
            <v>4.2</v>
          </cell>
          <cell r="P138">
            <v>21.1</v>
          </cell>
          <cell r="S138">
            <v>6.6</v>
          </cell>
          <cell r="T138">
            <v>9</v>
          </cell>
          <cell r="U138">
            <v>2</v>
          </cell>
        </row>
        <row r="139">
          <cell r="B139" t="str">
            <v>Male</v>
          </cell>
          <cell r="F139">
            <v>15</v>
          </cell>
          <cell r="G139">
            <v>31.7</v>
          </cell>
          <cell r="H139">
            <v>8.4</v>
          </cell>
          <cell r="I139">
            <v>42.3</v>
          </cell>
          <cell r="J139">
            <v>6</v>
          </cell>
          <cell r="K139">
            <v>19.5</v>
          </cell>
          <cell r="L139">
            <v>57.59</v>
          </cell>
          <cell r="N139" t="str">
            <v>23.639999999999997</v>
          </cell>
          <cell r="O139">
            <v>3</v>
          </cell>
          <cell r="P139">
            <v>29.6</v>
          </cell>
          <cell r="S139">
            <v>28.4</v>
          </cell>
          <cell r="T139">
            <v>31.1</v>
          </cell>
          <cell r="U139">
            <v>3</v>
          </cell>
        </row>
        <row r="140">
          <cell r="B140" t="str">
            <v>Male</v>
          </cell>
          <cell r="F140">
            <v>8</v>
          </cell>
          <cell r="G140">
            <v>12.3</v>
          </cell>
          <cell r="H140">
            <v>6.8</v>
          </cell>
          <cell r="I140">
            <v>74.599999999999994</v>
          </cell>
          <cell r="J140">
            <v>3</v>
          </cell>
          <cell r="K140" t="str">
            <v>11.700000000000001</v>
          </cell>
          <cell r="L140">
            <v>152.76</v>
          </cell>
          <cell r="M140">
            <v>37</v>
          </cell>
          <cell r="O140">
            <v>3.5</v>
          </cell>
          <cell r="S140">
            <v>20.5</v>
          </cell>
          <cell r="T140">
            <v>17.7</v>
          </cell>
          <cell r="U140">
            <v>4</v>
          </cell>
        </row>
        <row r="141">
          <cell r="B141" t="str">
            <v>Male</v>
          </cell>
          <cell r="F141">
            <v>24</v>
          </cell>
          <cell r="G141">
            <v>38.5</v>
          </cell>
          <cell r="H141">
            <v>13.2</v>
          </cell>
          <cell r="I141">
            <v>32.4</v>
          </cell>
          <cell r="J141">
            <v>3</v>
          </cell>
          <cell r="K141">
            <v>17</v>
          </cell>
          <cell r="L141">
            <v>89.58</v>
          </cell>
          <cell r="M141">
            <v>85</v>
          </cell>
          <cell r="N141">
            <v>54.9</v>
          </cell>
          <cell r="O141">
            <v>1</v>
          </cell>
          <cell r="P141">
            <v>27.9</v>
          </cell>
          <cell r="S141">
            <v>33.6</v>
          </cell>
          <cell r="T141">
            <v>18.5</v>
          </cell>
          <cell r="U141">
            <v>4</v>
          </cell>
        </row>
        <row r="142">
          <cell r="B142" t="str">
            <v>Male</v>
          </cell>
          <cell r="F142">
            <v>22</v>
          </cell>
          <cell r="G142">
            <v>39.799999999999997</v>
          </cell>
          <cell r="H142">
            <v>13.1</v>
          </cell>
          <cell r="I142">
            <v>16</v>
          </cell>
          <cell r="J142">
            <v>7</v>
          </cell>
          <cell r="K142">
            <v>16</v>
          </cell>
          <cell r="L142">
            <v>111.53</v>
          </cell>
          <cell r="M142">
            <v>37</v>
          </cell>
          <cell r="N142">
            <v>12.7</v>
          </cell>
          <cell r="O142">
            <v>5.2</v>
          </cell>
          <cell r="P142">
            <v>36.9</v>
          </cell>
          <cell r="S142">
            <v>61.4</v>
          </cell>
          <cell r="T142">
            <v>31.1</v>
          </cell>
          <cell r="U142">
            <v>2</v>
          </cell>
        </row>
        <row r="143">
          <cell r="B143" t="str">
            <v>Male</v>
          </cell>
          <cell r="F143">
            <v>14</v>
          </cell>
          <cell r="G143">
            <v>28.8</v>
          </cell>
          <cell r="H143">
            <v>10.5</v>
          </cell>
          <cell r="I143">
            <v>63.8</v>
          </cell>
          <cell r="J143">
            <v>4</v>
          </cell>
          <cell r="K143">
            <v>12</v>
          </cell>
          <cell r="L143">
            <v>98.61</v>
          </cell>
          <cell r="M143">
            <v>40</v>
          </cell>
          <cell r="N143">
            <v>10.7</v>
          </cell>
          <cell r="O143">
            <v>8</v>
          </cell>
          <cell r="P143">
            <v>27.1</v>
          </cell>
          <cell r="S143">
            <v>23.2</v>
          </cell>
          <cell r="T143">
            <v>17.5</v>
          </cell>
          <cell r="U143">
            <v>3</v>
          </cell>
        </row>
        <row r="144">
          <cell r="B144" t="str">
            <v>Male</v>
          </cell>
          <cell r="F144">
            <v>20</v>
          </cell>
          <cell r="G144">
            <v>40.6</v>
          </cell>
          <cell r="H144">
            <v>16.399999999999999</v>
          </cell>
          <cell r="I144">
            <v>53.6</v>
          </cell>
          <cell r="J144">
            <v>14</v>
          </cell>
          <cell r="K144">
            <v>20.8</v>
          </cell>
          <cell r="L144">
            <v>125.72</v>
          </cell>
          <cell r="M144">
            <v>6</v>
          </cell>
          <cell r="N144">
            <v>10.199999999999999</v>
          </cell>
          <cell r="O144">
            <v>1.4</v>
          </cell>
          <cell r="P144">
            <v>44.2</v>
          </cell>
          <cell r="S144">
            <v>55.3</v>
          </cell>
          <cell r="T144">
            <v>26.8</v>
          </cell>
          <cell r="U144">
            <v>2</v>
          </cell>
        </row>
        <row r="145">
          <cell r="B145" t="str">
            <v>Female</v>
          </cell>
          <cell r="F145">
            <v>7</v>
          </cell>
          <cell r="G145">
            <v>14.5</v>
          </cell>
          <cell r="I145">
            <v>69.900000000000006</v>
          </cell>
          <cell r="J145">
            <v>2</v>
          </cell>
          <cell r="K145">
            <v>7</v>
          </cell>
          <cell r="L145">
            <v>141.58000000000001</v>
          </cell>
          <cell r="M145">
            <v>5</v>
          </cell>
          <cell r="N145">
            <v>80.3</v>
          </cell>
          <cell r="O145">
            <v>8.1</v>
          </cell>
          <cell r="P145">
            <v>9.5</v>
          </cell>
          <cell r="U145">
            <v>5</v>
          </cell>
        </row>
        <row r="146">
          <cell r="B146" t="str">
            <v>Female</v>
          </cell>
          <cell r="F146">
            <v>27</v>
          </cell>
          <cell r="G146">
            <v>40.299999999999997</v>
          </cell>
          <cell r="H146">
            <v>13.1</v>
          </cell>
          <cell r="I146">
            <v>31.4</v>
          </cell>
          <cell r="J146">
            <v>11</v>
          </cell>
          <cell r="K146">
            <v>21</v>
          </cell>
          <cell r="L146">
            <v>144.5</v>
          </cell>
          <cell r="M146">
            <v>27</v>
          </cell>
          <cell r="N146">
            <v>25.2</v>
          </cell>
          <cell r="O146">
            <v>1.2</v>
          </cell>
          <cell r="P146">
            <v>41</v>
          </cell>
          <cell r="T146">
            <v>28.3</v>
          </cell>
          <cell r="U146">
            <v>2</v>
          </cell>
        </row>
        <row r="147">
          <cell r="B147" t="str">
            <v>Male</v>
          </cell>
          <cell r="F147">
            <v>12</v>
          </cell>
          <cell r="G147">
            <v>23.3</v>
          </cell>
          <cell r="H147">
            <v>5</v>
          </cell>
          <cell r="I147">
            <v>74.900000000000006</v>
          </cell>
          <cell r="J147">
            <v>1</v>
          </cell>
          <cell r="K147">
            <v>18</v>
          </cell>
          <cell r="L147">
            <v>122.71</v>
          </cell>
          <cell r="M147">
            <v>7</v>
          </cell>
          <cell r="N147">
            <v>72.8</v>
          </cell>
          <cell r="O147">
            <v>7.8</v>
          </cell>
          <cell r="P147">
            <v>13.2</v>
          </cell>
          <cell r="S147">
            <v>3.5</v>
          </cell>
          <cell r="T147">
            <v>15.9</v>
          </cell>
          <cell r="U147">
            <v>3</v>
          </cell>
        </row>
        <row r="148">
          <cell r="B148" t="str">
            <v>Male</v>
          </cell>
          <cell r="F148">
            <v>6</v>
          </cell>
          <cell r="G148">
            <v>12.1</v>
          </cell>
          <cell r="H148">
            <v>5.0999999999999996</v>
          </cell>
          <cell r="I148">
            <v>82.8</v>
          </cell>
          <cell r="J148">
            <v>2</v>
          </cell>
          <cell r="K148">
            <v>5</v>
          </cell>
          <cell r="L148">
            <v>72.97</v>
          </cell>
          <cell r="M148">
            <v>22</v>
          </cell>
          <cell r="N148">
            <v>77.099999999999994</v>
          </cell>
          <cell r="O148">
            <v>8.1</v>
          </cell>
          <cell r="P148">
            <v>0</v>
          </cell>
          <cell r="S148">
            <v>7.1</v>
          </cell>
          <cell r="T148">
            <v>6.9</v>
          </cell>
          <cell r="U148">
            <v>3</v>
          </cell>
        </row>
        <row r="149">
          <cell r="B149" t="str">
            <v>Female</v>
          </cell>
          <cell r="F149">
            <v>12</v>
          </cell>
          <cell r="G149">
            <v>38.799999999999997</v>
          </cell>
          <cell r="H149">
            <v>8.5</v>
          </cell>
          <cell r="I149">
            <v>51.5</v>
          </cell>
          <cell r="J149">
            <v>7</v>
          </cell>
          <cell r="K149">
            <v>12</v>
          </cell>
          <cell r="L149">
            <v>136.87</v>
          </cell>
          <cell r="M149">
            <v>40</v>
          </cell>
          <cell r="N149">
            <v>22.3</v>
          </cell>
          <cell r="O149">
            <v>2.5</v>
          </cell>
          <cell r="P149">
            <v>46.5</v>
          </cell>
          <cell r="S149">
            <v>33.5</v>
          </cell>
          <cell r="U149">
            <v>1</v>
          </cell>
        </row>
        <row r="150">
          <cell r="B150" t="str">
            <v>Male</v>
          </cell>
          <cell r="F150">
            <v>9</v>
          </cell>
          <cell r="G150">
            <v>15.2</v>
          </cell>
          <cell r="H150">
            <v>5.5</v>
          </cell>
          <cell r="I150">
            <v>87.5</v>
          </cell>
          <cell r="J150">
            <v>1</v>
          </cell>
          <cell r="K150" t="str">
            <v>11.700000000000001</v>
          </cell>
          <cell r="L150">
            <v>137.22999999999999</v>
          </cell>
          <cell r="M150">
            <v>9</v>
          </cell>
          <cell r="N150">
            <v>15.48</v>
          </cell>
          <cell r="O150">
            <v>1.9</v>
          </cell>
          <cell r="P150">
            <v>8.1</v>
          </cell>
          <cell r="T150">
            <v>7.3</v>
          </cell>
          <cell r="U150">
            <v>2</v>
          </cell>
        </row>
        <row r="151">
          <cell r="B151" t="str">
            <v>Male</v>
          </cell>
          <cell r="F151">
            <v>13</v>
          </cell>
          <cell r="G151">
            <v>29.4</v>
          </cell>
          <cell r="H151">
            <v>12</v>
          </cell>
          <cell r="I151">
            <v>40.1</v>
          </cell>
          <cell r="J151">
            <v>11</v>
          </cell>
          <cell r="K151">
            <v>14</v>
          </cell>
          <cell r="L151">
            <v>46.04</v>
          </cell>
          <cell r="M151">
            <v>92</v>
          </cell>
          <cell r="N151">
            <v>41.8</v>
          </cell>
          <cell r="O151">
            <v>0.7</v>
          </cell>
          <cell r="P151">
            <v>45.3</v>
          </cell>
          <cell r="S151">
            <v>43.1</v>
          </cell>
          <cell r="T151">
            <v>24</v>
          </cell>
          <cell r="U151">
            <v>3</v>
          </cell>
        </row>
        <row r="152">
          <cell r="B152" t="str">
            <v>Female</v>
          </cell>
          <cell r="F152">
            <v>27</v>
          </cell>
          <cell r="G152">
            <v>39.6</v>
          </cell>
          <cell r="H152">
            <v>15.1</v>
          </cell>
          <cell r="I152">
            <v>38.200000000000003</v>
          </cell>
          <cell r="J152">
            <v>8</v>
          </cell>
          <cell r="K152">
            <v>29</v>
          </cell>
          <cell r="L152">
            <v>69.17</v>
          </cell>
          <cell r="N152">
            <v>25</v>
          </cell>
          <cell r="O152">
            <v>14.1</v>
          </cell>
          <cell r="P152">
            <v>44.6</v>
          </cell>
          <cell r="S152">
            <v>67.5</v>
          </cell>
          <cell r="U152">
            <v>3</v>
          </cell>
        </row>
        <row r="153">
          <cell r="B153" t="str">
            <v>Male</v>
          </cell>
          <cell r="F153">
            <v>13</v>
          </cell>
          <cell r="G153">
            <v>23</v>
          </cell>
          <cell r="H153">
            <v>9.6</v>
          </cell>
          <cell r="I153">
            <v>77.2</v>
          </cell>
          <cell r="J153">
            <v>2</v>
          </cell>
          <cell r="K153">
            <v>11</v>
          </cell>
          <cell r="L153">
            <v>186.42</v>
          </cell>
          <cell r="M153">
            <v>3</v>
          </cell>
          <cell r="O153">
            <v>18.5</v>
          </cell>
          <cell r="P153">
            <v>36.799999999999997</v>
          </cell>
          <cell r="S153">
            <v>29.7</v>
          </cell>
          <cell r="T153">
            <v>13.8</v>
          </cell>
          <cell r="U153">
            <v>4</v>
          </cell>
        </row>
        <row r="154">
          <cell r="B154" t="str">
            <v>Male</v>
          </cell>
          <cell r="F154">
            <v>17</v>
          </cell>
          <cell r="G154">
            <v>49.2</v>
          </cell>
          <cell r="H154">
            <v>10.1</v>
          </cell>
          <cell r="I154">
            <v>30.2</v>
          </cell>
          <cell r="J154">
            <v>11</v>
          </cell>
          <cell r="K154">
            <v>15</v>
          </cell>
          <cell r="L154">
            <v>72.58</v>
          </cell>
          <cell r="M154">
            <v>11</v>
          </cell>
          <cell r="N154">
            <v>59.5</v>
          </cell>
          <cell r="O154">
            <v>3</v>
          </cell>
          <cell r="P154">
            <v>33.4</v>
          </cell>
          <cell r="S154">
            <v>53.9</v>
          </cell>
          <cell r="T154">
            <v>35.5</v>
          </cell>
          <cell r="U154">
            <v>3</v>
          </cell>
        </row>
        <row r="155">
          <cell r="B155" t="str">
            <v>Female</v>
          </cell>
          <cell r="F155">
            <v>17</v>
          </cell>
          <cell r="G155">
            <v>31.4</v>
          </cell>
          <cell r="H155">
            <v>10.5</v>
          </cell>
          <cell r="I155">
            <v>48.8</v>
          </cell>
          <cell r="J155">
            <v>5</v>
          </cell>
          <cell r="K155" t="str">
            <v>23.400000000000002</v>
          </cell>
          <cell r="L155">
            <v>94.22</v>
          </cell>
          <cell r="M155">
            <v>17</v>
          </cell>
          <cell r="N155">
            <v>67.08</v>
          </cell>
          <cell r="O155">
            <v>7.6</v>
          </cell>
          <cell r="P155">
            <v>9.9</v>
          </cell>
          <cell r="S155">
            <v>50.2</v>
          </cell>
          <cell r="T155">
            <v>24.8</v>
          </cell>
          <cell r="U155">
            <v>2</v>
          </cell>
        </row>
        <row r="156">
          <cell r="B156" t="str">
            <v>Female</v>
          </cell>
          <cell r="F156">
            <v>15</v>
          </cell>
          <cell r="G156">
            <v>30.5</v>
          </cell>
          <cell r="H156">
            <v>9.1</v>
          </cell>
          <cell r="I156">
            <v>59</v>
          </cell>
          <cell r="J156">
            <v>1</v>
          </cell>
          <cell r="K156">
            <v>12</v>
          </cell>
          <cell r="L156">
            <v>47.93</v>
          </cell>
          <cell r="M156">
            <v>6</v>
          </cell>
          <cell r="N156">
            <v>19.399999999999999</v>
          </cell>
          <cell r="O156">
            <v>2.1</v>
          </cell>
          <cell r="P156">
            <v>20.9</v>
          </cell>
          <cell r="S156">
            <v>12.8</v>
          </cell>
          <cell r="T156">
            <v>9.3000000000000007</v>
          </cell>
          <cell r="U156">
            <v>2</v>
          </cell>
        </row>
        <row r="157">
          <cell r="B157" t="str">
            <v>Female</v>
          </cell>
          <cell r="F157">
            <v>21</v>
          </cell>
          <cell r="G157">
            <v>45.8</v>
          </cell>
          <cell r="H157">
            <v>12</v>
          </cell>
          <cell r="I157">
            <v>28.1</v>
          </cell>
          <cell r="J157">
            <v>7</v>
          </cell>
          <cell r="K157">
            <v>20</v>
          </cell>
          <cell r="L157">
            <v>170.59</v>
          </cell>
          <cell r="M157">
            <v>16</v>
          </cell>
          <cell r="N157">
            <v>3.4</v>
          </cell>
          <cell r="O157">
            <v>5</v>
          </cell>
          <cell r="P157">
            <v>24</v>
          </cell>
          <cell r="T157">
            <v>38.9</v>
          </cell>
          <cell r="U157">
            <v>3</v>
          </cell>
        </row>
        <row r="158">
          <cell r="B158" t="str">
            <v>Female</v>
          </cell>
          <cell r="F158">
            <v>9</v>
          </cell>
          <cell r="G158">
            <v>28.3</v>
          </cell>
          <cell r="H158">
            <v>10.5</v>
          </cell>
          <cell r="I158">
            <v>64.599999999999994</v>
          </cell>
          <cell r="J158">
            <v>9</v>
          </cell>
          <cell r="K158">
            <v>14</v>
          </cell>
          <cell r="L158">
            <v>59.13</v>
          </cell>
          <cell r="M158">
            <v>81</v>
          </cell>
          <cell r="N158">
            <v>54.1</v>
          </cell>
          <cell r="O158">
            <v>5.4</v>
          </cell>
          <cell r="P158">
            <v>21.6</v>
          </cell>
          <cell r="S158">
            <v>34.1</v>
          </cell>
          <cell r="T158">
            <v>28.4</v>
          </cell>
          <cell r="U158">
            <v>2</v>
          </cell>
        </row>
        <row r="159">
          <cell r="B159" t="str">
            <v>Male</v>
          </cell>
          <cell r="F159">
            <v>24</v>
          </cell>
          <cell r="G159">
            <v>36.5</v>
          </cell>
          <cell r="H159">
            <v>9.6</v>
          </cell>
          <cell r="I159">
            <v>43.4</v>
          </cell>
          <cell r="J159">
            <v>6</v>
          </cell>
          <cell r="K159">
            <v>18.2</v>
          </cell>
          <cell r="L159">
            <v>70.239999999999995</v>
          </cell>
          <cell r="M159">
            <v>19</v>
          </cell>
          <cell r="O159">
            <v>3.8</v>
          </cell>
          <cell r="P159">
            <v>22.9</v>
          </cell>
          <cell r="S159">
            <v>12.3</v>
          </cell>
          <cell r="T159">
            <v>22</v>
          </cell>
          <cell r="U159">
            <v>3</v>
          </cell>
        </row>
        <row r="160">
          <cell r="B160" t="str">
            <v>Male</v>
          </cell>
          <cell r="F160">
            <v>0</v>
          </cell>
          <cell r="G160">
            <v>25.9</v>
          </cell>
          <cell r="H160">
            <v>2.5</v>
          </cell>
          <cell r="I160">
            <v>58.2</v>
          </cell>
          <cell r="J160">
            <v>2</v>
          </cell>
          <cell r="K160">
            <v>4</v>
          </cell>
          <cell r="L160">
            <v>79.19</v>
          </cell>
          <cell r="M160">
            <v>20</v>
          </cell>
          <cell r="N160">
            <v>7.1</v>
          </cell>
          <cell r="O160">
            <v>3.3</v>
          </cell>
          <cell r="P160">
            <v>0</v>
          </cell>
          <cell r="S160">
            <v>15.6</v>
          </cell>
          <cell r="T160">
            <v>15.9</v>
          </cell>
          <cell r="U160">
            <v>3</v>
          </cell>
        </row>
        <row r="161">
          <cell r="B161" t="str">
            <v>Female</v>
          </cell>
          <cell r="F161">
            <v>11</v>
          </cell>
          <cell r="G161">
            <v>30.5</v>
          </cell>
          <cell r="H161">
            <v>6.9</v>
          </cell>
          <cell r="I161">
            <v>63.8</v>
          </cell>
          <cell r="J161">
            <v>7</v>
          </cell>
          <cell r="K161">
            <v>10</v>
          </cell>
          <cell r="L161">
            <v>90.02</v>
          </cell>
          <cell r="M161">
            <v>1</v>
          </cell>
          <cell r="N161">
            <v>49.8</v>
          </cell>
          <cell r="O161">
            <v>7.6</v>
          </cell>
          <cell r="P161">
            <v>11.1</v>
          </cell>
          <cell r="S161">
            <v>33.5</v>
          </cell>
          <cell r="U161">
            <v>4</v>
          </cell>
        </row>
        <row r="162">
          <cell r="B162" t="str">
            <v>Female</v>
          </cell>
          <cell r="F162">
            <v>10</v>
          </cell>
          <cell r="G162">
            <v>30.6</v>
          </cell>
          <cell r="H162">
            <v>10.3</v>
          </cell>
          <cell r="I162">
            <v>66.7</v>
          </cell>
          <cell r="K162" t="str">
            <v>16.900000000000002</v>
          </cell>
          <cell r="L162">
            <v>122.75</v>
          </cell>
          <cell r="M162">
            <v>49</v>
          </cell>
          <cell r="N162">
            <v>44.76</v>
          </cell>
          <cell r="O162">
            <v>11</v>
          </cell>
          <cell r="P162">
            <v>17.399999999999999</v>
          </cell>
          <cell r="S162">
            <v>50.6</v>
          </cell>
          <cell r="T162">
            <v>26.5</v>
          </cell>
          <cell r="U162">
            <v>2</v>
          </cell>
        </row>
        <row r="163">
          <cell r="B163" t="str">
            <v>Female</v>
          </cell>
          <cell r="F163">
            <v>30</v>
          </cell>
          <cell r="G163">
            <v>47.7</v>
          </cell>
          <cell r="H163">
            <v>17.7</v>
          </cell>
          <cell r="I163">
            <v>21.2</v>
          </cell>
          <cell r="J163">
            <v>7</v>
          </cell>
          <cell r="K163">
            <v>33</v>
          </cell>
          <cell r="L163">
            <v>171.15</v>
          </cell>
          <cell r="M163">
            <v>22</v>
          </cell>
          <cell r="N163">
            <v>17.5</v>
          </cell>
          <cell r="O163">
            <v>9.9</v>
          </cell>
          <cell r="P163">
            <v>55.9</v>
          </cell>
          <cell r="S163">
            <v>71.3</v>
          </cell>
          <cell r="T163">
            <v>45.6</v>
          </cell>
          <cell r="U163">
            <v>2</v>
          </cell>
        </row>
        <row r="164">
          <cell r="B164" t="str">
            <v>Male</v>
          </cell>
          <cell r="F164">
            <v>13</v>
          </cell>
          <cell r="G164">
            <v>36.5</v>
          </cell>
          <cell r="H164">
            <v>8.9</v>
          </cell>
          <cell r="I164">
            <v>64.5</v>
          </cell>
          <cell r="K164">
            <v>12</v>
          </cell>
          <cell r="L164">
            <v>149.76</v>
          </cell>
          <cell r="M164">
            <v>87</v>
          </cell>
          <cell r="N164">
            <v>42.4</v>
          </cell>
          <cell r="O164">
            <v>5.8</v>
          </cell>
          <cell r="P164">
            <v>27.9</v>
          </cell>
          <cell r="S164">
            <v>59.4</v>
          </cell>
          <cell r="T164">
            <v>22.6</v>
          </cell>
          <cell r="U164">
            <v>1</v>
          </cell>
        </row>
        <row r="165">
          <cell r="B165" t="str">
            <v>Male</v>
          </cell>
          <cell r="F165">
            <v>14</v>
          </cell>
          <cell r="G165">
            <v>33.9</v>
          </cell>
          <cell r="H165">
            <v>12</v>
          </cell>
          <cell r="I165">
            <v>49</v>
          </cell>
          <cell r="J165">
            <v>4</v>
          </cell>
          <cell r="K165">
            <v>27.3</v>
          </cell>
          <cell r="L165">
            <v>103.82</v>
          </cell>
          <cell r="M165">
            <v>32</v>
          </cell>
          <cell r="N165">
            <v>82.68</v>
          </cell>
          <cell r="O165">
            <v>3.2</v>
          </cell>
          <cell r="P165">
            <v>28.8</v>
          </cell>
          <cell r="S165">
            <v>31.7</v>
          </cell>
          <cell r="T165">
            <v>33.9</v>
          </cell>
          <cell r="U165">
            <v>5</v>
          </cell>
        </row>
        <row r="166">
          <cell r="B166" t="str">
            <v>Female</v>
          </cell>
          <cell r="F166">
            <v>25</v>
          </cell>
          <cell r="G166">
            <v>59.4</v>
          </cell>
          <cell r="H166">
            <v>15.3</v>
          </cell>
          <cell r="I166">
            <v>22.2</v>
          </cell>
          <cell r="J166">
            <v>11</v>
          </cell>
          <cell r="K166">
            <v>24</v>
          </cell>
          <cell r="L166">
            <v>57.86</v>
          </cell>
          <cell r="M166">
            <v>9</v>
          </cell>
          <cell r="N166">
            <v>59.4</v>
          </cell>
          <cell r="O166">
            <v>14</v>
          </cell>
          <cell r="P166">
            <v>27.9</v>
          </cell>
          <cell r="S166">
            <v>84.3</v>
          </cell>
          <cell r="T166">
            <v>27.9</v>
          </cell>
          <cell r="U166">
            <v>1</v>
          </cell>
        </row>
        <row r="167">
          <cell r="B167" t="str">
            <v>Female</v>
          </cell>
          <cell r="F167">
            <v>18</v>
          </cell>
          <cell r="G167">
            <v>43.6</v>
          </cell>
          <cell r="H167">
            <v>11.5</v>
          </cell>
          <cell r="I167">
            <v>37.200000000000003</v>
          </cell>
          <cell r="J167">
            <v>8</v>
          </cell>
          <cell r="K167">
            <v>14</v>
          </cell>
          <cell r="L167">
            <v>84.56</v>
          </cell>
          <cell r="M167">
            <v>21</v>
          </cell>
          <cell r="N167">
            <v>12.7</v>
          </cell>
          <cell r="O167">
            <v>4.3</v>
          </cell>
          <cell r="P167">
            <v>31.7</v>
          </cell>
          <cell r="T167">
            <v>30.5</v>
          </cell>
          <cell r="U167">
            <v>2</v>
          </cell>
        </row>
        <row r="168">
          <cell r="B168" t="str">
            <v>Female</v>
          </cell>
          <cell r="F168">
            <v>14</v>
          </cell>
          <cell r="G168">
            <v>20.3</v>
          </cell>
          <cell r="H168">
            <v>7.1</v>
          </cell>
          <cell r="I168">
            <v>75</v>
          </cell>
          <cell r="J168">
            <v>0</v>
          </cell>
          <cell r="K168">
            <v>3</v>
          </cell>
          <cell r="L168">
            <v>112.83</v>
          </cell>
          <cell r="M168">
            <v>101</v>
          </cell>
          <cell r="N168">
            <v>38.5</v>
          </cell>
          <cell r="O168">
            <v>15.8</v>
          </cell>
          <cell r="P168">
            <v>2.1</v>
          </cell>
          <cell r="S168">
            <v>0</v>
          </cell>
          <cell r="T168">
            <v>9</v>
          </cell>
          <cell r="U168">
            <v>4</v>
          </cell>
        </row>
        <row r="169">
          <cell r="B169" t="str">
            <v>Male</v>
          </cell>
          <cell r="F169">
            <v>13</v>
          </cell>
          <cell r="G169">
            <v>19.600000000000001</v>
          </cell>
          <cell r="H169">
            <v>9.6</v>
          </cell>
          <cell r="I169">
            <v>56.7</v>
          </cell>
          <cell r="J169">
            <v>3</v>
          </cell>
          <cell r="K169">
            <v>19.5</v>
          </cell>
          <cell r="L169">
            <v>106.31</v>
          </cell>
          <cell r="M169">
            <v>0</v>
          </cell>
          <cell r="N169" t="str">
            <v>63.599999999999994</v>
          </cell>
          <cell r="O169">
            <v>0.1</v>
          </cell>
          <cell r="P169">
            <v>22.9</v>
          </cell>
          <cell r="S169">
            <v>0</v>
          </cell>
          <cell r="T169">
            <v>8.6</v>
          </cell>
          <cell r="U169">
            <v>4</v>
          </cell>
        </row>
        <row r="170">
          <cell r="B170" t="str">
            <v>Male</v>
          </cell>
          <cell r="F170">
            <v>25</v>
          </cell>
          <cell r="G170">
            <v>47.9</v>
          </cell>
          <cell r="H170">
            <v>13.6</v>
          </cell>
          <cell r="I170">
            <v>34.5</v>
          </cell>
          <cell r="J170">
            <v>11</v>
          </cell>
          <cell r="K170">
            <v>21</v>
          </cell>
          <cell r="L170">
            <v>153.32</v>
          </cell>
          <cell r="M170">
            <v>18</v>
          </cell>
          <cell r="N170">
            <v>34.9</v>
          </cell>
          <cell r="O170">
            <v>7.2</v>
          </cell>
          <cell r="P170">
            <v>36.700000000000003</v>
          </cell>
          <cell r="T170">
            <v>33.5</v>
          </cell>
          <cell r="U170">
            <v>1</v>
          </cell>
        </row>
        <row r="171">
          <cell r="B171" t="str">
            <v>Male</v>
          </cell>
          <cell r="F171">
            <v>0</v>
          </cell>
          <cell r="H171">
            <v>7.8</v>
          </cell>
          <cell r="I171">
            <v>72.8</v>
          </cell>
          <cell r="J171">
            <v>3</v>
          </cell>
          <cell r="K171">
            <v>11</v>
          </cell>
          <cell r="L171">
            <v>89.49</v>
          </cell>
          <cell r="N171">
            <v>20.6</v>
          </cell>
          <cell r="O171">
            <v>3.3</v>
          </cell>
          <cell r="P171">
            <v>10.4</v>
          </cell>
          <cell r="S171">
            <v>10</v>
          </cell>
          <cell r="T171">
            <v>15</v>
          </cell>
          <cell r="U171">
            <v>2</v>
          </cell>
        </row>
        <row r="172">
          <cell r="B172" t="str">
            <v>Female</v>
          </cell>
          <cell r="F172">
            <v>15</v>
          </cell>
          <cell r="H172">
            <v>8.1</v>
          </cell>
          <cell r="I172">
            <v>66.8</v>
          </cell>
          <cell r="J172">
            <v>4</v>
          </cell>
          <cell r="K172">
            <v>13</v>
          </cell>
          <cell r="L172">
            <v>167.34</v>
          </cell>
          <cell r="M172">
            <v>1</v>
          </cell>
          <cell r="N172">
            <v>65.099999999999994</v>
          </cell>
          <cell r="O172">
            <v>1.5</v>
          </cell>
          <cell r="P172">
            <v>11.7</v>
          </cell>
          <cell r="S172">
            <v>31.7</v>
          </cell>
          <cell r="T172">
            <v>16.7</v>
          </cell>
          <cell r="U172">
            <v>2</v>
          </cell>
        </row>
        <row r="173">
          <cell r="B173" t="str">
            <v>Male</v>
          </cell>
          <cell r="F173">
            <v>10</v>
          </cell>
          <cell r="G173">
            <v>30.2</v>
          </cell>
          <cell r="H173">
            <v>8.6999999999999993</v>
          </cell>
          <cell r="I173">
            <v>57.4</v>
          </cell>
          <cell r="J173">
            <v>12</v>
          </cell>
          <cell r="K173" t="str">
            <v>15.600000000000001</v>
          </cell>
          <cell r="L173">
            <v>134.93</v>
          </cell>
          <cell r="M173">
            <v>43</v>
          </cell>
          <cell r="N173">
            <v>68.52</v>
          </cell>
          <cell r="O173">
            <v>0.6</v>
          </cell>
          <cell r="P173">
            <v>41.4</v>
          </cell>
          <cell r="S173">
            <v>34.4</v>
          </cell>
          <cell r="T173">
            <v>27.9</v>
          </cell>
          <cell r="U173">
            <v>1</v>
          </cell>
        </row>
        <row r="174">
          <cell r="B174" t="str">
            <v>Female</v>
          </cell>
          <cell r="F174">
            <v>12</v>
          </cell>
          <cell r="G174">
            <v>35</v>
          </cell>
          <cell r="H174">
            <v>9</v>
          </cell>
          <cell r="I174">
            <v>46.6</v>
          </cell>
          <cell r="K174">
            <v>15</v>
          </cell>
          <cell r="L174">
            <v>110.46</v>
          </cell>
          <cell r="M174">
            <v>30</v>
          </cell>
          <cell r="N174">
            <v>4.9000000000000004</v>
          </cell>
          <cell r="O174">
            <v>7.6</v>
          </cell>
          <cell r="P174">
            <v>34.700000000000003</v>
          </cell>
          <cell r="S174">
            <v>51.4</v>
          </cell>
          <cell r="T174">
            <v>25.6</v>
          </cell>
          <cell r="U174">
            <v>2</v>
          </cell>
        </row>
        <row r="175">
          <cell r="B175" t="str">
            <v>Male</v>
          </cell>
          <cell r="F175">
            <v>17</v>
          </cell>
          <cell r="G175">
            <v>26.9</v>
          </cell>
          <cell r="H175">
            <v>10.1</v>
          </cell>
          <cell r="I175">
            <v>53.9</v>
          </cell>
          <cell r="J175">
            <v>3</v>
          </cell>
          <cell r="K175">
            <v>12</v>
          </cell>
          <cell r="L175">
            <v>68.819999999999993</v>
          </cell>
          <cell r="M175">
            <v>7</v>
          </cell>
          <cell r="N175">
            <v>34.4</v>
          </cell>
          <cell r="O175">
            <v>2.8</v>
          </cell>
          <cell r="P175">
            <v>32</v>
          </cell>
          <cell r="U175">
            <v>1</v>
          </cell>
        </row>
        <row r="176">
          <cell r="B176" t="str">
            <v>Male</v>
          </cell>
          <cell r="F176">
            <v>12</v>
          </cell>
          <cell r="G176">
            <v>32.299999999999997</v>
          </cell>
          <cell r="H176">
            <v>6.5</v>
          </cell>
          <cell r="I176">
            <v>50.6</v>
          </cell>
          <cell r="J176">
            <v>3</v>
          </cell>
          <cell r="K176">
            <v>13</v>
          </cell>
          <cell r="L176">
            <v>159.02000000000001</v>
          </cell>
          <cell r="M176">
            <v>66</v>
          </cell>
          <cell r="N176">
            <v>14</v>
          </cell>
          <cell r="O176">
            <v>8.6999999999999993</v>
          </cell>
          <cell r="P176">
            <v>21.9</v>
          </cell>
          <cell r="S176">
            <v>5.7</v>
          </cell>
          <cell r="T176">
            <v>14.8</v>
          </cell>
        </row>
        <row r="177">
          <cell r="B177" t="str">
            <v>Male</v>
          </cell>
          <cell r="F177">
            <v>15</v>
          </cell>
          <cell r="G177">
            <v>31.8</v>
          </cell>
          <cell r="H177">
            <v>10.7</v>
          </cell>
          <cell r="I177">
            <v>50.5</v>
          </cell>
          <cell r="J177">
            <v>6</v>
          </cell>
          <cell r="K177">
            <v>16</v>
          </cell>
          <cell r="L177">
            <v>116.59</v>
          </cell>
          <cell r="M177">
            <v>65</v>
          </cell>
          <cell r="N177">
            <v>16.899999999999999</v>
          </cell>
          <cell r="O177">
            <v>3.4</v>
          </cell>
          <cell r="P177">
            <v>36.700000000000003</v>
          </cell>
          <cell r="S177">
            <v>48.4</v>
          </cell>
          <cell r="T177">
            <v>35.799999999999997</v>
          </cell>
          <cell r="U177">
            <v>2</v>
          </cell>
        </row>
        <row r="178">
          <cell r="B178" t="str">
            <v>Male</v>
          </cell>
          <cell r="F178">
            <v>30</v>
          </cell>
          <cell r="G178">
            <v>37.700000000000003</v>
          </cell>
          <cell r="H178">
            <v>13.8</v>
          </cell>
          <cell r="I178">
            <v>37</v>
          </cell>
          <cell r="J178">
            <v>12</v>
          </cell>
          <cell r="K178">
            <v>16</v>
          </cell>
          <cell r="L178">
            <v>62.05</v>
          </cell>
          <cell r="M178">
            <v>14</v>
          </cell>
          <cell r="O178">
            <v>3.3</v>
          </cell>
          <cell r="P178">
            <v>51.3</v>
          </cell>
          <cell r="T178">
            <v>37.6</v>
          </cell>
          <cell r="U178">
            <v>2</v>
          </cell>
        </row>
        <row r="179">
          <cell r="B179" t="str">
            <v>Female</v>
          </cell>
          <cell r="F179">
            <v>18</v>
          </cell>
          <cell r="G179">
            <v>36.200000000000003</v>
          </cell>
          <cell r="H179">
            <v>13.7</v>
          </cell>
          <cell r="I179">
            <v>44.1</v>
          </cell>
          <cell r="J179">
            <v>5</v>
          </cell>
          <cell r="K179">
            <v>18</v>
          </cell>
          <cell r="L179">
            <v>63.76</v>
          </cell>
          <cell r="M179">
            <v>35</v>
          </cell>
          <cell r="N179">
            <v>40.299999999999997</v>
          </cell>
          <cell r="O179">
            <v>15</v>
          </cell>
          <cell r="P179">
            <v>45.3</v>
          </cell>
          <cell r="S179">
            <v>16.600000000000001</v>
          </cell>
          <cell r="T179">
            <v>35.6</v>
          </cell>
          <cell r="U179">
            <v>1</v>
          </cell>
        </row>
        <row r="180">
          <cell r="B180" t="str">
            <v>Male</v>
          </cell>
          <cell r="F180">
            <v>15</v>
          </cell>
          <cell r="G180">
            <v>24.6</v>
          </cell>
          <cell r="H180">
            <v>10.199999999999999</v>
          </cell>
          <cell r="I180">
            <v>57.4</v>
          </cell>
          <cell r="J180">
            <v>4</v>
          </cell>
          <cell r="K180">
            <v>12</v>
          </cell>
          <cell r="L180">
            <v>105.97</v>
          </cell>
          <cell r="M180">
            <v>11</v>
          </cell>
          <cell r="N180">
            <v>49</v>
          </cell>
          <cell r="O180">
            <v>9.1</v>
          </cell>
          <cell r="P180">
            <v>25.9</v>
          </cell>
          <cell r="S180">
            <v>12.6</v>
          </cell>
          <cell r="T180">
            <v>24.7</v>
          </cell>
          <cell r="U180">
            <v>2</v>
          </cell>
        </row>
        <row r="181">
          <cell r="B181" t="str">
            <v>Male</v>
          </cell>
          <cell r="F181">
            <v>4</v>
          </cell>
          <cell r="G181">
            <v>32.5</v>
          </cell>
          <cell r="H181">
            <v>10.9</v>
          </cell>
          <cell r="I181">
            <v>56.7</v>
          </cell>
          <cell r="J181">
            <v>4</v>
          </cell>
          <cell r="K181">
            <v>9.1</v>
          </cell>
          <cell r="L181">
            <v>97.64</v>
          </cell>
          <cell r="M181">
            <v>14</v>
          </cell>
          <cell r="N181">
            <v>96.36</v>
          </cell>
          <cell r="O181">
            <v>5.0999999999999996</v>
          </cell>
          <cell r="P181">
            <v>12.3</v>
          </cell>
          <cell r="S181">
            <v>4.5999999999999996</v>
          </cell>
          <cell r="T181">
            <v>14</v>
          </cell>
          <cell r="U181">
            <v>2</v>
          </cell>
        </row>
        <row r="182">
          <cell r="B182" t="str">
            <v>Male</v>
          </cell>
          <cell r="F182">
            <v>7</v>
          </cell>
          <cell r="G182">
            <v>27.2</v>
          </cell>
          <cell r="H182">
            <v>2.2999999999999998</v>
          </cell>
          <cell r="I182">
            <v>68.2</v>
          </cell>
          <cell r="J182">
            <v>2</v>
          </cell>
          <cell r="K182">
            <v>14</v>
          </cell>
          <cell r="L182">
            <v>152.9</v>
          </cell>
          <cell r="M182">
            <v>26</v>
          </cell>
          <cell r="N182">
            <v>35</v>
          </cell>
          <cell r="O182">
            <v>1.6</v>
          </cell>
          <cell r="P182">
            <v>7.2</v>
          </cell>
          <cell r="S182">
            <v>22.1</v>
          </cell>
          <cell r="T182">
            <v>16.5</v>
          </cell>
          <cell r="U182">
            <v>1</v>
          </cell>
        </row>
        <row r="183">
          <cell r="B183" t="str">
            <v>Female</v>
          </cell>
          <cell r="F183">
            <v>0</v>
          </cell>
          <cell r="G183">
            <v>29.5</v>
          </cell>
          <cell r="H183">
            <v>11.1</v>
          </cell>
          <cell r="I183">
            <v>57.3</v>
          </cell>
          <cell r="J183">
            <v>2</v>
          </cell>
          <cell r="K183">
            <v>11</v>
          </cell>
          <cell r="L183">
            <v>178.8</v>
          </cell>
          <cell r="N183">
            <v>32.799999999999997</v>
          </cell>
          <cell r="O183">
            <v>6.6</v>
          </cell>
          <cell r="P183">
            <v>2</v>
          </cell>
          <cell r="S183">
            <v>42.4</v>
          </cell>
          <cell r="T183">
            <v>23.7</v>
          </cell>
          <cell r="U183">
            <v>3</v>
          </cell>
        </row>
        <row r="184">
          <cell r="B184" t="str">
            <v>Other</v>
          </cell>
          <cell r="F184">
            <v>11</v>
          </cell>
          <cell r="G184">
            <v>33</v>
          </cell>
          <cell r="H184">
            <v>10</v>
          </cell>
          <cell r="I184">
            <v>52.3</v>
          </cell>
          <cell r="J184">
            <v>4</v>
          </cell>
          <cell r="K184">
            <v>15</v>
          </cell>
          <cell r="L184">
            <v>88</v>
          </cell>
          <cell r="M184">
            <v>42</v>
          </cell>
          <cell r="N184">
            <v>11.5</v>
          </cell>
          <cell r="O184">
            <v>0.8</v>
          </cell>
          <cell r="P184">
            <v>11.8</v>
          </cell>
          <cell r="T184">
            <v>22.2</v>
          </cell>
          <cell r="U184">
            <v>3</v>
          </cell>
        </row>
        <row r="185">
          <cell r="B185" t="str">
            <v>Male</v>
          </cell>
          <cell r="F185">
            <v>9</v>
          </cell>
          <cell r="G185">
            <v>35.299999999999997</v>
          </cell>
          <cell r="H185">
            <v>14.2</v>
          </cell>
          <cell r="I185">
            <v>61.3</v>
          </cell>
          <cell r="J185">
            <v>1</v>
          </cell>
          <cell r="K185">
            <v>18.2</v>
          </cell>
          <cell r="L185">
            <v>166.52</v>
          </cell>
          <cell r="M185">
            <v>13</v>
          </cell>
          <cell r="N185">
            <v>55.8</v>
          </cell>
          <cell r="O185">
            <v>4.3</v>
          </cell>
          <cell r="P185">
            <v>36.6</v>
          </cell>
          <cell r="S185">
            <v>36.4</v>
          </cell>
          <cell r="T185">
            <v>21.7</v>
          </cell>
          <cell r="U185">
            <v>1</v>
          </cell>
        </row>
        <row r="186">
          <cell r="B186" t="str">
            <v>Male</v>
          </cell>
          <cell r="F186">
            <v>19</v>
          </cell>
          <cell r="G186">
            <v>23.3</v>
          </cell>
          <cell r="H186">
            <v>8.8000000000000007</v>
          </cell>
          <cell r="I186">
            <v>70.099999999999994</v>
          </cell>
          <cell r="J186">
            <v>4</v>
          </cell>
          <cell r="K186" t="str">
            <v>16.900000000000002</v>
          </cell>
          <cell r="L186">
            <v>163.59</v>
          </cell>
          <cell r="M186">
            <v>28</v>
          </cell>
          <cell r="N186">
            <v>50.4</v>
          </cell>
          <cell r="O186">
            <v>4.2</v>
          </cell>
          <cell r="P186">
            <v>37.1</v>
          </cell>
          <cell r="S186">
            <v>47.7</v>
          </cell>
          <cell r="T186">
            <v>26.3</v>
          </cell>
          <cell r="U186">
            <v>2</v>
          </cell>
        </row>
        <row r="187">
          <cell r="B187" t="str">
            <v>Female</v>
          </cell>
          <cell r="F187">
            <v>19</v>
          </cell>
          <cell r="G187">
            <v>25.1</v>
          </cell>
          <cell r="H187">
            <v>11.8</v>
          </cell>
          <cell r="I187">
            <v>35.799999999999997</v>
          </cell>
          <cell r="J187">
            <v>2</v>
          </cell>
          <cell r="K187">
            <v>12</v>
          </cell>
          <cell r="L187">
            <v>118.5</v>
          </cell>
          <cell r="M187">
            <v>7</v>
          </cell>
          <cell r="N187">
            <v>66.400000000000006</v>
          </cell>
          <cell r="O187">
            <v>5.4</v>
          </cell>
          <cell r="P187">
            <v>21.6</v>
          </cell>
          <cell r="S187">
            <v>48.5</v>
          </cell>
          <cell r="T187">
            <v>15.7</v>
          </cell>
          <cell r="U187">
            <v>1</v>
          </cell>
        </row>
        <row r="188">
          <cell r="B188" t="str">
            <v>Male</v>
          </cell>
          <cell r="F188">
            <v>23</v>
          </cell>
          <cell r="G188">
            <v>26.2</v>
          </cell>
          <cell r="H188">
            <v>11.6</v>
          </cell>
          <cell r="I188">
            <v>64.900000000000006</v>
          </cell>
          <cell r="J188">
            <v>4</v>
          </cell>
          <cell r="K188">
            <v>12</v>
          </cell>
          <cell r="L188">
            <v>95.92</v>
          </cell>
          <cell r="M188">
            <v>7</v>
          </cell>
          <cell r="N188">
            <v>63.8</v>
          </cell>
          <cell r="O188">
            <v>3.9</v>
          </cell>
          <cell r="P188">
            <v>24.5</v>
          </cell>
          <cell r="S188">
            <v>41.9</v>
          </cell>
          <cell r="T188">
            <v>13.3</v>
          </cell>
          <cell r="U188">
            <v>2</v>
          </cell>
        </row>
        <row r="189">
          <cell r="B189" t="str">
            <v>Other</v>
          </cell>
          <cell r="F189">
            <v>16</v>
          </cell>
          <cell r="G189">
            <v>40.1</v>
          </cell>
          <cell r="H189">
            <v>13.6</v>
          </cell>
          <cell r="I189">
            <v>56.3</v>
          </cell>
          <cell r="J189">
            <v>8</v>
          </cell>
          <cell r="K189">
            <v>18</v>
          </cell>
          <cell r="L189">
            <v>81.45</v>
          </cell>
          <cell r="M189">
            <v>98</v>
          </cell>
          <cell r="N189">
            <v>18.2</v>
          </cell>
          <cell r="P189">
            <v>37.6</v>
          </cell>
          <cell r="S189">
            <v>63.9</v>
          </cell>
          <cell r="T189">
            <v>22.8</v>
          </cell>
          <cell r="U189">
            <v>3</v>
          </cell>
        </row>
        <row r="190">
          <cell r="B190" t="str">
            <v>Male</v>
          </cell>
          <cell r="F190">
            <v>14</v>
          </cell>
          <cell r="G190">
            <v>48.2</v>
          </cell>
          <cell r="H190">
            <v>11.9</v>
          </cell>
          <cell r="I190">
            <v>56.6</v>
          </cell>
          <cell r="J190">
            <v>6</v>
          </cell>
          <cell r="K190">
            <v>17</v>
          </cell>
          <cell r="L190">
            <v>110.12</v>
          </cell>
          <cell r="M190">
            <v>77</v>
          </cell>
          <cell r="N190">
            <v>37</v>
          </cell>
          <cell r="O190">
            <v>2.5</v>
          </cell>
          <cell r="P190">
            <v>48.4</v>
          </cell>
          <cell r="S190">
            <v>36.9</v>
          </cell>
          <cell r="T190">
            <v>29.9</v>
          </cell>
          <cell r="U190">
            <v>1</v>
          </cell>
        </row>
        <row r="191">
          <cell r="B191" t="str">
            <v>Female</v>
          </cell>
          <cell r="F191">
            <v>0</v>
          </cell>
          <cell r="G191">
            <v>16.600000000000001</v>
          </cell>
          <cell r="H191">
            <v>6.5</v>
          </cell>
          <cell r="I191">
            <v>59.2</v>
          </cell>
          <cell r="J191">
            <v>1</v>
          </cell>
          <cell r="K191">
            <v>8</v>
          </cell>
          <cell r="L191">
            <v>89.4</v>
          </cell>
          <cell r="M191">
            <v>18</v>
          </cell>
          <cell r="N191">
            <v>26</v>
          </cell>
          <cell r="O191">
            <v>5.3</v>
          </cell>
          <cell r="P191">
            <v>18.7</v>
          </cell>
          <cell r="S191">
            <v>24.5</v>
          </cell>
          <cell r="T191">
            <v>15.6</v>
          </cell>
          <cell r="U191">
            <v>3</v>
          </cell>
        </row>
        <row r="192">
          <cell r="B192" t="str">
            <v>Female</v>
          </cell>
          <cell r="F192">
            <v>11</v>
          </cell>
          <cell r="G192">
            <v>30</v>
          </cell>
          <cell r="H192">
            <v>8.5</v>
          </cell>
          <cell r="I192">
            <v>43.9</v>
          </cell>
          <cell r="J192">
            <v>6</v>
          </cell>
          <cell r="K192">
            <v>13</v>
          </cell>
          <cell r="L192">
            <v>178.24</v>
          </cell>
          <cell r="M192">
            <v>20</v>
          </cell>
          <cell r="N192">
            <v>25.6</v>
          </cell>
          <cell r="O192">
            <v>5.2</v>
          </cell>
          <cell r="P192">
            <v>9.9</v>
          </cell>
          <cell r="T192">
            <v>9.4</v>
          </cell>
          <cell r="U192">
            <v>2</v>
          </cell>
        </row>
        <row r="193">
          <cell r="B193" t="str">
            <v>Male</v>
          </cell>
          <cell r="F193">
            <v>11</v>
          </cell>
          <cell r="G193">
            <v>23.1</v>
          </cell>
          <cell r="H193">
            <v>9.9</v>
          </cell>
          <cell r="I193">
            <v>56.9</v>
          </cell>
          <cell r="J193">
            <v>1</v>
          </cell>
          <cell r="K193">
            <v>12</v>
          </cell>
          <cell r="L193">
            <v>68.849999999999994</v>
          </cell>
          <cell r="M193">
            <v>157</v>
          </cell>
          <cell r="N193">
            <v>92.7</v>
          </cell>
          <cell r="O193">
            <v>6.4</v>
          </cell>
          <cell r="P193">
            <v>15.9</v>
          </cell>
          <cell r="S193">
            <v>44.6</v>
          </cell>
          <cell r="T193">
            <v>23.3</v>
          </cell>
        </row>
        <row r="194">
          <cell r="B194" t="str">
            <v>Male</v>
          </cell>
          <cell r="F194">
            <v>20</v>
          </cell>
          <cell r="G194">
            <v>34.5</v>
          </cell>
          <cell r="H194">
            <v>13.2</v>
          </cell>
          <cell r="I194">
            <v>38.299999999999997</v>
          </cell>
          <cell r="J194">
            <v>4</v>
          </cell>
          <cell r="K194">
            <v>17</v>
          </cell>
          <cell r="L194">
            <v>201.7</v>
          </cell>
          <cell r="M194">
            <v>41</v>
          </cell>
          <cell r="N194">
            <v>32.799999999999997</v>
          </cell>
          <cell r="O194">
            <v>1.6</v>
          </cell>
          <cell r="P194">
            <v>23.9</v>
          </cell>
          <cell r="S194">
            <v>30.4</v>
          </cell>
          <cell r="T194">
            <v>23.8</v>
          </cell>
          <cell r="U194">
            <v>2</v>
          </cell>
        </row>
        <row r="195">
          <cell r="B195" t="str">
            <v>Male</v>
          </cell>
          <cell r="F195">
            <v>31</v>
          </cell>
          <cell r="G195">
            <v>43.3</v>
          </cell>
          <cell r="I195">
            <v>29</v>
          </cell>
          <cell r="J195">
            <v>11</v>
          </cell>
          <cell r="K195">
            <v>21</v>
          </cell>
          <cell r="L195">
            <v>140.15</v>
          </cell>
          <cell r="M195">
            <v>61</v>
          </cell>
          <cell r="N195">
            <v>27.4</v>
          </cell>
          <cell r="P195">
            <v>51.5</v>
          </cell>
          <cell r="S195">
            <v>85</v>
          </cell>
          <cell r="T195">
            <v>32</v>
          </cell>
          <cell r="U195">
            <v>2</v>
          </cell>
        </row>
        <row r="196">
          <cell r="B196" t="str">
            <v>Male</v>
          </cell>
          <cell r="F196">
            <v>15</v>
          </cell>
          <cell r="G196">
            <v>15.5</v>
          </cell>
          <cell r="H196">
            <v>12.1</v>
          </cell>
          <cell r="I196">
            <v>58.5</v>
          </cell>
          <cell r="J196">
            <v>2</v>
          </cell>
          <cell r="K196">
            <v>10</v>
          </cell>
          <cell r="L196">
            <v>65.84</v>
          </cell>
          <cell r="M196">
            <v>60</v>
          </cell>
          <cell r="N196">
            <v>25.7</v>
          </cell>
          <cell r="O196">
            <v>21.7</v>
          </cell>
          <cell r="P196">
            <v>22.9</v>
          </cell>
          <cell r="T196">
            <v>19.600000000000001</v>
          </cell>
          <cell r="U196">
            <v>1</v>
          </cell>
        </row>
        <row r="197">
          <cell r="B197" t="str">
            <v>Male</v>
          </cell>
          <cell r="F197">
            <v>5</v>
          </cell>
          <cell r="G197">
            <v>18.899999999999999</v>
          </cell>
          <cell r="H197">
            <v>6.7</v>
          </cell>
          <cell r="I197">
            <v>69.400000000000006</v>
          </cell>
          <cell r="J197">
            <v>3</v>
          </cell>
          <cell r="K197">
            <v>17</v>
          </cell>
          <cell r="L197">
            <v>123.52</v>
          </cell>
          <cell r="M197">
            <v>7</v>
          </cell>
          <cell r="N197">
            <v>9.1</v>
          </cell>
          <cell r="O197">
            <v>0.3</v>
          </cell>
          <cell r="P197">
            <v>0</v>
          </cell>
          <cell r="S197">
            <v>0</v>
          </cell>
          <cell r="T197">
            <v>6.3</v>
          </cell>
          <cell r="U197">
            <v>2</v>
          </cell>
        </row>
        <row r="198">
          <cell r="B198" t="str">
            <v>Other</v>
          </cell>
          <cell r="F198">
            <v>5</v>
          </cell>
          <cell r="G198">
            <v>19.7</v>
          </cell>
          <cell r="H198">
            <v>9.1999999999999993</v>
          </cell>
          <cell r="I198">
            <v>67</v>
          </cell>
          <cell r="J198">
            <v>4</v>
          </cell>
          <cell r="K198">
            <v>5</v>
          </cell>
          <cell r="L198">
            <v>103.55</v>
          </cell>
          <cell r="M198">
            <v>4</v>
          </cell>
          <cell r="N198">
            <v>50.7</v>
          </cell>
          <cell r="O198">
            <v>3.1</v>
          </cell>
          <cell r="S198">
            <v>24.9</v>
          </cell>
          <cell r="T198">
            <v>8.1999999999999993</v>
          </cell>
          <cell r="U198">
            <v>2</v>
          </cell>
        </row>
        <row r="199">
          <cell r="B199" t="str">
            <v>Male</v>
          </cell>
          <cell r="F199">
            <v>14</v>
          </cell>
          <cell r="G199">
            <v>21.3</v>
          </cell>
          <cell r="H199">
            <v>8</v>
          </cell>
          <cell r="I199">
            <v>70.7</v>
          </cell>
          <cell r="J199">
            <v>1</v>
          </cell>
          <cell r="K199" t="str">
            <v>15.600000000000001</v>
          </cell>
          <cell r="L199">
            <v>48.25</v>
          </cell>
          <cell r="M199">
            <v>44</v>
          </cell>
          <cell r="O199">
            <v>2.2000000000000002</v>
          </cell>
          <cell r="P199">
            <v>20</v>
          </cell>
          <cell r="S199">
            <v>27.1</v>
          </cell>
          <cell r="T199">
            <v>13.2</v>
          </cell>
          <cell r="U199">
            <v>1</v>
          </cell>
        </row>
        <row r="200">
          <cell r="B200" t="str">
            <v>Male</v>
          </cell>
          <cell r="F200">
            <v>0</v>
          </cell>
          <cell r="G200">
            <v>15.8</v>
          </cell>
          <cell r="H200">
            <v>3.6</v>
          </cell>
          <cell r="I200">
            <v>84.2</v>
          </cell>
          <cell r="J200">
            <v>0</v>
          </cell>
          <cell r="K200">
            <v>3</v>
          </cell>
          <cell r="L200">
            <v>122.42</v>
          </cell>
          <cell r="N200">
            <v>29.5</v>
          </cell>
          <cell r="O200">
            <v>2.6</v>
          </cell>
          <cell r="P200">
            <v>9.6</v>
          </cell>
          <cell r="S200">
            <v>5.7</v>
          </cell>
          <cell r="T200">
            <v>6</v>
          </cell>
          <cell r="U200">
            <v>4</v>
          </cell>
        </row>
        <row r="201">
          <cell r="B201" t="str">
            <v>Female</v>
          </cell>
          <cell r="F201">
            <v>15</v>
          </cell>
          <cell r="G201">
            <v>34.700000000000003</v>
          </cell>
          <cell r="H201">
            <v>8.1999999999999993</v>
          </cell>
          <cell r="I201">
            <v>33.9</v>
          </cell>
          <cell r="K201">
            <v>16</v>
          </cell>
          <cell r="L201">
            <v>66.03</v>
          </cell>
          <cell r="M201">
            <v>6</v>
          </cell>
          <cell r="N201">
            <v>81.2</v>
          </cell>
          <cell r="O201">
            <v>7.3</v>
          </cell>
          <cell r="P201">
            <v>25.6</v>
          </cell>
          <cell r="S201">
            <v>56.9</v>
          </cell>
          <cell r="T201">
            <v>22.6</v>
          </cell>
          <cell r="U201">
            <v>2</v>
          </cell>
        </row>
        <row r="202">
          <cell r="B202" t="str">
            <v>Male</v>
          </cell>
          <cell r="F202">
            <v>6</v>
          </cell>
          <cell r="G202">
            <v>12.8</v>
          </cell>
          <cell r="H202">
            <v>5.5</v>
          </cell>
          <cell r="I202">
            <v>66.900000000000006</v>
          </cell>
          <cell r="J202">
            <v>4</v>
          </cell>
          <cell r="K202">
            <v>7</v>
          </cell>
          <cell r="L202">
            <v>77.37</v>
          </cell>
          <cell r="M202">
            <v>9</v>
          </cell>
          <cell r="N202">
            <v>49.2</v>
          </cell>
          <cell r="O202">
            <v>3.5</v>
          </cell>
          <cell r="P202">
            <v>18.899999999999999</v>
          </cell>
          <cell r="S202">
            <v>6.9</v>
          </cell>
          <cell r="T202">
            <v>26.7</v>
          </cell>
          <cell r="U202">
            <v>1</v>
          </cell>
        </row>
        <row r="203">
          <cell r="B203" t="str">
            <v>Female</v>
          </cell>
          <cell r="F203">
            <v>10</v>
          </cell>
          <cell r="G203">
            <v>25.9</v>
          </cell>
          <cell r="H203">
            <v>9.6</v>
          </cell>
          <cell r="I203">
            <v>59.5</v>
          </cell>
          <cell r="J203">
            <v>4</v>
          </cell>
          <cell r="K203">
            <v>14.3</v>
          </cell>
          <cell r="L203">
            <v>136.13999999999999</v>
          </cell>
          <cell r="M203">
            <v>21</v>
          </cell>
          <cell r="N203">
            <v>78.48</v>
          </cell>
          <cell r="O203">
            <v>4.4000000000000004</v>
          </cell>
          <cell r="P203">
            <v>0</v>
          </cell>
          <cell r="T203">
            <v>20.7</v>
          </cell>
          <cell r="U203">
            <v>2</v>
          </cell>
        </row>
        <row r="204">
          <cell r="B204" t="str">
            <v>Male</v>
          </cell>
          <cell r="F204">
            <v>11</v>
          </cell>
          <cell r="H204">
            <v>4.8</v>
          </cell>
          <cell r="I204">
            <v>68.5</v>
          </cell>
          <cell r="J204">
            <v>0</v>
          </cell>
          <cell r="K204">
            <v>7</v>
          </cell>
          <cell r="L204">
            <v>64.12</v>
          </cell>
          <cell r="M204">
            <v>26</v>
          </cell>
          <cell r="N204">
            <v>24.2</v>
          </cell>
          <cell r="O204">
            <v>8.5</v>
          </cell>
          <cell r="P204">
            <v>0</v>
          </cell>
          <cell r="S204">
            <v>0</v>
          </cell>
          <cell r="T204">
            <v>13.3</v>
          </cell>
          <cell r="U204">
            <v>2</v>
          </cell>
        </row>
        <row r="205">
          <cell r="B205" t="str">
            <v>Female</v>
          </cell>
          <cell r="F205">
            <v>20</v>
          </cell>
          <cell r="G205">
            <v>43.3</v>
          </cell>
          <cell r="H205">
            <v>10.9</v>
          </cell>
          <cell r="I205">
            <v>44.6</v>
          </cell>
          <cell r="J205">
            <v>3</v>
          </cell>
          <cell r="K205">
            <v>18</v>
          </cell>
          <cell r="L205">
            <v>131.91</v>
          </cell>
          <cell r="M205">
            <v>2</v>
          </cell>
          <cell r="N205">
            <v>64.8</v>
          </cell>
          <cell r="O205">
            <v>3.6</v>
          </cell>
          <cell r="P205">
            <v>38.6</v>
          </cell>
          <cell r="S205">
            <v>69.5</v>
          </cell>
          <cell r="T205">
            <v>23</v>
          </cell>
          <cell r="U205">
            <v>1</v>
          </cell>
        </row>
        <row r="206">
          <cell r="B206" t="str">
            <v>Female</v>
          </cell>
          <cell r="F206">
            <v>12</v>
          </cell>
          <cell r="G206">
            <v>18.600000000000001</v>
          </cell>
          <cell r="H206">
            <v>4.8</v>
          </cell>
          <cell r="I206">
            <v>52.3</v>
          </cell>
          <cell r="J206">
            <v>3</v>
          </cell>
          <cell r="K206">
            <v>14</v>
          </cell>
          <cell r="L206">
            <v>160.91999999999999</v>
          </cell>
          <cell r="M206">
            <v>33</v>
          </cell>
          <cell r="N206">
            <v>14.7</v>
          </cell>
          <cell r="O206">
            <v>8.5</v>
          </cell>
          <cell r="P206">
            <v>13.2</v>
          </cell>
          <cell r="S206">
            <v>42.1</v>
          </cell>
          <cell r="T206">
            <v>20.7</v>
          </cell>
          <cell r="U206">
            <v>2</v>
          </cell>
        </row>
        <row r="207">
          <cell r="B207" t="str">
            <v>Male</v>
          </cell>
          <cell r="F207">
            <v>9</v>
          </cell>
          <cell r="G207">
            <v>33.200000000000003</v>
          </cell>
          <cell r="H207">
            <v>5.7</v>
          </cell>
          <cell r="I207">
            <v>62.5</v>
          </cell>
          <cell r="K207" t="str">
            <v>11.700000000000001</v>
          </cell>
          <cell r="L207">
            <v>172.09</v>
          </cell>
          <cell r="M207">
            <v>21</v>
          </cell>
          <cell r="N207">
            <v>58.32</v>
          </cell>
          <cell r="O207">
            <v>3.6</v>
          </cell>
          <cell r="P207">
            <v>8.5</v>
          </cell>
          <cell r="S207">
            <v>49.1</v>
          </cell>
          <cell r="T207">
            <v>24.5</v>
          </cell>
          <cell r="U207">
            <v>1</v>
          </cell>
        </row>
        <row r="208">
          <cell r="B208" t="str">
            <v>Female</v>
          </cell>
          <cell r="F208">
            <v>15</v>
          </cell>
          <cell r="G208">
            <v>40.6</v>
          </cell>
          <cell r="H208">
            <v>13.9</v>
          </cell>
          <cell r="I208">
            <v>53.6</v>
          </cell>
          <cell r="J208">
            <v>5</v>
          </cell>
          <cell r="K208">
            <v>14</v>
          </cell>
          <cell r="L208">
            <v>215.84</v>
          </cell>
          <cell r="M208">
            <v>18</v>
          </cell>
          <cell r="N208">
            <v>70.2</v>
          </cell>
          <cell r="O208">
            <v>5.4</v>
          </cell>
          <cell r="P208">
            <v>27.9</v>
          </cell>
          <cell r="S208">
            <v>24.6</v>
          </cell>
          <cell r="T208">
            <v>22.3</v>
          </cell>
          <cell r="U208">
            <v>4</v>
          </cell>
        </row>
        <row r="209">
          <cell r="B209" t="str">
            <v>Male</v>
          </cell>
          <cell r="F209">
            <v>25</v>
          </cell>
          <cell r="G209">
            <v>21.1</v>
          </cell>
          <cell r="H209">
            <v>9.4</v>
          </cell>
          <cell r="I209">
            <v>66.3</v>
          </cell>
          <cell r="J209">
            <v>2</v>
          </cell>
          <cell r="K209">
            <v>14</v>
          </cell>
          <cell r="L209">
            <v>136.69999999999999</v>
          </cell>
          <cell r="M209">
            <v>14</v>
          </cell>
          <cell r="N209">
            <v>59.1</v>
          </cell>
          <cell r="O209">
            <v>11.5</v>
          </cell>
          <cell r="P209">
            <v>14.9</v>
          </cell>
          <cell r="S209">
            <v>37.299999999999997</v>
          </cell>
          <cell r="T209">
            <v>27.6</v>
          </cell>
          <cell r="U209">
            <v>3</v>
          </cell>
        </row>
        <row r="210">
          <cell r="B210" t="str">
            <v>Female</v>
          </cell>
          <cell r="F210">
            <v>1</v>
          </cell>
          <cell r="G210">
            <v>29.2</v>
          </cell>
          <cell r="H210">
            <v>10.7</v>
          </cell>
          <cell r="I210">
            <v>64.3</v>
          </cell>
          <cell r="J210">
            <v>3</v>
          </cell>
          <cell r="K210">
            <v>11</v>
          </cell>
          <cell r="L210">
            <v>109.1</v>
          </cell>
          <cell r="M210">
            <v>15</v>
          </cell>
          <cell r="N210">
            <v>69.7</v>
          </cell>
          <cell r="O210">
            <v>8.3000000000000007</v>
          </cell>
          <cell r="P210">
            <v>10.7</v>
          </cell>
          <cell r="S210">
            <v>24.9</v>
          </cell>
          <cell r="T210">
            <v>8</v>
          </cell>
          <cell r="U210">
            <v>3</v>
          </cell>
        </row>
        <row r="211">
          <cell r="B211" t="str">
            <v>Male</v>
          </cell>
          <cell r="F211">
            <v>22</v>
          </cell>
          <cell r="G211">
            <v>48.7</v>
          </cell>
          <cell r="H211">
            <v>13.5</v>
          </cell>
          <cell r="I211">
            <v>51.6</v>
          </cell>
          <cell r="J211">
            <v>10</v>
          </cell>
          <cell r="K211">
            <v>18</v>
          </cell>
          <cell r="L211">
            <v>178.36</v>
          </cell>
          <cell r="M211">
            <v>68</v>
          </cell>
          <cell r="N211">
            <v>68</v>
          </cell>
          <cell r="O211">
            <v>17</v>
          </cell>
          <cell r="P211">
            <v>49.9</v>
          </cell>
          <cell r="S211">
            <v>5.0999999999999996</v>
          </cell>
          <cell r="T211">
            <v>37.200000000000003</v>
          </cell>
          <cell r="U211">
            <v>1</v>
          </cell>
        </row>
        <row r="212">
          <cell r="B212" t="str">
            <v>Male</v>
          </cell>
          <cell r="F212">
            <v>14</v>
          </cell>
          <cell r="G212">
            <v>54.2</v>
          </cell>
          <cell r="H212">
            <v>15.8</v>
          </cell>
          <cell r="I212">
            <v>19.3</v>
          </cell>
          <cell r="K212">
            <v>21</v>
          </cell>
          <cell r="L212">
            <v>154.69999999999999</v>
          </cell>
          <cell r="M212">
            <v>97</v>
          </cell>
          <cell r="N212">
            <v>75.900000000000006</v>
          </cell>
          <cell r="P212">
            <v>36.700000000000003</v>
          </cell>
          <cell r="S212">
            <v>47.9</v>
          </cell>
          <cell r="T212">
            <v>39.1</v>
          </cell>
          <cell r="U212">
            <v>1</v>
          </cell>
        </row>
        <row r="213">
          <cell r="B213" t="str">
            <v>Female</v>
          </cell>
          <cell r="F213">
            <v>16</v>
          </cell>
          <cell r="G213">
            <v>27.1</v>
          </cell>
          <cell r="H213">
            <v>11</v>
          </cell>
          <cell r="I213">
            <v>45.3</v>
          </cell>
          <cell r="J213">
            <v>7</v>
          </cell>
          <cell r="K213">
            <v>87</v>
          </cell>
          <cell r="L213">
            <v>57.61</v>
          </cell>
          <cell r="M213">
            <v>32</v>
          </cell>
          <cell r="N213">
            <v>33.9</v>
          </cell>
          <cell r="O213" t="str">
            <v>89.92552127495028</v>
          </cell>
          <cell r="P213">
            <v>27.4</v>
          </cell>
          <cell r="S213">
            <v>17.5</v>
          </cell>
          <cell r="T213">
            <v>15.2</v>
          </cell>
          <cell r="U213">
            <v>3</v>
          </cell>
        </row>
        <row r="214">
          <cell r="B214" t="str">
            <v>Male</v>
          </cell>
          <cell r="F214">
            <v>6</v>
          </cell>
          <cell r="G214">
            <v>27.4</v>
          </cell>
          <cell r="H214">
            <v>4.3</v>
          </cell>
          <cell r="I214">
            <v>54.1</v>
          </cell>
          <cell r="J214">
            <v>2</v>
          </cell>
          <cell r="K214">
            <v>9.1</v>
          </cell>
          <cell r="L214">
            <v>153.02000000000001</v>
          </cell>
          <cell r="M214">
            <v>1</v>
          </cell>
          <cell r="O214">
            <v>7.2</v>
          </cell>
          <cell r="P214">
            <v>13.8</v>
          </cell>
          <cell r="T214">
            <v>13.9</v>
          </cell>
          <cell r="U214">
            <v>2</v>
          </cell>
        </row>
        <row r="215">
          <cell r="B215" t="str">
            <v>Male</v>
          </cell>
          <cell r="F215">
            <v>13</v>
          </cell>
          <cell r="G215">
            <v>49.2</v>
          </cell>
          <cell r="H215">
            <v>15.6</v>
          </cell>
          <cell r="I215">
            <v>29.9</v>
          </cell>
          <cell r="J215">
            <v>10</v>
          </cell>
          <cell r="K215" t="str">
            <v>33.800000000000004</v>
          </cell>
          <cell r="L215">
            <v>116.97</v>
          </cell>
          <cell r="M215">
            <v>14</v>
          </cell>
          <cell r="N215" t="str">
            <v>38.279999999999994</v>
          </cell>
          <cell r="O215">
            <v>9.4</v>
          </cell>
          <cell r="P215">
            <v>52.2</v>
          </cell>
          <cell r="S215">
            <v>42.3</v>
          </cell>
          <cell r="T215">
            <v>39.700000000000003</v>
          </cell>
          <cell r="U215">
            <v>2</v>
          </cell>
        </row>
        <row r="216">
          <cell r="B216" t="str">
            <v>Male</v>
          </cell>
          <cell r="F216">
            <v>0</v>
          </cell>
          <cell r="H216">
            <v>4.2</v>
          </cell>
          <cell r="I216">
            <v>75</v>
          </cell>
          <cell r="J216">
            <v>3</v>
          </cell>
          <cell r="K216">
            <v>4</v>
          </cell>
          <cell r="L216">
            <v>158.68</v>
          </cell>
          <cell r="M216">
            <v>16</v>
          </cell>
          <cell r="N216">
            <v>52</v>
          </cell>
          <cell r="O216">
            <v>7.2</v>
          </cell>
          <cell r="P216">
            <v>0</v>
          </cell>
          <cell r="S216">
            <v>11.6</v>
          </cell>
          <cell r="T216">
            <v>3.5</v>
          </cell>
          <cell r="U216">
            <v>3</v>
          </cell>
        </row>
        <row r="217">
          <cell r="B217" t="str">
            <v>Male</v>
          </cell>
          <cell r="F217">
            <v>7</v>
          </cell>
          <cell r="G217">
            <v>24.7</v>
          </cell>
          <cell r="H217">
            <v>5.7</v>
          </cell>
          <cell r="I217">
            <v>66.3</v>
          </cell>
          <cell r="J217">
            <v>1</v>
          </cell>
          <cell r="K217">
            <v>7</v>
          </cell>
          <cell r="L217">
            <v>105.76</v>
          </cell>
          <cell r="M217">
            <v>13</v>
          </cell>
          <cell r="N217">
            <v>14.2</v>
          </cell>
          <cell r="O217">
            <v>7.9</v>
          </cell>
          <cell r="S217">
            <v>0</v>
          </cell>
          <cell r="T217">
            <v>12.8</v>
          </cell>
        </row>
        <row r="218">
          <cell r="B218" t="str">
            <v>Female</v>
          </cell>
          <cell r="F218">
            <v>11</v>
          </cell>
          <cell r="G218">
            <v>42.4</v>
          </cell>
          <cell r="H218">
            <v>12</v>
          </cell>
          <cell r="I218">
            <v>38.200000000000003</v>
          </cell>
          <cell r="J218">
            <v>9</v>
          </cell>
          <cell r="K218">
            <v>14</v>
          </cell>
          <cell r="L218">
            <v>172.62</v>
          </cell>
          <cell r="M218">
            <v>53</v>
          </cell>
          <cell r="N218">
            <v>32</v>
          </cell>
          <cell r="O218">
            <v>5.7</v>
          </cell>
          <cell r="P218">
            <v>12.9</v>
          </cell>
          <cell r="S218">
            <v>43.8</v>
          </cell>
          <cell r="T218">
            <v>17.8</v>
          </cell>
          <cell r="U218">
            <v>3</v>
          </cell>
        </row>
        <row r="219">
          <cell r="B219" t="str">
            <v>Male</v>
          </cell>
          <cell r="F219">
            <v>8</v>
          </cell>
          <cell r="G219">
            <v>33.299999999999997</v>
          </cell>
          <cell r="H219">
            <v>10.1</v>
          </cell>
          <cell r="I219">
            <v>80.5</v>
          </cell>
          <cell r="J219">
            <v>8</v>
          </cell>
          <cell r="K219">
            <v>15</v>
          </cell>
          <cell r="L219">
            <v>165.94</v>
          </cell>
          <cell r="M219">
            <v>16</v>
          </cell>
          <cell r="N219">
            <v>73.7</v>
          </cell>
          <cell r="S219">
            <v>47.8</v>
          </cell>
          <cell r="T219">
            <v>20.9</v>
          </cell>
          <cell r="U219">
            <v>3</v>
          </cell>
        </row>
        <row r="220">
          <cell r="B220" t="str">
            <v>Male</v>
          </cell>
          <cell r="F220">
            <v>12</v>
          </cell>
          <cell r="G220">
            <v>21.4</v>
          </cell>
          <cell r="H220">
            <v>9.4</v>
          </cell>
          <cell r="I220">
            <v>88.6</v>
          </cell>
          <cell r="J220">
            <v>3</v>
          </cell>
          <cell r="K220">
            <v>5</v>
          </cell>
          <cell r="L220">
            <v>135.22</v>
          </cell>
          <cell r="M220">
            <v>34</v>
          </cell>
          <cell r="N220">
            <v>68.900000000000006</v>
          </cell>
          <cell r="O220">
            <v>5.8</v>
          </cell>
          <cell r="P220">
            <v>12.9</v>
          </cell>
          <cell r="S220">
            <v>6.8</v>
          </cell>
          <cell r="T220">
            <v>12.6</v>
          </cell>
          <cell r="U220">
            <v>3</v>
          </cell>
        </row>
        <row r="221">
          <cell r="B221" t="str">
            <v>Male</v>
          </cell>
          <cell r="F221">
            <v>30</v>
          </cell>
          <cell r="G221">
            <v>42.5</v>
          </cell>
          <cell r="H221">
            <v>10.3</v>
          </cell>
          <cell r="I221">
            <v>26.3</v>
          </cell>
          <cell r="J221">
            <v>9</v>
          </cell>
          <cell r="K221">
            <v>19</v>
          </cell>
          <cell r="L221">
            <v>152.31</v>
          </cell>
          <cell r="M221">
            <v>99</v>
          </cell>
          <cell r="N221">
            <v>25.1</v>
          </cell>
          <cell r="O221">
            <v>2.5</v>
          </cell>
          <cell r="P221">
            <v>33</v>
          </cell>
          <cell r="S221">
            <v>63.3</v>
          </cell>
          <cell r="T221">
            <v>34.700000000000003</v>
          </cell>
          <cell r="U221">
            <v>3</v>
          </cell>
        </row>
        <row r="222">
          <cell r="B222" t="str">
            <v>Male</v>
          </cell>
          <cell r="F222">
            <v>20</v>
          </cell>
          <cell r="G222">
            <v>37.5</v>
          </cell>
          <cell r="H222">
            <v>14.2</v>
          </cell>
          <cell r="I222">
            <v>27.7</v>
          </cell>
          <cell r="J222">
            <v>4</v>
          </cell>
          <cell r="K222">
            <v>21</v>
          </cell>
          <cell r="L222">
            <v>82.4</v>
          </cell>
          <cell r="M222">
            <v>6</v>
          </cell>
          <cell r="N222">
            <v>36.700000000000003</v>
          </cell>
          <cell r="P222">
            <v>46.3</v>
          </cell>
          <cell r="S222">
            <v>39.9</v>
          </cell>
          <cell r="U222">
            <v>2</v>
          </cell>
        </row>
        <row r="223">
          <cell r="B223" t="str">
            <v>Female</v>
          </cell>
          <cell r="F223">
            <v>23</v>
          </cell>
          <cell r="G223">
            <v>53.3</v>
          </cell>
          <cell r="H223">
            <v>19.2</v>
          </cell>
          <cell r="I223">
            <v>25</v>
          </cell>
          <cell r="J223">
            <v>11</v>
          </cell>
          <cell r="K223">
            <v>20</v>
          </cell>
          <cell r="L223">
            <v>104.11</v>
          </cell>
          <cell r="M223">
            <v>47</v>
          </cell>
          <cell r="N223">
            <v>62.6</v>
          </cell>
          <cell r="O223">
            <v>1</v>
          </cell>
          <cell r="P223">
            <v>43.6</v>
          </cell>
          <cell r="T223">
            <v>38.299999999999997</v>
          </cell>
          <cell r="U223">
            <v>2</v>
          </cell>
        </row>
        <row r="224">
          <cell r="B224" t="str">
            <v>Male</v>
          </cell>
          <cell r="F224">
            <v>16</v>
          </cell>
          <cell r="G224">
            <v>34.1</v>
          </cell>
          <cell r="H224">
            <v>11.6</v>
          </cell>
          <cell r="I224">
            <v>59.6</v>
          </cell>
          <cell r="J224">
            <v>8</v>
          </cell>
          <cell r="K224">
            <v>17</v>
          </cell>
          <cell r="L224">
            <v>142.65</v>
          </cell>
          <cell r="M224">
            <v>26</v>
          </cell>
          <cell r="N224">
            <v>88.3</v>
          </cell>
          <cell r="O224">
            <v>3.5</v>
          </cell>
          <cell r="P224">
            <v>6.3</v>
          </cell>
          <cell r="S224">
            <v>59.5</v>
          </cell>
          <cell r="T224">
            <v>32.5</v>
          </cell>
          <cell r="U224">
            <v>2</v>
          </cell>
        </row>
        <row r="225">
          <cell r="B225" t="str">
            <v>Female</v>
          </cell>
          <cell r="F225">
            <v>3</v>
          </cell>
          <cell r="G225">
            <v>19.3</v>
          </cell>
          <cell r="H225">
            <v>4.5999999999999996</v>
          </cell>
          <cell r="I225">
            <v>60.3</v>
          </cell>
          <cell r="J225">
            <v>3</v>
          </cell>
          <cell r="K225">
            <v>7</v>
          </cell>
          <cell r="L225">
            <v>158.57</v>
          </cell>
          <cell r="M225">
            <v>41</v>
          </cell>
          <cell r="N225">
            <v>10.5</v>
          </cell>
          <cell r="O225">
            <v>7</v>
          </cell>
          <cell r="P225">
            <v>2.6</v>
          </cell>
          <cell r="T225">
            <v>5.0999999999999996</v>
          </cell>
          <cell r="U225">
            <v>2</v>
          </cell>
        </row>
        <row r="226">
          <cell r="B226" t="str">
            <v>Male</v>
          </cell>
          <cell r="F226">
            <v>27</v>
          </cell>
          <cell r="G226">
            <v>43.4</v>
          </cell>
          <cell r="H226">
            <v>15.4</v>
          </cell>
          <cell r="I226">
            <v>47.4</v>
          </cell>
          <cell r="K226">
            <v>19</v>
          </cell>
          <cell r="L226">
            <v>143.44</v>
          </cell>
          <cell r="M226">
            <v>17</v>
          </cell>
          <cell r="N226">
            <v>50.7</v>
          </cell>
          <cell r="O226">
            <v>13.7</v>
          </cell>
          <cell r="P226">
            <v>39.1</v>
          </cell>
          <cell r="S226">
            <v>67.900000000000006</v>
          </cell>
          <cell r="T226">
            <v>42.1</v>
          </cell>
          <cell r="U226">
            <v>2</v>
          </cell>
        </row>
        <row r="227">
          <cell r="B227" t="str">
            <v>Female</v>
          </cell>
          <cell r="F227">
            <v>12</v>
          </cell>
          <cell r="H227">
            <v>6.7</v>
          </cell>
          <cell r="I227">
            <v>70</v>
          </cell>
          <cell r="J227">
            <v>5</v>
          </cell>
          <cell r="K227">
            <v>11</v>
          </cell>
          <cell r="L227">
            <v>139.06</v>
          </cell>
          <cell r="M227">
            <v>73</v>
          </cell>
          <cell r="N227">
            <v>11.9</v>
          </cell>
          <cell r="O227">
            <v>0.8</v>
          </cell>
          <cell r="P227">
            <v>9.6</v>
          </cell>
          <cell r="S227">
            <v>35.6</v>
          </cell>
          <cell r="T227">
            <v>14.1</v>
          </cell>
          <cell r="U227">
            <v>2</v>
          </cell>
        </row>
        <row r="228">
          <cell r="B228" t="str">
            <v>Male</v>
          </cell>
          <cell r="F228">
            <v>2</v>
          </cell>
          <cell r="G228">
            <v>25.1</v>
          </cell>
          <cell r="H228">
            <v>10.1</v>
          </cell>
          <cell r="I228">
            <v>65.5</v>
          </cell>
          <cell r="J228">
            <v>3</v>
          </cell>
          <cell r="K228">
            <v>9</v>
          </cell>
          <cell r="L228">
            <v>133.13999999999999</v>
          </cell>
          <cell r="M228">
            <v>13</v>
          </cell>
          <cell r="N228">
            <v>52</v>
          </cell>
          <cell r="O228">
            <v>3.8</v>
          </cell>
          <cell r="P228">
            <v>7.6</v>
          </cell>
          <cell r="S228">
            <v>9.5</v>
          </cell>
          <cell r="T228">
            <v>13.9</v>
          </cell>
          <cell r="U228">
            <v>3</v>
          </cell>
        </row>
        <row r="229">
          <cell r="B229" t="str">
            <v>Male</v>
          </cell>
          <cell r="F229">
            <v>11</v>
          </cell>
          <cell r="G229">
            <v>30.9</v>
          </cell>
          <cell r="H229">
            <v>15</v>
          </cell>
          <cell r="I229">
            <v>56.4</v>
          </cell>
          <cell r="J229">
            <v>7</v>
          </cell>
          <cell r="K229">
            <v>12</v>
          </cell>
          <cell r="L229">
            <v>173.9</v>
          </cell>
          <cell r="M229">
            <v>19</v>
          </cell>
          <cell r="N229">
            <v>23.7</v>
          </cell>
          <cell r="O229">
            <v>2.8</v>
          </cell>
          <cell r="P229">
            <v>20.100000000000001</v>
          </cell>
          <cell r="S229">
            <v>44</v>
          </cell>
          <cell r="T229">
            <v>18.5</v>
          </cell>
          <cell r="U229">
            <v>3</v>
          </cell>
        </row>
        <row r="230">
          <cell r="B230" t="str">
            <v>Female</v>
          </cell>
          <cell r="F230">
            <v>8</v>
          </cell>
          <cell r="G230">
            <v>24.7</v>
          </cell>
          <cell r="H230">
            <v>7.1</v>
          </cell>
          <cell r="I230">
            <v>67.8</v>
          </cell>
          <cell r="J230">
            <v>2</v>
          </cell>
          <cell r="K230">
            <v>18.2</v>
          </cell>
          <cell r="L230">
            <v>154.32</v>
          </cell>
          <cell r="N230">
            <v>70.2</v>
          </cell>
          <cell r="O230">
            <v>3.5</v>
          </cell>
          <cell r="S230">
            <v>28.3</v>
          </cell>
          <cell r="T230">
            <v>18.7</v>
          </cell>
          <cell r="U230">
            <v>1</v>
          </cell>
        </row>
        <row r="231">
          <cell r="B231" t="str">
            <v>Male</v>
          </cell>
          <cell r="F231">
            <v>8</v>
          </cell>
          <cell r="G231">
            <v>37.6</v>
          </cell>
          <cell r="H231">
            <v>10.8</v>
          </cell>
          <cell r="I231">
            <v>56.2</v>
          </cell>
          <cell r="J231">
            <v>6</v>
          </cell>
          <cell r="K231">
            <v>20.8</v>
          </cell>
          <cell r="L231">
            <v>137.69999999999999</v>
          </cell>
          <cell r="M231">
            <v>15</v>
          </cell>
          <cell r="N231">
            <v>32.64</v>
          </cell>
          <cell r="O231">
            <v>0.6</v>
          </cell>
          <cell r="P231">
            <v>13.1</v>
          </cell>
          <cell r="S231">
            <v>14.7</v>
          </cell>
          <cell r="T231">
            <v>22.8</v>
          </cell>
          <cell r="U231">
            <v>3</v>
          </cell>
        </row>
        <row r="232">
          <cell r="B232" t="str">
            <v>Male</v>
          </cell>
          <cell r="F232">
            <v>9</v>
          </cell>
          <cell r="G232">
            <v>22.3</v>
          </cell>
          <cell r="H232">
            <v>7.5</v>
          </cell>
          <cell r="I232">
            <v>72.2</v>
          </cell>
          <cell r="J232">
            <v>3</v>
          </cell>
          <cell r="K232">
            <v>6</v>
          </cell>
          <cell r="L232">
            <v>140.94</v>
          </cell>
          <cell r="M232">
            <v>81</v>
          </cell>
          <cell r="N232">
            <v>8</v>
          </cell>
          <cell r="O232">
            <v>15.8</v>
          </cell>
          <cell r="P232">
            <v>10.8</v>
          </cell>
          <cell r="S232">
            <v>23.6</v>
          </cell>
          <cell r="T232">
            <v>16.899999999999999</v>
          </cell>
          <cell r="U232">
            <v>4</v>
          </cell>
        </row>
        <row r="233">
          <cell r="B233" t="str">
            <v>Female</v>
          </cell>
          <cell r="F233">
            <v>15</v>
          </cell>
          <cell r="G233">
            <v>23.4</v>
          </cell>
          <cell r="H233">
            <v>6.5</v>
          </cell>
          <cell r="I233">
            <v>54.3</v>
          </cell>
          <cell r="J233">
            <v>1</v>
          </cell>
          <cell r="K233" t="str">
            <v>16.900000000000002</v>
          </cell>
          <cell r="L233">
            <v>77.239999999999995</v>
          </cell>
          <cell r="M233">
            <v>17</v>
          </cell>
          <cell r="N233">
            <v>27.12</v>
          </cell>
          <cell r="O233">
            <v>2.1</v>
          </cell>
          <cell r="P233">
            <v>20.2</v>
          </cell>
          <cell r="S233">
            <v>54.4</v>
          </cell>
          <cell r="T233">
            <v>20.100000000000001</v>
          </cell>
          <cell r="U233">
            <v>2</v>
          </cell>
        </row>
        <row r="234">
          <cell r="B234" t="str">
            <v>Male</v>
          </cell>
          <cell r="F234">
            <v>4</v>
          </cell>
          <cell r="G234">
            <v>13.8</v>
          </cell>
          <cell r="H234">
            <v>5.5</v>
          </cell>
          <cell r="I234">
            <v>81.3</v>
          </cell>
          <cell r="J234">
            <v>1</v>
          </cell>
          <cell r="K234">
            <v>4</v>
          </cell>
          <cell r="L234">
            <v>164.25</v>
          </cell>
          <cell r="M234">
            <v>14</v>
          </cell>
          <cell r="N234">
            <v>49.8</v>
          </cell>
          <cell r="O234">
            <v>5.4</v>
          </cell>
          <cell r="S234">
            <v>2.4</v>
          </cell>
          <cell r="T234">
            <v>0</v>
          </cell>
          <cell r="U234">
            <v>1</v>
          </cell>
        </row>
        <row r="235">
          <cell r="B235" t="str">
            <v>Male</v>
          </cell>
          <cell r="F235">
            <v>16</v>
          </cell>
          <cell r="G235">
            <v>22</v>
          </cell>
          <cell r="H235">
            <v>11.6</v>
          </cell>
          <cell r="I235">
            <v>61.6</v>
          </cell>
          <cell r="J235">
            <v>6</v>
          </cell>
          <cell r="K235">
            <v>14.3</v>
          </cell>
          <cell r="L235">
            <v>156.81</v>
          </cell>
          <cell r="M235">
            <v>43</v>
          </cell>
          <cell r="N235">
            <v>36.119999999999997</v>
          </cell>
          <cell r="O235">
            <v>17.399999999999999</v>
          </cell>
          <cell r="P235">
            <v>7.7</v>
          </cell>
          <cell r="T235">
            <v>16.8</v>
          </cell>
          <cell r="U235">
            <v>2</v>
          </cell>
        </row>
        <row r="236">
          <cell r="B236" t="str">
            <v>Female</v>
          </cell>
          <cell r="F236">
            <v>5</v>
          </cell>
          <cell r="G236">
            <v>28.1</v>
          </cell>
          <cell r="H236">
            <v>8.1</v>
          </cell>
          <cell r="I236">
            <v>51.1</v>
          </cell>
          <cell r="J236">
            <v>3</v>
          </cell>
          <cell r="K236">
            <v>12</v>
          </cell>
          <cell r="L236">
            <v>168.08</v>
          </cell>
          <cell r="N236">
            <v>68.5</v>
          </cell>
          <cell r="O236">
            <v>6.9</v>
          </cell>
          <cell r="P236">
            <v>47.5</v>
          </cell>
          <cell r="S236">
            <v>55</v>
          </cell>
          <cell r="T236">
            <v>19.2</v>
          </cell>
          <cell r="U236">
            <v>3</v>
          </cell>
        </row>
        <row r="237">
          <cell r="B237" t="str">
            <v>Female</v>
          </cell>
          <cell r="F237">
            <v>8</v>
          </cell>
          <cell r="G237">
            <v>23.3</v>
          </cell>
          <cell r="H237">
            <v>6.9</v>
          </cell>
          <cell r="I237">
            <v>64.900000000000006</v>
          </cell>
          <cell r="J237">
            <v>2</v>
          </cell>
          <cell r="K237">
            <v>15</v>
          </cell>
          <cell r="L237">
            <v>140.49</v>
          </cell>
          <cell r="M237">
            <v>21</v>
          </cell>
          <cell r="N237">
            <v>64.2</v>
          </cell>
          <cell r="O237">
            <v>8</v>
          </cell>
          <cell r="P237">
            <v>18.2</v>
          </cell>
          <cell r="S237">
            <v>4.2</v>
          </cell>
          <cell r="T237">
            <v>19.3</v>
          </cell>
          <cell r="U237">
            <v>2</v>
          </cell>
        </row>
        <row r="238">
          <cell r="B238" t="str">
            <v>Male</v>
          </cell>
          <cell r="F238">
            <v>10</v>
          </cell>
          <cell r="G238">
            <v>31.6</v>
          </cell>
          <cell r="H238">
            <v>8</v>
          </cell>
          <cell r="I238">
            <v>56</v>
          </cell>
          <cell r="J238">
            <v>0</v>
          </cell>
          <cell r="K238">
            <v>10</v>
          </cell>
          <cell r="L238">
            <v>119.57</v>
          </cell>
          <cell r="M238">
            <v>41</v>
          </cell>
          <cell r="N238">
            <v>53.3</v>
          </cell>
          <cell r="O238">
            <v>1.5</v>
          </cell>
          <cell r="P238">
            <v>21.4</v>
          </cell>
          <cell r="S238">
            <v>12.7</v>
          </cell>
          <cell r="T238">
            <v>17</v>
          </cell>
          <cell r="U238">
            <v>1</v>
          </cell>
        </row>
        <row r="239">
          <cell r="B239" t="str">
            <v>Female</v>
          </cell>
          <cell r="F239">
            <v>28</v>
          </cell>
          <cell r="G239">
            <v>50.7</v>
          </cell>
          <cell r="H239">
            <v>12.9</v>
          </cell>
          <cell r="I239">
            <v>46.6</v>
          </cell>
          <cell r="J239">
            <v>8</v>
          </cell>
          <cell r="K239">
            <v>18</v>
          </cell>
          <cell r="L239">
            <v>312.62</v>
          </cell>
          <cell r="M239">
            <v>68</v>
          </cell>
          <cell r="N239">
            <v>6.3</v>
          </cell>
          <cell r="O239">
            <v>0.4</v>
          </cell>
          <cell r="P239">
            <v>38.1</v>
          </cell>
          <cell r="S239">
            <v>31.9</v>
          </cell>
          <cell r="T239">
            <v>25.2</v>
          </cell>
          <cell r="U239">
            <v>3</v>
          </cell>
        </row>
        <row r="240">
          <cell r="B240" t="str">
            <v>Female</v>
          </cell>
          <cell r="F240">
            <v>7</v>
          </cell>
          <cell r="H240">
            <v>7.5</v>
          </cell>
          <cell r="I240">
            <v>61.8</v>
          </cell>
          <cell r="J240">
            <v>2</v>
          </cell>
          <cell r="K240">
            <v>6</v>
          </cell>
          <cell r="L240">
            <v>108.78</v>
          </cell>
          <cell r="M240">
            <v>22</v>
          </cell>
          <cell r="N240">
            <v>53.3</v>
          </cell>
          <cell r="P240">
            <v>23.2</v>
          </cell>
          <cell r="S240">
            <v>16.8</v>
          </cell>
          <cell r="T240">
            <v>7.3</v>
          </cell>
          <cell r="U240">
            <v>2</v>
          </cell>
        </row>
        <row r="241">
          <cell r="B241" t="str">
            <v>Female</v>
          </cell>
          <cell r="F241">
            <v>9</v>
          </cell>
          <cell r="G241">
            <v>26.1</v>
          </cell>
          <cell r="H241">
            <v>6.5</v>
          </cell>
          <cell r="I241">
            <v>47.7</v>
          </cell>
          <cell r="J241">
            <v>2</v>
          </cell>
          <cell r="K241">
            <v>12</v>
          </cell>
          <cell r="L241">
            <v>72.5</v>
          </cell>
          <cell r="M241">
            <v>77</v>
          </cell>
          <cell r="N241">
            <v>26.7</v>
          </cell>
          <cell r="O241">
            <v>6</v>
          </cell>
          <cell r="P241">
            <v>3.6</v>
          </cell>
          <cell r="S241">
            <v>9.8000000000000007</v>
          </cell>
          <cell r="T241">
            <v>24.3</v>
          </cell>
          <cell r="U241">
            <v>2</v>
          </cell>
        </row>
        <row r="242">
          <cell r="B242" t="str">
            <v>Female</v>
          </cell>
          <cell r="F242">
            <v>14</v>
          </cell>
          <cell r="H242">
            <v>5.8</v>
          </cell>
          <cell r="I242">
            <v>61</v>
          </cell>
          <cell r="J242">
            <v>5</v>
          </cell>
          <cell r="K242">
            <v>16</v>
          </cell>
          <cell r="L242">
            <v>201.59</v>
          </cell>
          <cell r="M242">
            <v>28</v>
          </cell>
          <cell r="N242">
            <v>3.9</v>
          </cell>
          <cell r="O242">
            <v>7.6</v>
          </cell>
          <cell r="P242">
            <v>28.5</v>
          </cell>
          <cell r="S242">
            <v>27</v>
          </cell>
          <cell r="T242">
            <v>30.5</v>
          </cell>
          <cell r="U242">
            <v>3</v>
          </cell>
        </row>
        <row r="243">
          <cell r="B243" t="str">
            <v>Male</v>
          </cell>
          <cell r="F243">
            <v>8</v>
          </cell>
          <cell r="G243">
            <v>27.7</v>
          </cell>
          <cell r="H243">
            <v>8.9</v>
          </cell>
          <cell r="I243">
            <v>58.3</v>
          </cell>
          <cell r="J243">
            <v>3</v>
          </cell>
          <cell r="K243">
            <v>14.3</v>
          </cell>
          <cell r="L243">
            <v>83.6</v>
          </cell>
          <cell r="M243">
            <v>25</v>
          </cell>
          <cell r="N243">
            <v>111</v>
          </cell>
          <cell r="O243">
            <v>8.1999999999999993</v>
          </cell>
          <cell r="P243">
            <v>46</v>
          </cell>
          <cell r="S243">
            <v>25.7</v>
          </cell>
          <cell r="T243">
            <v>10.3</v>
          </cell>
          <cell r="U243">
            <v>1</v>
          </cell>
        </row>
        <row r="244">
          <cell r="B244" t="str">
            <v>Male</v>
          </cell>
          <cell r="F244">
            <v>23</v>
          </cell>
          <cell r="G244">
            <v>43.2</v>
          </cell>
          <cell r="H244">
            <v>11</v>
          </cell>
          <cell r="I244">
            <v>46</v>
          </cell>
          <cell r="J244">
            <v>3</v>
          </cell>
          <cell r="K244">
            <v>26</v>
          </cell>
          <cell r="L244">
            <v>94.49</v>
          </cell>
          <cell r="M244">
            <v>36</v>
          </cell>
          <cell r="N244">
            <v>12.48</v>
          </cell>
          <cell r="O244">
            <v>7.6</v>
          </cell>
          <cell r="P244">
            <v>39.200000000000003</v>
          </cell>
          <cell r="S244">
            <v>32</v>
          </cell>
          <cell r="T244">
            <v>27.2</v>
          </cell>
          <cell r="U244">
            <v>1</v>
          </cell>
        </row>
        <row r="245">
          <cell r="B245" t="str">
            <v>Other</v>
          </cell>
          <cell r="F245">
            <v>15</v>
          </cell>
          <cell r="G245">
            <v>25.8</v>
          </cell>
          <cell r="H245">
            <v>7.1</v>
          </cell>
          <cell r="I245">
            <v>63.5</v>
          </cell>
          <cell r="J245">
            <v>1</v>
          </cell>
          <cell r="K245">
            <v>18.2</v>
          </cell>
          <cell r="L245">
            <v>151.82</v>
          </cell>
          <cell r="M245">
            <v>77</v>
          </cell>
          <cell r="N245" t="str">
            <v>32.279999999999994</v>
          </cell>
          <cell r="O245">
            <v>1.4</v>
          </cell>
          <cell r="P245">
            <v>22.6</v>
          </cell>
          <cell r="S245">
            <v>36.6</v>
          </cell>
          <cell r="U245">
            <v>1</v>
          </cell>
        </row>
        <row r="246">
          <cell r="B246" t="str">
            <v>Female</v>
          </cell>
          <cell r="F246">
            <v>5</v>
          </cell>
          <cell r="G246">
            <v>20.6</v>
          </cell>
          <cell r="H246">
            <v>7.7</v>
          </cell>
          <cell r="I246">
            <v>64.599999999999994</v>
          </cell>
          <cell r="J246">
            <v>3</v>
          </cell>
          <cell r="K246">
            <v>13</v>
          </cell>
          <cell r="L246">
            <v>135.41</v>
          </cell>
          <cell r="N246">
            <v>71.7</v>
          </cell>
          <cell r="O246">
            <v>7.9</v>
          </cell>
          <cell r="S246">
            <v>39.200000000000003</v>
          </cell>
          <cell r="T246">
            <v>19.399999999999999</v>
          </cell>
          <cell r="U246">
            <v>2</v>
          </cell>
        </row>
        <row r="247">
          <cell r="B247" t="str">
            <v>Female</v>
          </cell>
          <cell r="F247">
            <v>6</v>
          </cell>
          <cell r="H247">
            <v>7.6</v>
          </cell>
          <cell r="I247">
            <v>78.2</v>
          </cell>
          <cell r="J247">
            <v>1</v>
          </cell>
          <cell r="K247">
            <v>7</v>
          </cell>
          <cell r="L247">
            <v>138.88999999999999</v>
          </cell>
          <cell r="M247">
            <v>5</v>
          </cell>
          <cell r="N247">
            <v>43.5</v>
          </cell>
          <cell r="O247">
            <v>7.9</v>
          </cell>
          <cell r="P247">
            <v>8.5</v>
          </cell>
          <cell r="S247">
            <v>0</v>
          </cell>
          <cell r="T247">
            <v>9.6</v>
          </cell>
          <cell r="U247">
            <v>3</v>
          </cell>
        </row>
        <row r="248">
          <cell r="B248" t="str">
            <v>Female</v>
          </cell>
          <cell r="F248">
            <v>22</v>
          </cell>
          <cell r="G248">
            <v>48.4</v>
          </cell>
          <cell r="H248">
            <v>16.8</v>
          </cell>
          <cell r="I248">
            <v>39.799999999999997</v>
          </cell>
          <cell r="J248">
            <v>7</v>
          </cell>
          <cell r="K248">
            <v>16</v>
          </cell>
          <cell r="L248">
            <v>103.68</v>
          </cell>
          <cell r="M248">
            <v>68</v>
          </cell>
          <cell r="N248">
            <v>56.2</v>
          </cell>
          <cell r="O248">
            <v>7.5</v>
          </cell>
          <cell r="P248">
            <v>28.2</v>
          </cell>
          <cell r="S248">
            <v>43.7</v>
          </cell>
          <cell r="U248">
            <v>4</v>
          </cell>
        </row>
        <row r="249">
          <cell r="B249" t="str">
            <v>Male</v>
          </cell>
          <cell r="F249">
            <v>20</v>
          </cell>
          <cell r="G249">
            <v>31.7</v>
          </cell>
          <cell r="H249">
            <v>10.7</v>
          </cell>
          <cell r="I249">
            <v>34.9</v>
          </cell>
          <cell r="J249">
            <v>4</v>
          </cell>
          <cell r="K249">
            <v>18</v>
          </cell>
          <cell r="L249">
            <v>128.59</v>
          </cell>
          <cell r="M249">
            <v>10</v>
          </cell>
          <cell r="N249">
            <v>41.1</v>
          </cell>
          <cell r="O249">
            <v>10.1</v>
          </cell>
          <cell r="P249">
            <v>23.3</v>
          </cell>
          <cell r="S249">
            <v>67.099999999999994</v>
          </cell>
          <cell r="T249">
            <v>20.100000000000001</v>
          </cell>
          <cell r="U249">
            <v>2</v>
          </cell>
        </row>
        <row r="250">
          <cell r="B250" t="str">
            <v>Female</v>
          </cell>
          <cell r="F250">
            <v>7</v>
          </cell>
          <cell r="G250">
            <v>23.6</v>
          </cell>
          <cell r="H250">
            <v>3.8</v>
          </cell>
          <cell r="I250">
            <v>61.5</v>
          </cell>
          <cell r="J250">
            <v>3</v>
          </cell>
          <cell r="K250">
            <v>13</v>
          </cell>
          <cell r="L250">
            <v>141.74</v>
          </cell>
          <cell r="M250">
            <v>1</v>
          </cell>
          <cell r="N250">
            <v>52.2</v>
          </cell>
          <cell r="O250">
            <v>3.7</v>
          </cell>
          <cell r="P250">
            <v>12</v>
          </cell>
          <cell r="S250">
            <v>25.7</v>
          </cell>
          <cell r="T250">
            <v>19.100000000000001</v>
          </cell>
        </row>
        <row r="251">
          <cell r="B251" t="str">
            <v>Male</v>
          </cell>
          <cell r="F251">
            <v>14</v>
          </cell>
          <cell r="G251">
            <v>17.2</v>
          </cell>
          <cell r="H251">
            <v>9.9</v>
          </cell>
          <cell r="I251">
            <v>66.2</v>
          </cell>
          <cell r="J251">
            <v>4</v>
          </cell>
          <cell r="K251">
            <v>14.3</v>
          </cell>
          <cell r="L251">
            <v>220.98</v>
          </cell>
          <cell r="M251">
            <v>68</v>
          </cell>
          <cell r="N251">
            <v>46.92</v>
          </cell>
          <cell r="O251">
            <v>8.6999999999999993</v>
          </cell>
          <cell r="P251">
            <v>26.4</v>
          </cell>
          <cell r="S251">
            <v>12.8</v>
          </cell>
          <cell r="T251">
            <v>19</v>
          </cell>
          <cell r="U251">
            <v>1</v>
          </cell>
        </row>
        <row r="252">
          <cell r="B252" t="str">
            <v>Female</v>
          </cell>
          <cell r="F252">
            <v>12</v>
          </cell>
          <cell r="G252">
            <v>21.1</v>
          </cell>
          <cell r="I252">
            <v>47.3</v>
          </cell>
          <cell r="J252">
            <v>4</v>
          </cell>
          <cell r="K252">
            <v>16</v>
          </cell>
          <cell r="L252">
            <v>182.59</v>
          </cell>
          <cell r="M252">
            <v>0</v>
          </cell>
          <cell r="N252">
            <v>33</v>
          </cell>
          <cell r="O252">
            <v>8.5</v>
          </cell>
          <cell r="P252">
            <v>6.3</v>
          </cell>
          <cell r="S252">
            <v>36</v>
          </cell>
          <cell r="T252">
            <v>10.9</v>
          </cell>
          <cell r="U252">
            <v>3</v>
          </cell>
        </row>
        <row r="253">
          <cell r="B253" t="str">
            <v>Female</v>
          </cell>
          <cell r="F253">
            <v>11</v>
          </cell>
          <cell r="G253">
            <v>20.5</v>
          </cell>
          <cell r="H253">
            <v>8.4</v>
          </cell>
          <cell r="I253">
            <v>78.2</v>
          </cell>
          <cell r="K253">
            <v>6</v>
          </cell>
          <cell r="L253">
            <v>130.65</v>
          </cell>
          <cell r="M253">
            <v>52</v>
          </cell>
          <cell r="N253">
            <v>53.7</v>
          </cell>
          <cell r="P253">
            <v>5.6</v>
          </cell>
          <cell r="S253">
            <v>37.4</v>
          </cell>
          <cell r="T253">
            <v>12.3</v>
          </cell>
          <cell r="U253">
            <v>1</v>
          </cell>
        </row>
        <row r="254">
          <cell r="B254" t="str">
            <v>Male</v>
          </cell>
          <cell r="F254">
            <v>13</v>
          </cell>
          <cell r="G254">
            <v>22.4</v>
          </cell>
          <cell r="H254">
            <v>6.9</v>
          </cell>
          <cell r="I254">
            <v>56.8</v>
          </cell>
          <cell r="J254">
            <v>3</v>
          </cell>
          <cell r="K254">
            <v>9.1</v>
          </cell>
          <cell r="L254">
            <v>68.599999999999994</v>
          </cell>
          <cell r="M254">
            <v>32</v>
          </cell>
          <cell r="N254">
            <v>21</v>
          </cell>
          <cell r="O254">
            <v>8.4</v>
          </cell>
          <cell r="P254">
            <v>21.9</v>
          </cell>
          <cell r="S254">
            <v>25.8</v>
          </cell>
          <cell r="T254">
            <v>25.6</v>
          </cell>
          <cell r="U254">
            <v>2</v>
          </cell>
        </row>
        <row r="255">
          <cell r="B255" t="str">
            <v>Female</v>
          </cell>
          <cell r="F255">
            <v>15</v>
          </cell>
          <cell r="G255">
            <v>27.2</v>
          </cell>
          <cell r="H255">
            <v>11.7</v>
          </cell>
          <cell r="I255">
            <v>59.2</v>
          </cell>
          <cell r="K255">
            <v>15</v>
          </cell>
          <cell r="L255">
            <v>87.73</v>
          </cell>
          <cell r="M255">
            <v>25</v>
          </cell>
          <cell r="N255">
            <v>55.9</v>
          </cell>
          <cell r="O255">
            <v>2.2000000000000002</v>
          </cell>
          <cell r="P255">
            <v>31.5</v>
          </cell>
          <cell r="S255">
            <v>15.3</v>
          </cell>
          <cell r="T255">
            <v>24.1</v>
          </cell>
          <cell r="U255">
            <v>3</v>
          </cell>
        </row>
        <row r="256">
          <cell r="B256" t="str">
            <v>Female</v>
          </cell>
          <cell r="F256">
            <v>17</v>
          </cell>
          <cell r="G256">
            <v>34.6</v>
          </cell>
          <cell r="H256">
            <v>8.4</v>
          </cell>
          <cell r="I256">
            <v>40.9</v>
          </cell>
          <cell r="J256">
            <v>2</v>
          </cell>
          <cell r="K256">
            <v>11</v>
          </cell>
          <cell r="L256">
            <v>87.76</v>
          </cell>
          <cell r="M256">
            <v>88</v>
          </cell>
          <cell r="N256">
            <v>74.599999999999994</v>
          </cell>
          <cell r="O256">
            <v>15.7</v>
          </cell>
          <cell r="P256">
            <v>15.2</v>
          </cell>
          <cell r="T256">
            <v>13.6</v>
          </cell>
          <cell r="U256">
            <v>2</v>
          </cell>
        </row>
        <row r="257">
          <cell r="B257" t="str">
            <v>Female</v>
          </cell>
          <cell r="F257">
            <v>8</v>
          </cell>
          <cell r="G257">
            <v>44.8</v>
          </cell>
          <cell r="H257">
            <v>10.5</v>
          </cell>
          <cell r="I257">
            <v>32.1</v>
          </cell>
          <cell r="J257">
            <v>4</v>
          </cell>
          <cell r="K257">
            <v>11</v>
          </cell>
          <cell r="L257">
            <v>135.26</v>
          </cell>
          <cell r="M257">
            <v>45</v>
          </cell>
          <cell r="N257">
            <v>6.6</v>
          </cell>
          <cell r="O257">
            <v>3.6</v>
          </cell>
          <cell r="P257">
            <v>32.5</v>
          </cell>
          <cell r="S257">
            <v>41.1</v>
          </cell>
          <cell r="T257">
            <v>14.7</v>
          </cell>
          <cell r="U257">
            <v>3</v>
          </cell>
        </row>
        <row r="258">
          <cell r="B258" t="str">
            <v>Male</v>
          </cell>
          <cell r="F258">
            <v>24</v>
          </cell>
          <cell r="G258">
            <v>44.4</v>
          </cell>
          <cell r="H258">
            <v>14.2</v>
          </cell>
          <cell r="I258">
            <v>43.8</v>
          </cell>
          <cell r="J258">
            <v>10</v>
          </cell>
          <cell r="K258">
            <v>21</v>
          </cell>
          <cell r="L258">
            <v>126.27</v>
          </cell>
          <cell r="M258">
            <v>22</v>
          </cell>
          <cell r="N258">
            <v>36.200000000000003</v>
          </cell>
          <cell r="O258">
            <v>5.5</v>
          </cell>
          <cell r="P258">
            <v>46.2</v>
          </cell>
          <cell r="S258">
            <v>55.6</v>
          </cell>
          <cell r="T258">
            <v>38.299999999999997</v>
          </cell>
          <cell r="U258">
            <v>3</v>
          </cell>
        </row>
        <row r="259">
          <cell r="B259" t="str">
            <v>Male</v>
          </cell>
          <cell r="F259">
            <v>14</v>
          </cell>
          <cell r="G259">
            <v>36.5</v>
          </cell>
          <cell r="H259">
            <v>12</v>
          </cell>
          <cell r="I259">
            <v>54.3</v>
          </cell>
          <cell r="J259">
            <v>2</v>
          </cell>
          <cell r="K259">
            <v>12</v>
          </cell>
          <cell r="L259">
            <v>99.18</v>
          </cell>
          <cell r="M259">
            <v>53</v>
          </cell>
          <cell r="N259">
            <v>20.9</v>
          </cell>
          <cell r="O259">
            <v>1</v>
          </cell>
          <cell r="P259">
            <v>14.3</v>
          </cell>
          <cell r="S259">
            <v>45</v>
          </cell>
          <cell r="U259">
            <v>1</v>
          </cell>
        </row>
        <row r="260">
          <cell r="B260" t="str">
            <v>Male</v>
          </cell>
          <cell r="F260">
            <v>18</v>
          </cell>
          <cell r="G260">
            <v>38</v>
          </cell>
          <cell r="H260">
            <v>15.8</v>
          </cell>
          <cell r="I260">
            <v>43.2</v>
          </cell>
          <cell r="J260">
            <v>9</v>
          </cell>
          <cell r="K260">
            <v>27.3</v>
          </cell>
          <cell r="L260">
            <v>115.6</v>
          </cell>
          <cell r="M260">
            <v>42</v>
          </cell>
          <cell r="N260">
            <v>60</v>
          </cell>
          <cell r="O260">
            <v>6.4</v>
          </cell>
          <cell r="P260">
            <v>39.4</v>
          </cell>
          <cell r="S260">
            <v>62.5</v>
          </cell>
          <cell r="T260">
            <v>39.4</v>
          </cell>
          <cell r="U260">
            <v>1</v>
          </cell>
        </row>
        <row r="261">
          <cell r="B261" t="str">
            <v>Male</v>
          </cell>
          <cell r="F261">
            <v>11</v>
          </cell>
          <cell r="H261">
            <v>7.7</v>
          </cell>
          <cell r="I261">
            <v>72.8</v>
          </cell>
          <cell r="J261">
            <v>6</v>
          </cell>
          <cell r="K261">
            <v>15</v>
          </cell>
          <cell r="L261">
            <v>70.05</v>
          </cell>
          <cell r="M261">
            <v>71</v>
          </cell>
          <cell r="N261">
            <v>32.4</v>
          </cell>
          <cell r="P261">
            <v>31.2</v>
          </cell>
          <cell r="S261">
            <v>49.1</v>
          </cell>
          <cell r="T261">
            <v>10.5</v>
          </cell>
          <cell r="U261">
            <v>2</v>
          </cell>
        </row>
        <row r="262">
          <cell r="B262" t="str">
            <v>Female</v>
          </cell>
          <cell r="F262">
            <v>0</v>
          </cell>
          <cell r="G262">
            <v>18.899999999999999</v>
          </cell>
          <cell r="H262">
            <v>7.2</v>
          </cell>
          <cell r="I262">
            <v>69.400000000000006</v>
          </cell>
          <cell r="J262">
            <v>0</v>
          </cell>
          <cell r="K262">
            <v>10</v>
          </cell>
          <cell r="L262">
            <v>89.33</v>
          </cell>
          <cell r="M262">
            <v>23</v>
          </cell>
          <cell r="N262">
            <v>19.600000000000001</v>
          </cell>
          <cell r="P262">
            <v>24.3</v>
          </cell>
          <cell r="S262">
            <v>0</v>
          </cell>
          <cell r="T262">
            <v>12.4</v>
          </cell>
          <cell r="U262">
            <v>5</v>
          </cell>
        </row>
        <row r="263">
          <cell r="B263" t="str">
            <v>Female</v>
          </cell>
          <cell r="F263">
            <v>4</v>
          </cell>
          <cell r="G263">
            <v>18.899999999999999</v>
          </cell>
          <cell r="H263">
            <v>6</v>
          </cell>
          <cell r="I263">
            <v>60.3</v>
          </cell>
          <cell r="J263">
            <v>4</v>
          </cell>
          <cell r="K263">
            <v>11</v>
          </cell>
          <cell r="L263">
            <v>48.77</v>
          </cell>
          <cell r="M263">
            <v>47</v>
          </cell>
          <cell r="O263">
            <v>4.5</v>
          </cell>
          <cell r="P263">
            <v>23.2</v>
          </cell>
          <cell r="S263">
            <v>17.899999999999999</v>
          </cell>
          <cell r="T263">
            <v>19.3</v>
          </cell>
          <cell r="U263">
            <v>2</v>
          </cell>
        </row>
        <row r="264">
          <cell r="B264" t="str">
            <v>Male</v>
          </cell>
          <cell r="F264">
            <v>15</v>
          </cell>
          <cell r="G264">
            <v>25.5</v>
          </cell>
          <cell r="H264">
            <v>7.7</v>
          </cell>
          <cell r="I264">
            <v>47.8</v>
          </cell>
          <cell r="J264">
            <v>5</v>
          </cell>
          <cell r="K264">
            <v>15</v>
          </cell>
          <cell r="L264">
            <v>170.02</v>
          </cell>
          <cell r="M264">
            <v>16</v>
          </cell>
          <cell r="N264">
            <v>71.2</v>
          </cell>
          <cell r="O264">
            <v>4.3</v>
          </cell>
          <cell r="P264">
            <v>17.8</v>
          </cell>
          <cell r="S264">
            <v>0</v>
          </cell>
          <cell r="T264">
            <v>11.9</v>
          </cell>
          <cell r="U264">
            <v>3</v>
          </cell>
        </row>
        <row r="265">
          <cell r="B265" t="str">
            <v>Female</v>
          </cell>
          <cell r="F265">
            <v>26</v>
          </cell>
          <cell r="G265">
            <v>36.4</v>
          </cell>
          <cell r="H265">
            <v>10.3</v>
          </cell>
          <cell r="I265">
            <v>50.4</v>
          </cell>
          <cell r="K265">
            <v>17</v>
          </cell>
          <cell r="L265">
            <v>120.95</v>
          </cell>
          <cell r="M265">
            <v>50</v>
          </cell>
          <cell r="N265">
            <v>9</v>
          </cell>
          <cell r="O265">
            <v>6.2</v>
          </cell>
          <cell r="P265">
            <v>15.8</v>
          </cell>
          <cell r="S265">
            <v>29.4</v>
          </cell>
          <cell r="U265">
            <v>3</v>
          </cell>
        </row>
        <row r="266">
          <cell r="B266" t="str">
            <v>Male</v>
          </cell>
          <cell r="F266">
            <v>10</v>
          </cell>
          <cell r="G266">
            <v>31.1</v>
          </cell>
          <cell r="H266">
            <v>5.9</v>
          </cell>
          <cell r="I266">
            <v>71</v>
          </cell>
          <cell r="J266">
            <v>3</v>
          </cell>
          <cell r="K266">
            <v>16</v>
          </cell>
          <cell r="L266">
            <v>93.43</v>
          </cell>
          <cell r="M266">
            <v>2</v>
          </cell>
          <cell r="P266">
            <v>0</v>
          </cell>
          <cell r="S266">
            <v>11.8</v>
          </cell>
          <cell r="T266">
            <v>21.2</v>
          </cell>
          <cell r="U266">
            <v>1</v>
          </cell>
        </row>
        <row r="267">
          <cell r="B267" t="str">
            <v>Female</v>
          </cell>
          <cell r="F267">
            <v>9</v>
          </cell>
          <cell r="G267">
            <v>24.7</v>
          </cell>
          <cell r="H267">
            <v>6.3</v>
          </cell>
          <cell r="I267">
            <v>72.2</v>
          </cell>
          <cell r="J267">
            <v>2</v>
          </cell>
          <cell r="K267">
            <v>7</v>
          </cell>
          <cell r="L267">
            <v>125.83</v>
          </cell>
          <cell r="M267">
            <v>60</v>
          </cell>
          <cell r="N267">
            <v>40.6</v>
          </cell>
          <cell r="O267">
            <v>5.0999999999999996</v>
          </cell>
          <cell r="P267">
            <v>10.9</v>
          </cell>
          <cell r="S267">
            <v>19.5</v>
          </cell>
          <cell r="T267">
            <v>17.899999999999999</v>
          </cell>
          <cell r="U267">
            <v>2</v>
          </cell>
        </row>
        <row r="268">
          <cell r="B268" t="str">
            <v>Female</v>
          </cell>
          <cell r="F268">
            <v>10</v>
          </cell>
          <cell r="G268">
            <v>32.9</v>
          </cell>
          <cell r="H268">
            <v>12.4</v>
          </cell>
          <cell r="I268">
            <v>50.5</v>
          </cell>
          <cell r="J268">
            <v>8</v>
          </cell>
          <cell r="K268">
            <v>13</v>
          </cell>
          <cell r="L268">
            <v>99.24</v>
          </cell>
          <cell r="M268">
            <v>50</v>
          </cell>
          <cell r="N268">
            <v>71.28</v>
          </cell>
          <cell r="O268">
            <v>3</v>
          </cell>
          <cell r="P268">
            <v>33.5</v>
          </cell>
          <cell r="S268">
            <v>6.9</v>
          </cell>
          <cell r="T268">
            <v>17.2</v>
          </cell>
        </row>
        <row r="269">
          <cell r="B269" t="str">
            <v>Female</v>
          </cell>
          <cell r="F269">
            <v>16</v>
          </cell>
          <cell r="G269">
            <v>37.5</v>
          </cell>
          <cell r="H269">
            <v>13.9</v>
          </cell>
          <cell r="I269">
            <v>38.700000000000003</v>
          </cell>
          <cell r="J269">
            <v>10</v>
          </cell>
          <cell r="K269">
            <v>28</v>
          </cell>
          <cell r="L269">
            <v>140.08000000000001</v>
          </cell>
          <cell r="M269">
            <v>0</v>
          </cell>
          <cell r="N269">
            <v>52.9</v>
          </cell>
          <cell r="O269">
            <v>12.1</v>
          </cell>
          <cell r="P269">
            <v>50.1</v>
          </cell>
          <cell r="S269">
            <v>62.4</v>
          </cell>
          <cell r="T269">
            <v>31.7</v>
          </cell>
        </row>
        <row r="270">
          <cell r="B270" t="str">
            <v>Female</v>
          </cell>
          <cell r="F270">
            <v>15</v>
          </cell>
          <cell r="G270">
            <v>20.3</v>
          </cell>
          <cell r="I270">
            <v>47.7</v>
          </cell>
          <cell r="K270">
            <v>8</v>
          </cell>
          <cell r="L270">
            <v>146.06</v>
          </cell>
          <cell r="M270">
            <v>3</v>
          </cell>
          <cell r="N270">
            <v>23.6</v>
          </cell>
          <cell r="P270">
            <v>25.1</v>
          </cell>
          <cell r="S270">
            <v>35.700000000000003</v>
          </cell>
          <cell r="T270">
            <v>20.399999999999999</v>
          </cell>
        </row>
        <row r="271">
          <cell r="B271" t="str">
            <v>Female</v>
          </cell>
          <cell r="F271">
            <v>7</v>
          </cell>
          <cell r="G271">
            <v>12.5</v>
          </cell>
          <cell r="H271">
            <v>5.5</v>
          </cell>
          <cell r="I271">
            <v>59.8</v>
          </cell>
          <cell r="J271">
            <v>1</v>
          </cell>
          <cell r="K271">
            <v>9.1</v>
          </cell>
          <cell r="L271">
            <v>172.77</v>
          </cell>
          <cell r="M271">
            <v>23</v>
          </cell>
          <cell r="N271">
            <v>41.16</v>
          </cell>
          <cell r="O271">
            <v>5.5</v>
          </cell>
          <cell r="P271">
            <v>7.4</v>
          </cell>
          <cell r="S271">
            <v>27.5</v>
          </cell>
          <cell r="T271">
            <v>11.8</v>
          </cell>
          <cell r="U271">
            <v>2</v>
          </cell>
        </row>
        <row r="272">
          <cell r="B272" t="str">
            <v>Female</v>
          </cell>
          <cell r="F272">
            <v>17</v>
          </cell>
          <cell r="G272">
            <v>34.200000000000003</v>
          </cell>
          <cell r="H272">
            <v>12.6</v>
          </cell>
          <cell r="I272">
            <v>64.7</v>
          </cell>
          <cell r="J272">
            <v>8</v>
          </cell>
          <cell r="K272">
            <v>15</v>
          </cell>
          <cell r="L272">
            <v>78.58</v>
          </cell>
          <cell r="M272">
            <v>8</v>
          </cell>
          <cell r="N272">
            <v>11.2</v>
          </cell>
          <cell r="O272">
            <v>4.2</v>
          </cell>
          <cell r="P272">
            <v>12.9</v>
          </cell>
          <cell r="S272">
            <v>62.1</v>
          </cell>
          <cell r="T272">
            <v>22.2</v>
          </cell>
          <cell r="U272">
            <v>3</v>
          </cell>
        </row>
        <row r="273">
          <cell r="B273" t="str">
            <v>Male</v>
          </cell>
          <cell r="F273">
            <v>14</v>
          </cell>
          <cell r="G273">
            <v>32</v>
          </cell>
          <cell r="H273">
            <v>11.2</v>
          </cell>
          <cell r="I273">
            <v>42.2</v>
          </cell>
          <cell r="J273">
            <v>5</v>
          </cell>
          <cell r="K273">
            <v>22.1</v>
          </cell>
          <cell r="L273">
            <v>134.59</v>
          </cell>
          <cell r="M273">
            <v>17</v>
          </cell>
          <cell r="N273">
            <v>56.52</v>
          </cell>
          <cell r="O273">
            <v>5.5</v>
          </cell>
          <cell r="P273">
            <v>47.7</v>
          </cell>
          <cell r="T273">
            <v>19.3</v>
          </cell>
          <cell r="U273">
            <v>2</v>
          </cell>
        </row>
        <row r="274">
          <cell r="B274" t="str">
            <v>Female</v>
          </cell>
          <cell r="F274">
            <v>5</v>
          </cell>
          <cell r="G274">
            <v>19</v>
          </cell>
          <cell r="H274">
            <v>7.9</v>
          </cell>
          <cell r="I274">
            <v>52.3</v>
          </cell>
          <cell r="J274">
            <v>5</v>
          </cell>
          <cell r="K274">
            <v>7</v>
          </cell>
          <cell r="L274">
            <v>133.56</v>
          </cell>
          <cell r="M274">
            <v>27</v>
          </cell>
          <cell r="N274">
            <v>14</v>
          </cell>
          <cell r="O274">
            <v>5.3</v>
          </cell>
          <cell r="P274">
            <v>8</v>
          </cell>
          <cell r="S274">
            <v>39</v>
          </cell>
          <cell r="T274">
            <v>14.8</v>
          </cell>
          <cell r="U274">
            <v>3</v>
          </cell>
        </row>
        <row r="275">
          <cell r="B275" t="str">
            <v>Female</v>
          </cell>
          <cell r="F275">
            <v>6</v>
          </cell>
          <cell r="G275">
            <v>14.7</v>
          </cell>
          <cell r="H275">
            <v>7.2</v>
          </cell>
          <cell r="I275">
            <v>27.4</v>
          </cell>
          <cell r="J275">
            <v>4</v>
          </cell>
          <cell r="K275">
            <v>15</v>
          </cell>
          <cell r="L275">
            <v>56</v>
          </cell>
          <cell r="M275">
            <v>13</v>
          </cell>
          <cell r="N275">
            <v>60.5</v>
          </cell>
          <cell r="P275">
            <v>27.4</v>
          </cell>
          <cell r="S275">
            <v>11.5</v>
          </cell>
          <cell r="T275">
            <v>10.4</v>
          </cell>
          <cell r="U275">
            <v>3</v>
          </cell>
        </row>
        <row r="276">
          <cell r="B276" t="str">
            <v>Female</v>
          </cell>
          <cell r="F276">
            <v>10</v>
          </cell>
          <cell r="H276">
            <v>9.5</v>
          </cell>
          <cell r="I276">
            <v>68.3</v>
          </cell>
          <cell r="J276">
            <v>6</v>
          </cell>
          <cell r="K276">
            <v>12</v>
          </cell>
          <cell r="L276">
            <v>148.18</v>
          </cell>
          <cell r="M276">
            <v>127</v>
          </cell>
          <cell r="N276">
            <v>19.7</v>
          </cell>
          <cell r="O276">
            <v>4.3</v>
          </cell>
          <cell r="P276">
            <v>0</v>
          </cell>
          <cell r="S276">
            <v>17.899999999999999</v>
          </cell>
          <cell r="T276">
            <v>24.8</v>
          </cell>
          <cell r="U276">
            <v>1</v>
          </cell>
        </row>
        <row r="277">
          <cell r="B277" t="str">
            <v>Male</v>
          </cell>
          <cell r="F277">
            <v>3</v>
          </cell>
          <cell r="G277">
            <v>17.5</v>
          </cell>
          <cell r="H277">
            <v>4.7</v>
          </cell>
          <cell r="I277">
            <v>53.5</v>
          </cell>
          <cell r="J277">
            <v>1</v>
          </cell>
          <cell r="K277">
            <v>14.3</v>
          </cell>
          <cell r="L277">
            <v>140.13</v>
          </cell>
          <cell r="M277">
            <v>34</v>
          </cell>
          <cell r="N277">
            <v>81.239999999999995</v>
          </cell>
          <cell r="O277">
            <v>6.3</v>
          </cell>
          <cell r="P277">
            <v>19.899999999999999</v>
          </cell>
          <cell r="S277">
            <v>26.6</v>
          </cell>
          <cell r="T277">
            <v>13.7</v>
          </cell>
        </row>
        <row r="278">
          <cell r="B278" t="str">
            <v>Male</v>
          </cell>
          <cell r="F278">
            <v>11</v>
          </cell>
          <cell r="G278">
            <v>29.9</v>
          </cell>
          <cell r="H278">
            <v>8.6999999999999993</v>
          </cell>
          <cell r="I278">
            <v>62.4</v>
          </cell>
          <cell r="K278">
            <v>16</v>
          </cell>
          <cell r="L278">
            <v>131.91999999999999</v>
          </cell>
          <cell r="M278">
            <v>46</v>
          </cell>
          <cell r="N278">
            <v>35.299999999999997</v>
          </cell>
          <cell r="P278">
            <v>17.3</v>
          </cell>
          <cell r="S278">
            <v>36</v>
          </cell>
          <cell r="T278">
            <v>17</v>
          </cell>
          <cell r="U278">
            <v>2</v>
          </cell>
        </row>
        <row r="279">
          <cell r="B279" t="str">
            <v>Female</v>
          </cell>
          <cell r="F279">
            <v>27</v>
          </cell>
          <cell r="G279">
            <v>53</v>
          </cell>
          <cell r="H279">
            <v>16</v>
          </cell>
          <cell r="I279">
            <v>27</v>
          </cell>
          <cell r="K279">
            <v>32.5</v>
          </cell>
          <cell r="L279">
            <v>218.69</v>
          </cell>
          <cell r="M279">
            <v>23</v>
          </cell>
          <cell r="N279">
            <v>116.16</v>
          </cell>
          <cell r="O279">
            <v>7.9</v>
          </cell>
          <cell r="P279">
            <v>51.3</v>
          </cell>
          <cell r="S279">
            <v>74.099999999999994</v>
          </cell>
          <cell r="T279">
            <v>46.2</v>
          </cell>
          <cell r="U279">
            <v>4</v>
          </cell>
        </row>
        <row r="280">
          <cell r="B280" t="str">
            <v>Female</v>
          </cell>
          <cell r="F280">
            <v>25</v>
          </cell>
          <cell r="G280">
            <v>41.5</v>
          </cell>
          <cell r="H280">
            <v>15.5</v>
          </cell>
          <cell r="I280">
            <v>10.6</v>
          </cell>
          <cell r="K280">
            <v>27.3</v>
          </cell>
          <cell r="L280">
            <v>81.3</v>
          </cell>
          <cell r="M280">
            <v>49</v>
          </cell>
          <cell r="N280" t="str">
            <v>14.639999999999999</v>
          </cell>
          <cell r="O280">
            <v>3.2</v>
          </cell>
          <cell r="P280">
            <v>35.4</v>
          </cell>
          <cell r="T280">
            <v>43.5</v>
          </cell>
          <cell r="U280">
            <v>3</v>
          </cell>
        </row>
        <row r="281">
          <cell r="B281" t="str">
            <v>Female</v>
          </cell>
          <cell r="F281">
            <v>5</v>
          </cell>
          <cell r="G281">
            <v>14.1</v>
          </cell>
          <cell r="H281">
            <v>5.2</v>
          </cell>
          <cell r="I281">
            <v>80.5</v>
          </cell>
          <cell r="J281">
            <v>5</v>
          </cell>
          <cell r="K281">
            <v>8</v>
          </cell>
          <cell r="L281">
            <v>92.59</v>
          </cell>
          <cell r="M281">
            <v>77</v>
          </cell>
          <cell r="O281">
            <v>3.3</v>
          </cell>
          <cell r="P281">
            <v>20.7</v>
          </cell>
          <cell r="S281">
            <v>14.1</v>
          </cell>
          <cell r="T281">
            <v>15.5</v>
          </cell>
          <cell r="U281">
            <v>3</v>
          </cell>
        </row>
        <row r="282">
          <cell r="B282" t="str">
            <v>Male</v>
          </cell>
          <cell r="F282">
            <v>0</v>
          </cell>
          <cell r="G282">
            <v>15.7</v>
          </cell>
          <cell r="H282">
            <v>5.7</v>
          </cell>
          <cell r="I282">
            <v>64.3</v>
          </cell>
          <cell r="J282">
            <v>1</v>
          </cell>
          <cell r="K282">
            <v>10.4</v>
          </cell>
          <cell r="L282">
            <v>80.91</v>
          </cell>
          <cell r="M282">
            <v>10</v>
          </cell>
          <cell r="N282" t="str">
            <v>52.199999999999996</v>
          </cell>
          <cell r="O282">
            <v>2.1</v>
          </cell>
          <cell r="P282">
            <v>10.1</v>
          </cell>
          <cell r="S282">
            <v>13.5</v>
          </cell>
          <cell r="T282">
            <v>4.7</v>
          </cell>
          <cell r="U282">
            <v>1</v>
          </cell>
        </row>
        <row r="283">
          <cell r="B283" t="str">
            <v>Female</v>
          </cell>
          <cell r="F283">
            <v>6</v>
          </cell>
          <cell r="G283">
            <v>12.7</v>
          </cell>
          <cell r="H283">
            <v>3</v>
          </cell>
          <cell r="I283">
            <v>51.5</v>
          </cell>
          <cell r="J283">
            <v>2</v>
          </cell>
          <cell r="K283">
            <v>9.1</v>
          </cell>
          <cell r="L283">
            <v>187.64</v>
          </cell>
          <cell r="M283">
            <v>75</v>
          </cell>
          <cell r="N283">
            <v>26.4</v>
          </cell>
          <cell r="O283">
            <v>10.199999999999999</v>
          </cell>
          <cell r="P283">
            <v>8.3000000000000007</v>
          </cell>
          <cell r="S283">
            <v>1.7</v>
          </cell>
          <cell r="T283">
            <v>19.5</v>
          </cell>
        </row>
        <row r="284">
          <cell r="B284" t="str">
            <v>Female</v>
          </cell>
          <cell r="F284">
            <v>10</v>
          </cell>
          <cell r="G284">
            <v>26.9</v>
          </cell>
          <cell r="H284">
            <v>8.1999999999999993</v>
          </cell>
          <cell r="I284">
            <v>51.7</v>
          </cell>
          <cell r="J284">
            <v>5</v>
          </cell>
          <cell r="K284">
            <v>14</v>
          </cell>
          <cell r="L284">
            <v>125.3</v>
          </cell>
          <cell r="M284">
            <v>62</v>
          </cell>
          <cell r="N284">
            <v>55.4</v>
          </cell>
          <cell r="O284">
            <v>10.199999999999999</v>
          </cell>
          <cell r="P284">
            <v>22.7</v>
          </cell>
          <cell r="T284">
            <v>21.2</v>
          </cell>
          <cell r="U284">
            <v>1</v>
          </cell>
        </row>
        <row r="285">
          <cell r="B285" t="str">
            <v>Male</v>
          </cell>
          <cell r="F285">
            <v>10</v>
          </cell>
          <cell r="G285">
            <v>24.3</v>
          </cell>
          <cell r="H285">
            <v>7.2</v>
          </cell>
          <cell r="I285">
            <v>69.7</v>
          </cell>
          <cell r="J285">
            <v>1</v>
          </cell>
          <cell r="K285">
            <v>11</v>
          </cell>
          <cell r="L285">
            <v>123.52</v>
          </cell>
          <cell r="M285">
            <v>13</v>
          </cell>
          <cell r="N285">
            <v>35.1</v>
          </cell>
          <cell r="O285">
            <v>13.8</v>
          </cell>
          <cell r="P285">
            <v>15</v>
          </cell>
          <cell r="S285">
            <v>0</v>
          </cell>
          <cell r="T285">
            <v>13.1</v>
          </cell>
          <cell r="U285">
            <v>1</v>
          </cell>
        </row>
        <row r="286">
          <cell r="B286" t="str">
            <v>Female</v>
          </cell>
          <cell r="F286">
            <v>14</v>
          </cell>
          <cell r="G286">
            <v>35</v>
          </cell>
          <cell r="H286">
            <v>9.1999999999999993</v>
          </cell>
          <cell r="I286">
            <v>58.7</v>
          </cell>
          <cell r="J286">
            <v>8</v>
          </cell>
          <cell r="K286">
            <v>15</v>
          </cell>
          <cell r="L286">
            <v>106.95</v>
          </cell>
          <cell r="M286">
            <v>78</v>
          </cell>
          <cell r="N286">
            <v>63.6</v>
          </cell>
          <cell r="O286">
            <v>1.4</v>
          </cell>
          <cell r="P286">
            <v>37.4</v>
          </cell>
          <cell r="S286">
            <v>62.6</v>
          </cell>
          <cell r="T286">
            <v>21.1</v>
          </cell>
          <cell r="U286">
            <v>5</v>
          </cell>
        </row>
        <row r="287">
          <cell r="B287" t="str">
            <v>Male</v>
          </cell>
          <cell r="F287">
            <v>11</v>
          </cell>
          <cell r="G287">
            <v>23.5</v>
          </cell>
          <cell r="H287">
            <v>8.6999999999999993</v>
          </cell>
          <cell r="I287">
            <v>49.7</v>
          </cell>
          <cell r="J287">
            <v>4</v>
          </cell>
          <cell r="K287">
            <v>13</v>
          </cell>
          <cell r="L287">
            <v>112.89</v>
          </cell>
          <cell r="M287">
            <v>2</v>
          </cell>
          <cell r="N287">
            <v>84.5</v>
          </cell>
          <cell r="O287">
            <v>23.4</v>
          </cell>
          <cell r="P287">
            <v>21.7</v>
          </cell>
          <cell r="T287">
            <v>26.8</v>
          </cell>
          <cell r="U287">
            <v>2</v>
          </cell>
        </row>
        <row r="288">
          <cell r="B288" t="str">
            <v>Male</v>
          </cell>
          <cell r="F288">
            <v>7</v>
          </cell>
          <cell r="G288">
            <v>33.4</v>
          </cell>
          <cell r="H288">
            <v>8.9</v>
          </cell>
          <cell r="I288">
            <v>42.1</v>
          </cell>
          <cell r="K288">
            <v>13</v>
          </cell>
          <cell r="L288">
            <v>134.22999999999999</v>
          </cell>
          <cell r="M288">
            <v>67</v>
          </cell>
          <cell r="N288">
            <v>20.8</v>
          </cell>
          <cell r="P288">
            <v>33.1</v>
          </cell>
          <cell r="S288">
            <v>0</v>
          </cell>
          <cell r="T288">
            <v>24.9</v>
          </cell>
          <cell r="U288">
            <v>2</v>
          </cell>
        </row>
        <row r="289">
          <cell r="B289" t="str">
            <v>Female</v>
          </cell>
          <cell r="F289">
            <v>12</v>
          </cell>
          <cell r="G289">
            <v>19.600000000000001</v>
          </cell>
          <cell r="H289">
            <v>9</v>
          </cell>
          <cell r="I289">
            <v>58.4</v>
          </cell>
          <cell r="J289">
            <v>6</v>
          </cell>
          <cell r="K289">
            <v>10</v>
          </cell>
          <cell r="L289">
            <v>107.53</v>
          </cell>
          <cell r="M289">
            <v>22</v>
          </cell>
          <cell r="N289">
            <v>38.799999999999997</v>
          </cell>
          <cell r="O289">
            <v>1.7</v>
          </cell>
          <cell r="P289">
            <v>14.4</v>
          </cell>
          <cell r="T289">
            <v>10.8</v>
          </cell>
          <cell r="U289">
            <v>1</v>
          </cell>
        </row>
        <row r="290">
          <cell r="B290" t="str">
            <v>Other</v>
          </cell>
          <cell r="F290">
            <v>24</v>
          </cell>
          <cell r="G290">
            <v>36.9</v>
          </cell>
          <cell r="H290">
            <v>16.600000000000001</v>
          </cell>
          <cell r="I290">
            <v>50.1</v>
          </cell>
          <cell r="J290">
            <v>7</v>
          </cell>
          <cell r="K290">
            <v>15</v>
          </cell>
          <cell r="L290">
            <v>92.48</v>
          </cell>
          <cell r="M290">
            <v>121</v>
          </cell>
          <cell r="N290">
            <v>33.5</v>
          </cell>
          <cell r="O290">
            <v>3.3</v>
          </cell>
          <cell r="P290">
            <v>36.6</v>
          </cell>
          <cell r="S290">
            <v>56.2</v>
          </cell>
          <cell r="T290">
            <v>38.9</v>
          </cell>
          <cell r="U290">
            <v>4</v>
          </cell>
        </row>
        <row r="291">
          <cell r="B291" t="str">
            <v>Female</v>
          </cell>
          <cell r="F291">
            <v>11</v>
          </cell>
          <cell r="G291">
            <v>29.8</v>
          </cell>
          <cell r="H291">
            <v>9.9</v>
          </cell>
          <cell r="I291">
            <v>48.4</v>
          </cell>
          <cell r="J291">
            <v>4</v>
          </cell>
          <cell r="K291">
            <v>14</v>
          </cell>
          <cell r="L291">
            <v>115.03</v>
          </cell>
          <cell r="M291">
            <v>70</v>
          </cell>
          <cell r="N291">
            <v>29.6</v>
          </cell>
          <cell r="O291">
            <v>3</v>
          </cell>
          <cell r="P291">
            <v>52.3</v>
          </cell>
          <cell r="T291">
            <v>15.1</v>
          </cell>
          <cell r="U291">
            <v>4</v>
          </cell>
        </row>
        <row r="292">
          <cell r="B292" t="str">
            <v>Male</v>
          </cell>
          <cell r="F292">
            <v>24</v>
          </cell>
          <cell r="G292">
            <v>49.5</v>
          </cell>
          <cell r="H292">
            <v>15.1</v>
          </cell>
          <cell r="I292">
            <v>44.1</v>
          </cell>
          <cell r="J292">
            <v>5</v>
          </cell>
          <cell r="K292">
            <v>17</v>
          </cell>
          <cell r="L292">
            <v>57.91</v>
          </cell>
          <cell r="M292">
            <v>1</v>
          </cell>
          <cell r="N292">
            <v>27.6</v>
          </cell>
          <cell r="P292">
            <v>29</v>
          </cell>
          <cell r="S292">
            <v>86.3</v>
          </cell>
          <cell r="T292">
            <v>30</v>
          </cell>
          <cell r="U292">
            <v>2</v>
          </cell>
        </row>
        <row r="293">
          <cell r="B293" t="str">
            <v>Male</v>
          </cell>
          <cell r="F293">
            <v>23</v>
          </cell>
          <cell r="G293">
            <v>47.1</v>
          </cell>
          <cell r="H293">
            <v>8.8000000000000007</v>
          </cell>
          <cell r="I293">
            <v>58.7</v>
          </cell>
          <cell r="J293">
            <v>9</v>
          </cell>
          <cell r="K293" t="str">
            <v>15.600000000000001</v>
          </cell>
          <cell r="L293">
            <v>131.74</v>
          </cell>
          <cell r="M293">
            <v>25</v>
          </cell>
          <cell r="O293">
            <v>6.9</v>
          </cell>
          <cell r="P293">
            <v>22.5</v>
          </cell>
          <cell r="T293">
            <v>28.9</v>
          </cell>
          <cell r="U293">
            <v>1</v>
          </cell>
        </row>
        <row r="294">
          <cell r="B294" t="str">
            <v>Male</v>
          </cell>
          <cell r="F294">
            <v>14</v>
          </cell>
          <cell r="G294">
            <v>35</v>
          </cell>
          <cell r="H294">
            <v>16.3</v>
          </cell>
          <cell r="I294">
            <v>32.6</v>
          </cell>
          <cell r="J294">
            <v>2</v>
          </cell>
          <cell r="K294">
            <v>12</v>
          </cell>
          <cell r="L294">
            <v>66.7</v>
          </cell>
          <cell r="M294">
            <v>12</v>
          </cell>
          <cell r="N294">
            <v>51</v>
          </cell>
          <cell r="O294">
            <v>15.3</v>
          </cell>
          <cell r="P294">
            <v>10.7</v>
          </cell>
          <cell r="S294">
            <v>20.7</v>
          </cell>
          <cell r="T294">
            <v>24.2</v>
          </cell>
          <cell r="U294">
            <v>1</v>
          </cell>
        </row>
        <row r="295">
          <cell r="B295" t="str">
            <v>Male</v>
          </cell>
          <cell r="F295">
            <v>12</v>
          </cell>
          <cell r="G295">
            <v>28.1</v>
          </cell>
          <cell r="H295">
            <v>7.2</v>
          </cell>
          <cell r="I295">
            <v>80</v>
          </cell>
          <cell r="J295">
            <v>6</v>
          </cell>
          <cell r="K295">
            <v>10</v>
          </cell>
          <cell r="L295">
            <v>142.44999999999999</v>
          </cell>
          <cell r="M295">
            <v>34</v>
          </cell>
          <cell r="O295">
            <v>1.6</v>
          </cell>
          <cell r="P295">
            <v>21.3</v>
          </cell>
          <cell r="S295">
            <v>16.399999999999999</v>
          </cell>
          <cell r="T295">
            <v>14.6</v>
          </cell>
          <cell r="U295">
            <v>1</v>
          </cell>
        </row>
        <row r="296">
          <cell r="B296" t="str">
            <v>Female</v>
          </cell>
          <cell r="F296">
            <v>22</v>
          </cell>
          <cell r="G296">
            <v>29.8</v>
          </cell>
          <cell r="H296">
            <v>6.2</v>
          </cell>
          <cell r="I296">
            <v>39.1</v>
          </cell>
          <cell r="J296">
            <v>1</v>
          </cell>
          <cell r="K296">
            <v>9</v>
          </cell>
          <cell r="L296">
            <v>140.82</v>
          </cell>
          <cell r="M296">
            <v>57</v>
          </cell>
          <cell r="N296">
            <v>25.1</v>
          </cell>
          <cell r="O296">
            <v>5</v>
          </cell>
          <cell r="P296">
            <v>7.9</v>
          </cell>
          <cell r="S296">
            <v>28.5</v>
          </cell>
          <cell r="T296">
            <v>22.7</v>
          </cell>
        </row>
        <row r="297">
          <cell r="B297" t="str">
            <v>Male</v>
          </cell>
          <cell r="F297">
            <v>13</v>
          </cell>
          <cell r="G297">
            <v>19.100000000000001</v>
          </cell>
          <cell r="H297">
            <v>9.6999999999999993</v>
          </cell>
          <cell r="I297">
            <v>38.9</v>
          </cell>
          <cell r="K297">
            <v>13</v>
          </cell>
          <cell r="L297">
            <v>207.19</v>
          </cell>
          <cell r="M297">
            <v>12</v>
          </cell>
          <cell r="N297">
            <v>77.52</v>
          </cell>
          <cell r="O297">
            <v>2.1</v>
          </cell>
          <cell r="P297">
            <v>25.9</v>
          </cell>
          <cell r="S297">
            <v>49.5</v>
          </cell>
          <cell r="T297">
            <v>18.3</v>
          </cell>
          <cell r="U297">
            <v>2</v>
          </cell>
        </row>
        <row r="298">
          <cell r="B298" t="str">
            <v>Male</v>
          </cell>
          <cell r="F298">
            <v>8</v>
          </cell>
          <cell r="G298">
            <v>30.6</v>
          </cell>
          <cell r="H298">
            <v>9.6999999999999993</v>
          </cell>
          <cell r="I298">
            <v>61.1</v>
          </cell>
          <cell r="J298">
            <v>6</v>
          </cell>
          <cell r="K298">
            <v>14</v>
          </cell>
          <cell r="L298">
            <v>62.57</v>
          </cell>
          <cell r="M298">
            <v>12</v>
          </cell>
          <cell r="N298">
            <v>49.3</v>
          </cell>
          <cell r="O298">
            <v>3</v>
          </cell>
          <cell r="P298">
            <v>20.399999999999999</v>
          </cell>
          <cell r="S298">
            <v>37.5</v>
          </cell>
          <cell r="U298">
            <v>4</v>
          </cell>
        </row>
        <row r="299">
          <cell r="B299" t="str">
            <v>Female</v>
          </cell>
          <cell r="F299">
            <v>19</v>
          </cell>
          <cell r="G299">
            <v>40.1</v>
          </cell>
          <cell r="H299">
            <v>13.2</v>
          </cell>
          <cell r="I299">
            <v>38.1</v>
          </cell>
          <cell r="J299">
            <v>4</v>
          </cell>
          <cell r="K299">
            <v>13</v>
          </cell>
          <cell r="L299">
            <v>65.52</v>
          </cell>
          <cell r="M299">
            <v>16</v>
          </cell>
          <cell r="N299">
            <v>30.7</v>
          </cell>
          <cell r="O299">
            <v>4.9000000000000004</v>
          </cell>
          <cell r="P299">
            <v>24.9</v>
          </cell>
          <cell r="S299">
            <v>20.2</v>
          </cell>
          <cell r="T299">
            <v>22.1</v>
          </cell>
          <cell r="U299">
            <v>1</v>
          </cell>
        </row>
        <row r="300">
          <cell r="B300" t="str">
            <v>Male</v>
          </cell>
          <cell r="F300">
            <v>17</v>
          </cell>
          <cell r="G300">
            <v>29.2</v>
          </cell>
          <cell r="H300">
            <v>8.1999999999999993</v>
          </cell>
          <cell r="I300">
            <v>50.1</v>
          </cell>
          <cell r="J300">
            <v>5</v>
          </cell>
          <cell r="K300">
            <v>10</v>
          </cell>
          <cell r="L300">
            <v>88.08</v>
          </cell>
          <cell r="M300">
            <v>144</v>
          </cell>
          <cell r="N300">
            <v>14.5</v>
          </cell>
          <cell r="O300">
            <v>17.899999999999999</v>
          </cell>
          <cell r="P300">
            <v>18.7</v>
          </cell>
          <cell r="S300">
            <v>60.2</v>
          </cell>
          <cell r="T300">
            <v>15.1</v>
          </cell>
          <cell r="U300">
            <v>3</v>
          </cell>
        </row>
        <row r="301">
          <cell r="B301" t="str">
            <v>Female</v>
          </cell>
          <cell r="F301">
            <v>12</v>
          </cell>
          <cell r="G301">
            <v>22.6</v>
          </cell>
          <cell r="H301">
            <v>8.4</v>
          </cell>
          <cell r="I301">
            <v>54.1</v>
          </cell>
          <cell r="J301">
            <v>3</v>
          </cell>
          <cell r="K301">
            <v>10</v>
          </cell>
          <cell r="L301">
            <v>148.74</v>
          </cell>
          <cell r="M301">
            <v>19</v>
          </cell>
          <cell r="N301">
            <v>42.1</v>
          </cell>
          <cell r="O301">
            <v>8.3000000000000007</v>
          </cell>
          <cell r="P301">
            <v>12.7</v>
          </cell>
          <cell r="S301">
            <v>29.9</v>
          </cell>
          <cell r="T301">
            <v>17.8</v>
          </cell>
          <cell r="U301">
            <v>3</v>
          </cell>
        </row>
        <row r="302">
          <cell r="B302" t="str">
            <v>Male</v>
          </cell>
          <cell r="F302">
            <v>16</v>
          </cell>
          <cell r="G302">
            <v>27.8</v>
          </cell>
          <cell r="H302">
            <v>11.3</v>
          </cell>
          <cell r="I302">
            <v>41.4</v>
          </cell>
          <cell r="J302">
            <v>7</v>
          </cell>
          <cell r="K302">
            <v>14</v>
          </cell>
          <cell r="L302">
            <v>290.14999999999998</v>
          </cell>
          <cell r="M302">
            <v>160</v>
          </cell>
          <cell r="N302">
            <v>38.200000000000003</v>
          </cell>
          <cell r="O302">
            <v>2.7</v>
          </cell>
          <cell r="P302">
            <v>35.1</v>
          </cell>
          <cell r="S302">
            <v>50.5</v>
          </cell>
          <cell r="T302">
            <v>20.399999999999999</v>
          </cell>
          <cell r="U302">
            <v>4</v>
          </cell>
        </row>
        <row r="303">
          <cell r="B303" t="str">
            <v>Male</v>
          </cell>
          <cell r="F303">
            <v>10</v>
          </cell>
          <cell r="G303">
            <v>27.2</v>
          </cell>
          <cell r="H303">
            <v>10.5</v>
          </cell>
          <cell r="I303">
            <v>65</v>
          </cell>
          <cell r="J303">
            <v>3</v>
          </cell>
          <cell r="K303">
            <v>18</v>
          </cell>
          <cell r="L303">
            <v>125.28</v>
          </cell>
          <cell r="M303">
            <v>23</v>
          </cell>
          <cell r="N303">
            <v>29.9</v>
          </cell>
          <cell r="O303">
            <v>15.4</v>
          </cell>
          <cell r="P303">
            <v>18.3</v>
          </cell>
          <cell r="T303">
            <v>11.6</v>
          </cell>
          <cell r="U303">
            <v>4</v>
          </cell>
        </row>
        <row r="304">
          <cell r="B304" t="str">
            <v>Female</v>
          </cell>
          <cell r="F304">
            <v>12</v>
          </cell>
          <cell r="G304">
            <v>20.5</v>
          </cell>
          <cell r="H304">
            <v>7.7</v>
          </cell>
          <cell r="I304">
            <v>40.200000000000003</v>
          </cell>
          <cell r="J304">
            <v>1</v>
          </cell>
          <cell r="K304">
            <v>8</v>
          </cell>
          <cell r="L304">
            <v>80.19</v>
          </cell>
          <cell r="M304">
            <v>26</v>
          </cell>
          <cell r="N304">
            <v>9.3000000000000007</v>
          </cell>
          <cell r="O304">
            <v>22.8</v>
          </cell>
          <cell r="P304">
            <v>20.3</v>
          </cell>
          <cell r="S304">
            <v>25.1</v>
          </cell>
          <cell r="T304">
            <v>19.2</v>
          </cell>
          <cell r="U304">
            <v>3</v>
          </cell>
        </row>
        <row r="305">
          <cell r="B305" t="str">
            <v>Female</v>
          </cell>
          <cell r="F305">
            <v>7</v>
          </cell>
          <cell r="G305">
            <v>21.5</v>
          </cell>
          <cell r="H305">
            <v>5.2</v>
          </cell>
          <cell r="I305">
            <v>47.2</v>
          </cell>
          <cell r="J305">
            <v>1</v>
          </cell>
          <cell r="K305">
            <v>5</v>
          </cell>
          <cell r="L305">
            <v>87.54</v>
          </cell>
          <cell r="M305">
            <v>17</v>
          </cell>
          <cell r="N305">
            <v>51.5</v>
          </cell>
          <cell r="O305">
            <v>5.4</v>
          </cell>
          <cell r="P305">
            <v>13.7</v>
          </cell>
          <cell r="S305">
            <v>0</v>
          </cell>
          <cell r="T305">
            <v>14.5</v>
          </cell>
          <cell r="U305">
            <v>2</v>
          </cell>
        </row>
        <row r="306">
          <cell r="B306" t="str">
            <v>Female</v>
          </cell>
          <cell r="F306">
            <v>17</v>
          </cell>
          <cell r="G306">
            <v>30.7</v>
          </cell>
          <cell r="H306">
            <v>7.3</v>
          </cell>
          <cell r="I306">
            <v>48.8</v>
          </cell>
          <cell r="K306">
            <v>14</v>
          </cell>
          <cell r="L306">
            <v>119.9</v>
          </cell>
          <cell r="M306">
            <v>3</v>
          </cell>
          <cell r="N306">
            <v>23</v>
          </cell>
          <cell r="O306">
            <v>5.9</v>
          </cell>
          <cell r="P306">
            <v>35.299999999999997</v>
          </cell>
          <cell r="S306">
            <v>57.8</v>
          </cell>
          <cell r="T306">
            <v>27</v>
          </cell>
          <cell r="U306">
            <v>2</v>
          </cell>
        </row>
        <row r="307">
          <cell r="B307" t="str">
            <v>Male</v>
          </cell>
          <cell r="F307">
            <v>18</v>
          </cell>
          <cell r="G307">
            <v>41.9</v>
          </cell>
          <cell r="H307">
            <v>11.7</v>
          </cell>
          <cell r="I307">
            <v>46.5</v>
          </cell>
          <cell r="J307">
            <v>3</v>
          </cell>
          <cell r="K307">
            <v>15</v>
          </cell>
          <cell r="L307">
            <v>105.9</v>
          </cell>
          <cell r="M307">
            <v>3</v>
          </cell>
          <cell r="N307">
            <v>11.5</v>
          </cell>
          <cell r="O307">
            <v>12.7</v>
          </cell>
          <cell r="P307">
            <v>35</v>
          </cell>
          <cell r="S307">
            <v>32.5</v>
          </cell>
          <cell r="T307">
            <v>26.7</v>
          </cell>
          <cell r="U307">
            <v>2</v>
          </cell>
        </row>
        <row r="308">
          <cell r="B308" t="str">
            <v>Male</v>
          </cell>
          <cell r="F308">
            <v>7</v>
          </cell>
          <cell r="G308">
            <v>8.6999999999999993</v>
          </cell>
          <cell r="H308">
            <v>3.4</v>
          </cell>
          <cell r="I308">
            <v>66.2</v>
          </cell>
          <cell r="K308">
            <v>3</v>
          </cell>
          <cell r="L308">
            <v>103.19</v>
          </cell>
          <cell r="M308">
            <v>34</v>
          </cell>
          <cell r="N308">
            <v>47</v>
          </cell>
          <cell r="O308">
            <v>4.3</v>
          </cell>
          <cell r="P308">
            <v>9.1999999999999993</v>
          </cell>
          <cell r="S308">
            <v>16</v>
          </cell>
          <cell r="T308">
            <v>15.5</v>
          </cell>
          <cell r="U308">
            <v>2</v>
          </cell>
        </row>
        <row r="309">
          <cell r="B309" t="str">
            <v>Male</v>
          </cell>
          <cell r="F309">
            <v>8</v>
          </cell>
          <cell r="G309">
            <v>22.7</v>
          </cell>
          <cell r="H309">
            <v>7.7</v>
          </cell>
          <cell r="I309">
            <v>60.5</v>
          </cell>
          <cell r="J309">
            <v>2</v>
          </cell>
          <cell r="K309">
            <v>11</v>
          </cell>
          <cell r="L309">
            <v>147.4</v>
          </cell>
          <cell r="M309">
            <v>5</v>
          </cell>
          <cell r="N309">
            <v>46.3</v>
          </cell>
          <cell r="O309">
            <v>4.4000000000000004</v>
          </cell>
          <cell r="P309">
            <v>26.6</v>
          </cell>
          <cell r="S309">
            <v>0.7</v>
          </cell>
          <cell r="T309">
            <v>18.8</v>
          </cell>
          <cell r="U309">
            <v>3</v>
          </cell>
        </row>
        <row r="310">
          <cell r="B310" t="str">
            <v>Female</v>
          </cell>
          <cell r="F310">
            <v>4</v>
          </cell>
          <cell r="G310">
            <v>29.7</v>
          </cell>
          <cell r="H310">
            <v>7.7</v>
          </cell>
          <cell r="I310">
            <v>93.5</v>
          </cell>
          <cell r="J310">
            <v>4</v>
          </cell>
          <cell r="K310" t="str">
            <v>7.800000000000001</v>
          </cell>
          <cell r="L310">
            <v>56.33</v>
          </cell>
          <cell r="M310">
            <v>56</v>
          </cell>
          <cell r="N310" t="str">
            <v>94.55999999999999</v>
          </cell>
          <cell r="P310">
            <v>0</v>
          </cell>
          <cell r="T310">
            <v>10.9</v>
          </cell>
          <cell r="U310">
            <v>1</v>
          </cell>
        </row>
        <row r="311">
          <cell r="B311" t="str">
            <v>Female</v>
          </cell>
          <cell r="F311">
            <v>21</v>
          </cell>
          <cell r="G311">
            <v>36.6</v>
          </cell>
          <cell r="H311">
            <v>14.5</v>
          </cell>
          <cell r="I311">
            <v>42.8</v>
          </cell>
          <cell r="J311">
            <v>8</v>
          </cell>
          <cell r="K311">
            <v>17</v>
          </cell>
          <cell r="L311">
            <v>131.24</v>
          </cell>
          <cell r="M311">
            <v>39</v>
          </cell>
          <cell r="N311">
            <v>21.7</v>
          </cell>
          <cell r="O311">
            <v>5.0999999999999996</v>
          </cell>
          <cell r="P311">
            <v>39.9</v>
          </cell>
          <cell r="S311">
            <v>48.6</v>
          </cell>
          <cell r="T311">
            <v>29.2</v>
          </cell>
          <cell r="U311">
            <v>2</v>
          </cell>
        </row>
        <row r="312">
          <cell r="B312" t="str">
            <v>Male</v>
          </cell>
          <cell r="F312">
            <v>5</v>
          </cell>
          <cell r="G312">
            <v>18.3</v>
          </cell>
          <cell r="H312">
            <v>7</v>
          </cell>
          <cell r="I312">
            <v>87</v>
          </cell>
          <cell r="J312">
            <v>3</v>
          </cell>
          <cell r="K312">
            <v>3</v>
          </cell>
          <cell r="L312">
            <v>113.51</v>
          </cell>
          <cell r="M312">
            <v>74</v>
          </cell>
          <cell r="N312">
            <v>24.5</v>
          </cell>
          <cell r="O312">
            <v>2.7</v>
          </cell>
          <cell r="P312">
            <v>12.9</v>
          </cell>
          <cell r="S312">
            <v>1.4</v>
          </cell>
          <cell r="U312">
            <v>1</v>
          </cell>
        </row>
        <row r="313">
          <cell r="B313" t="str">
            <v>Female</v>
          </cell>
          <cell r="F313">
            <v>17</v>
          </cell>
          <cell r="G313">
            <v>27.4</v>
          </cell>
          <cell r="H313">
            <v>9.5</v>
          </cell>
          <cell r="I313">
            <v>54.4</v>
          </cell>
          <cell r="J313">
            <v>4</v>
          </cell>
          <cell r="K313">
            <v>12</v>
          </cell>
          <cell r="L313">
            <v>71.55</v>
          </cell>
          <cell r="M313">
            <v>26</v>
          </cell>
          <cell r="N313">
            <v>12.3</v>
          </cell>
          <cell r="O313">
            <v>15.8</v>
          </cell>
          <cell r="P313">
            <v>17.399999999999999</v>
          </cell>
          <cell r="S313">
            <v>34.9</v>
          </cell>
          <cell r="T313">
            <v>20.7</v>
          </cell>
          <cell r="U313">
            <v>3</v>
          </cell>
        </row>
        <row r="314">
          <cell r="B314" t="str">
            <v>Female</v>
          </cell>
          <cell r="F314">
            <v>19</v>
          </cell>
          <cell r="G314">
            <v>40.700000000000003</v>
          </cell>
          <cell r="I314">
            <v>41.9</v>
          </cell>
          <cell r="J314">
            <v>5</v>
          </cell>
          <cell r="K314">
            <v>12</v>
          </cell>
          <cell r="L314">
            <v>75.930000000000007</v>
          </cell>
          <cell r="M314">
            <v>21</v>
          </cell>
          <cell r="N314">
            <v>44.6</v>
          </cell>
          <cell r="O314">
            <v>18.100000000000001</v>
          </cell>
          <cell r="P314">
            <v>20.2</v>
          </cell>
          <cell r="S314">
            <v>36</v>
          </cell>
          <cell r="U314">
            <v>2</v>
          </cell>
        </row>
        <row r="315">
          <cell r="B315" t="str">
            <v>Female</v>
          </cell>
          <cell r="F315">
            <v>6</v>
          </cell>
          <cell r="G315">
            <v>11.1</v>
          </cell>
          <cell r="H315">
            <v>6.2</v>
          </cell>
          <cell r="I315">
            <v>69.599999999999994</v>
          </cell>
          <cell r="J315">
            <v>0</v>
          </cell>
          <cell r="K315">
            <v>6</v>
          </cell>
          <cell r="L315">
            <v>179.4</v>
          </cell>
          <cell r="M315">
            <v>1</v>
          </cell>
          <cell r="N315">
            <v>12.4</v>
          </cell>
          <cell r="P315">
            <v>25</v>
          </cell>
          <cell r="S315">
            <v>26.7</v>
          </cell>
          <cell r="T315">
            <v>20.399999999999999</v>
          </cell>
          <cell r="U315">
            <v>2</v>
          </cell>
        </row>
        <row r="316">
          <cell r="B316" t="str">
            <v>Male</v>
          </cell>
          <cell r="F316">
            <v>9</v>
          </cell>
          <cell r="G316">
            <v>30.2</v>
          </cell>
          <cell r="H316">
            <v>9.6999999999999993</v>
          </cell>
          <cell r="I316">
            <v>54.3</v>
          </cell>
          <cell r="J316">
            <v>9</v>
          </cell>
          <cell r="K316">
            <v>18</v>
          </cell>
          <cell r="L316">
            <v>49.38</v>
          </cell>
          <cell r="M316">
            <v>12</v>
          </cell>
          <cell r="N316">
            <v>44.8</v>
          </cell>
          <cell r="O316">
            <v>4.2</v>
          </cell>
          <cell r="P316">
            <v>22.4</v>
          </cell>
          <cell r="T316">
            <v>24.8</v>
          </cell>
          <cell r="U316">
            <v>2</v>
          </cell>
        </row>
        <row r="317">
          <cell r="B317" t="str">
            <v>Female</v>
          </cell>
          <cell r="F317">
            <v>16</v>
          </cell>
          <cell r="G317">
            <v>26.1</v>
          </cell>
          <cell r="H317">
            <v>9.4</v>
          </cell>
          <cell r="I317">
            <v>47.5</v>
          </cell>
          <cell r="J317">
            <v>5</v>
          </cell>
          <cell r="K317">
            <v>13</v>
          </cell>
          <cell r="L317">
            <v>76</v>
          </cell>
          <cell r="M317">
            <v>4</v>
          </cell>
          <cell r="N317">
            <v>67.08</v>
          </cell>
          <cell r="O317">
            <v>2.4</v>
          </cell>
          <cell r="P317">
            <v>26</v>
          </cell>
          <cell r="S317">
            <v>0</v>
          </cell>
          <cell r="T317">
            <v>18.600000000000001</v>
          </cell>
          <cell r="U317">
            <v>1</v>
          </cell>
        </row>
        <row r="318">
          <cell r="B318" t="str">
            <v>Male</v>
          </cell>
          <cell r="F318">
            <v>14</v>
          </cell>
          <cell r="G318">
            <v>27.1</v>
          </cell>
          <cell r="H318">
            <v>8.8000000000000007</v>
          </cell>
          <cell r="I318">
            <v>53.6</v>
          </cell>
          <cell r="K318">
            <v>17</v>
          </cell>
          <cell r="L318">
            <v>69.239999999999995</v>
          </cell>
          <cell r="M318">
            <v>0</v>
          </cell>
          <cell r="N318">
            <v>44.5</v>
          </cell>
          <cell r="O318">
            <v>7.2</v>
          </cell>
          <cell r="P318">
            <v>45</v>
          </cell>
          <cell r="S318">
            <v>47.6</v>
          </cell>
          <cell r="T318">
            <v>19</v>
          </cell>
          <cell r="U318">
            <v>1</v>
          </cell>
        </row>
        <row r="319">
          <cell r="B319" t="str">
            <v>Other</v>
          </cell>
          <cell r="F319">
            <v>19</v>
          </cell>
          <cell r="H319">
            <v>8.9</v>
          </cell>
          <cell r="I319">
            <v>62.2</v>
          </cell>
          <cell r="J319">
            <v>7</v>
          </cell>
          <cell r="K319">
            <v>12</v>
          </cell>
          <cell r="L319">
            <v>102.62</v>
          </cell>
          <cell r="M319">
            <v>24</v>
          </cell>
          <cell r="N319">
            <v>13.8</v>
          </cell>
          <cell r="O319">
            <v>5.0999999999999996</v>
          </cell>
          <cell r="P319">
            <v>23.9</v>
          </cell>
          <cell r="S319">
            <v>37.6</v>
          </cell>
          <cell r="T319">
            <v>25.7</v>
          </cell>
          <cell r="U319">
            <v>1</v>
          </cell>
        </row>
        <row r="320">
          <cell r="B320" t="str">
            <v>Male</v>
          </cell>
          <cell r="F320">
            <v>22</v>
          </cell>
          <cell r="G320">
            <v>35.9</v>
          </cell>
          <cell r="H320">
            <v>13.1</v>
          </cell>
          <cell r="I320">
            <v>28</v>
          </cell>
          <cell r="J320">
            <v>8</v>
          </cell>
          <cell r="K320">
            <v>20</v>
          </cell>
          <cell r="L320">
            <v>80.58</v>
          </cell>
          <cell r="M320">
            <v>16</v>
          </cell>
          <cell r="N320">
            <v>10.5</v>
          </cell>
          <cell r="O320">
            <v>9.1</v>
          </cell>
          <cell r="P320">
            <v>38.9</v>
          </cell>
          <cell r="S320">
            <v>45.9</v>
          </cell>
          <cell r="T320">
            <v>30.2</v>
          </cell>
          <cell r="U320">
            <v>3</v>
          </cell>
        </row>
        <row r="321">
          <cell r="B321" t="str">
            <v>Female</v>
          </cell>
          <cell r="F321">
            <v>8</v>
          </cell>
          <cell r="G321">
            <v>31.3</v>
          </cell>
          <cell r="I321">
            <v>54</v>
          </cell>
          <cell r="J321">
            <v>4</v>
          </cell>
          <cell r="K321">
            <v>9</v>
          </cell>
          <cell r="L321">
            <v>96.24</v>
          </cell>
          <cell r="M321">
            <v>11</v>
          </cell>
          <cell r="N321">
            <v>36.4</v>
          </cell>
          <cell r="O321">
            <v>3.1</v>
          </cell>
          <cell r="P321">
            <v>15.6</v>
          </cell>
          <cell r="S321">
            <v>17.600000000000001</v>
          </cell>
          <cell r="T321">
            <v>6.5</v>
          </cell>
          <cell r="U321">
            <v>4</v>
          </cell>
        </row>
        <row r="322">
          <cell r="B322" t="str">
            <v>Female</v>
          </cell>
          <cell r="F322">
            <v>1</v>
          </cell>
          <cell r="H322">
            <v>3.4</v>
          </cell>
          <cell r="I322">
            <v>75.900000000000006</v>
          </cell>
          <cell r="J322">
            <v>0</v>
          </cell>
          <cell r="K322">
            <v>7</v>
          </cell>
          <cell r="L322">
            <v>123.04</v>
          </cell>
          <cell r="M322">
            <v>7</v>
          </cell>
          <cell r="N322">
            <v>34.1</v>
          </cell>
          <cell r="O322">
            <v>9.5</v>
          </cell>
          <cell r="P322">
            <v>2.2000000000000002</v>
          </cell>
          <cell r="S322">
            <v>23.2</v>
          </cell>
          <cell r="T322">
            <v>2.7</v>
          </cell>
          <cell r="U322">
            <v>1</v>
          </cell>
        </row>
        <row r="323">
          <cell r="B323" t="str">
            <v>Male</v>
          </cell>
          <cell r="F323">
            <v>5</v>
          </cell>
          <cell r="G323">
            <v>9.5</v>
          </cell>
          <cell r="H323">
            <v>3.9</v>
          </cell>
          <cell r="I323">
            <v>92.2</v>
          </cell>
          <cell r="J323">
            <v>0</v>
          </cell>
          <cell r="K323">
            <v>5</v>
          </cell>
          <cell r="L323">
            <v>108.03</v>
          </cell>
          <cell r="M323">
            <v>21</v>
          </cell>
          <cell r="N323">
            <v>25.7</v>
          </cell>
          <cell r="O323">
            <v>9.9</v>
          </cell>
          <cell r="P323">
            <v>8.1</v>
          </cell>
          <cell r="S323">
            <v>29.6</v>
          </cell>
          <cell r="T323">
            <v>12.2</v>
          </cell>
          <cell r="U323">
            <v>2</v>
          </cell>
        </row>
        <row r="324">
          <cell r="B324" t="str">
            <v>Female</v>
          </cell>
          <cell r="F324">
            <v>0</v>
          </cell>
          <cell r="G324">
            <v>8.4</v>
          </cell>
          <cell r="H324">
            <v>4.8</v>
          </cell>
          <cell r="I324">
            <v>79.400000000000006</v>
          </cell>
          <cell r="J324">
            <v>0</v>
          </cell>
          <cell r="K324">
            <v>5.2</v>
          </cell>
          <cell r="L324">
            <v>142.03</v>
          </cell>
          <cell r="M324">
            <v>23</v>
          </cell>
          <cell r="N324" t="str">
            <v>23.639999999999997</v>
          </cell>
          <cell r="O324">
            <v>8.1</v>
          </cell>
          <cell r="P324">
            <v>2.8</v>
          </cell>
          <cell r="T324">
            <v>5.4</v>
          </cell>
          <cell r="U324">
            <v>4</v>
          </cell>
        </row>
        <row r="325">
          <cell r="B325" t="str">
            <v>Female</v>
          </cell>
          <cell r="F325">
            <v>17</v>
          </cell>
          <cell r="G325">
            <v>46.7</v>
          </cell>
          <cell r="H325">
            <v>10.9</v>
          </cell>
          <cell r="I325">
            <v>51.8</v>
          </cell>
          <cell r="J325">
            <v>14</v>
          </cell>
          <cell r="K325">
            <v>19</v>
          </cell>
          <cell r="L325">
            <v>149.74</v>
          </cell>
          <cell r="N325">
            <v>51.3</v>
          </cell>
          <cell r="O325">
            <v>4.0999999999999996</v>
          </cell>
          <cell r="P325">
            <v>40.299999999999997</v>
          </cell>
          <cell r="S325">
            <v>18.8</v>
          </cell>
          <cell r="U325">
            <v>2</v>
          </cell>
        </row>
        <row r="326">
          <cell r="B326" t="str">
            <v>Male</v>
          </cell>
          <cell r="F326">
            <v>3</v>
          </cell>
          <cell r="H326">
            <v>5.2</v>
          </cell>
          <cell r="I326">
            <v>72.599999999999994</v>
          </cell>
          <cell r="J326">
            <v>0</v>
          </cell>
          <cell r="K326">
            <v>5</v>
          </cell>
          <cell r="L326">
            <v>79.02</v>
          </cell>
          <cell r="M326">
            <v>2</v>
          </cell>
          <cell r="N326">
            <v>62.3</v>
          </cell>
          <cell r="O326">
            <v>4</v>
          </cell>
          <cell r="P326">
            <v>20.9</v>
          </cell>
          <cell r="S326">
            <v>7.7</v>
          </cell>
          <cell r="T326">
            <v>11.3</v>
          </cell>
          <cell r="U326">
            <v>2</v>
          </cell>
        </row>
        <row r="327">
          <cell r="B327" t="str">
            <v>Male</v>
          </cell>
          <cell r="F327">
            <v>14</v>
          </cell>
          <cell r="G327">
            <v>29.3</v>
          </cell>
          <cell r="I327">
            <v>64.599999999999994</v>
          </cell>
          <cell r="J327">
            <v>4</v>
          </cell>
          <cell r="K327">
            <v>9</v>
          </cell>
          <cell r="L327">
            <v>87.56</v>
          </cell>
          <cell r="M327">
            <v>13</v>
          </cell>
          <cell r="N327">
            <v>15</v>
          </cell>
          <cell r="O327">
            <v>0.9</v>
          </cell>
          <cell r="P327">
            <v>20</v>
          </cell>
          <cell r="S327">
            <v>29.1</v>
          </cell>
          <cell r="T327">
            <v>11.1</v>
          </cell>
          <cell r="U327">
            <v>2</v>
          </cell>
        </row>
        <row r="328">
          <cell r="B328" t="str">
            <v>Female</v>
          </cell>
          <cell r="F328">
            <v>0</v>
          </cell>
          <cell r="G328">
            <v>22</v>
          </cell>
          <cell r="H328">
            <v>3.8</v>
          </cell>
          <cell r="I328">
            <v>56.6</v>
          </cell>
          <cell r="J328">
            <v>1</v>
          </cell>
          <cell r="K328">
            <v>10.4</v>
          </cell>
          <cell r="L328">
            <v>91.59</v>
          </cell>
          <cell r="M328">
            <v>108</v>
          </cell>
          <cell r="N328">
            <v>69.12</v>
          </cell>
          <cell r="O328">
            <v>6.2</v>
          </cell>
          <cell r="P328">
            <v>2.4</v>
          </cell>
          <cell r="S328">
            <v>17.7</v>
          </cell>
          <cell r="T328">
            <v>19.100000000000001</v>
          </cell>
          <cell r="U328">
            <v>1</v>
          </cell>
        </row>
        <row r="329">
          <cell r="B329" t="str">
            <v>Male</v>
          </cell>
          <cell r="F329">
            <v>18</v>
          </cell>
          <cell r="G329">
            <v>47.8</v>
          </cell>
          <cell r="H329">
            <v>17.5</v>
          </cell>
          <cell r="I329">
            <v>47.7</v>
          </cell>
          <cell r="J329">
            <v>9</v>
          </cell>
          <cell r="K329">
            <v>32</v>
          </cell>
          <cell r="L329">
            <v>86.15</v>
          </cell>
          <cell r="M329">
            <v>31</v>
          </cell>
          <cell r="N329">
            <v>4.9000000000000004</v>
          </cell>
          <cell r="O329">
            <v>9.1999999999999993</v>
          </cell>
          <cell r="P329">
            <v>52.3</v>
          </cell>
          <cell r="T329">
            <v>40.1</v>
          </cell>
          <cell r="U329">
            <v>3</v>
          </cell>
        </row>
        <row r="330">
          <cell r="B330" t="str">
            <v>Female</v>
          </cell>
          <cell r="F330">
            <v>17</v>
          </cell>
          <cell r="G330">
            <v>44.9</v>
          </cell>
          <cell r="H330">
            <v>9.6</v>
          </cell>
          <cell r="I330">
            <v>31.5</v>
          </cell>
          <cell r="J330">
            <v>9</v>
          </cell>
          <cell r="K330">
            <v>14</v>
          </cell>
          <cell r="L330">
            <v>71.349999999999994</v>
          </cell>
          <cell r="M330">
            <v>15</v>
          </cell>
          <cell r="N330">
            <v>33</v>
          </cell>
          <cell r="O330">
            <v>8</v>
          </cell>
          <cell r="P330">
            <v>33.799999999999997</v>
          </cell>
          <cell r="S330">
            <v>48.1</v>
          </cell>
          <cell r="T330">
            <v>22.6</v>
          </cell>
          <cell r="U330">
            <v>1</v>
          </cell>
        </row>
        <row r="331">
          <cell r="B331" t="str">
            <v>Female</v>
          </cell>
          <cell r="F331">
            <v>7</v>
          </cell>
          <cell r="G331">
            <v>10.199999999999999</v>
          </cell>
          <cell r="H331">
            <v>9.8000000000000007</v>
          </cell>
          <cell r="I331">
            <v>79.3</v>
          </cell>
          <cell r="K331">
            <v>10</v>
          </cell>
          <cell r="L331">
            <v>61.49</v>
          </cell>
          <cell r="M331">
            <v>12</v>
          </cell>
          <cell r="N331">
            <v>40.799999999999997</v>
          </cell>
          <cell r="O331">
            <v>3.1</v>
          </cell>
          <cell r="P331">
            <v>2.2999999999999998</v>
          </cell>
          <cell r="S331">
            <v>23</v>
          </cell>
          <cell r="U331">
            <v>1</v>
          </cell>
        </row>
        <row r="332">
          <cell r="B332" t="str">
            <v>Male</v>
          </cell>
          <cell r="F332">
            <v>12</v>
          </cell>
          <cell r="G332">
            <v>15.8</v>
          </cell>
          <cell r="H332">
            <v>5.5</v>
          </cell>
          <cell r="I332">
            <v>64.7</v>
          </cell>
          <cell r="J332">
            <v>2</v>
          </cell>
          <cell r="K332">
            <v>12</v>
          </cell>
          <cell r="L332">
            <v>92.01</v>
          </cell>
          <cell r="M332">
            <v>12</v>
          </cell>
          <cell r="N332">
            <v>59.9</v>
          </cell>
          <cell r="P332">
            <v>12</v>
          </cell>
          <cell r="S332">
            <v>0</v>
          </cell>
          <cell r="U332">
            <v>1</v>
          </cell>
        </row>
        <row r="333">
          <cell r="B333" t="str">
            <v>Female</v>
          </cell>
          <cell r="F333">
            <v>1</v>
          </cell>
          <cell r="G333">
            <v>15</v>
          </cell>
          <cell r="H333">
            <v>6.6</v>
          </cell>
          <cell r="I333">
            <v>66.400000000000006</v>
          </cell>
          <cell r="J333">
            <v>1</v>
          </cell>
          <cell r="K333">
            <v>8</v>
          </cell>
          <cell r="L333">
            <v>111.61</v>
          </cell>
          <cell r="M333">
            <v>24</v>
          </cell>
          <cell r="N333">
            <v>72.7</v>
          </cell>
          <cell r="O333">
            <v>2.4</v>
          </cell>
          <cell r="P333">
            <v>2.6</v>
          </cell>
          <cell r="S333">
            <v>0</v>
          </cell>
          <cell r="T333">
            <v>16.7</v>
          </cell>
          <cell r="U333">
            <v>1</v>
          </cell>
        </row>
        <row r="334">
          <cell r="B334" t="str">
            <v>Female</v>
          </cell>
          <cell r="F334">
            <v>0</v>
          </cell>
          <cell r="I334">
            <v>74.5</v>
          </cell>
          <cell r="J334">
            <v>4</v>
          </cell>
          <cell r="K334">
            <v>6</v>
          </cell>
          <cell r="L334">
            <v>68.83</v>
          </cell>
          <cell r="M334">
            <v>3</v>
          </cell>
          <cell r="O334">
            <v>2.2000000000000002</v>
          </cell>
          <cell r="P334">
            <v>16.2</v>
          </cell>
          <cell r="U334">
            <v>3</v>
          </cell>
        </row>
        <row r="335">
          <cell r="B335" t="str">
            <v>Female</v>
          </cell>
          <cell r="F335">
            <v>10</v>
          </cell>
          <cell r="G335">
            <v>19.2</v>
          </cell>
          <cell r="H335">
            <v>6.5</v>
          </cell>
          <cell r="I335">
            <v>64.8</v>
          </cell>
          <cell r="J335">
            <v>7</v>
          </cell>
          <cell r="K335">
            <v>19</v>
          </cell>
          <cell r="L335">
            <v>116.32</v>
          </cell>
          <cell r="N335">
            <v>32.5</v>
          </cell>
          <cell r="O335">
            <v>6.6</v>
          </cell>
          <cell r="P335">
            <v>11.1</v>
          </cell>
          <cell r="S335">
            <v>52.2</v>
          </cell>
          <cell r="T335">
            <v>16.7</v>
          </cell>
          <cell r="U335">
            <v>5</v>
          </cell>
        </row>
        <row r="336">
          <cell r="B336" t="str">
            <v>Female</v>
          </cell>
          <cell r="F336">
            <v>5</v>
          </cell>
          <cell r="G336">
            <v>19.3</v>
          </cell>
          <cell r="H336">
            <v>7.6</v>
          </cell>
          <cell r="I336">
            <v>64.5</v>
          </cell>
          <cell r="J336">
            <v>4</v>
          </cell>
          <cell r="K336">
            <v>8</v>
          </cell>
          <cell r="L336">
            <v>118.84</v>
          </cell>
          <cell r="M336">
            <v>17</v>
          </cell>
          <cell r="N336">
            <v>38.700000000000003</v>
          </cell>
          <cell r="O336">
            <v>8.8000000000000007</v>
          </cell>
          <cell r="S336">
            <v>17.8</v>
          </cell>
          <cell r="T336">
            <v>18</v>
          </cell>
          <cell r="U336">
            <v>4</v>
          </cell>
        </row>
        <row r="337">
          <cell r="B337" t="str">
            <v>Female</v>
          </cell>
          <cell r="F337">
            <v>13</v>
          </cell>
          <cell r="G337">
            <v>18.8</v>
          </cell>
          <cell r="H337">
            <v>3.2</v>
          </cell>
          <cell r="I337">
            <v>56.1</v>
          </cell>
          <cell r="J337">
            <v>1</v>
          </cell>
          <cell r="K337">
            <v>4</v>
          </cell>
          <cell r="L337">
            <v>122.03</v>
          </cell>
          <cell r="M337">
            <v>13</v>
          </cell>
          <cell r="O337">
            <v>1.6</v>
          </cell>
          <cell r="P337">
            <v>3.5</v>
          </cell>
          <cell r="T337">
            <v>9.1999999999999993</v>
          </cell>
          <cell r="U337">
            <v>3</v>
          </cell>
        </row>
        <row r="338">
          <cell r="B338" t="str">
            <v>Male</v>
          </cell>
          <cell r="F338">
            <v>4</v>
          </cell>
          <cell r="G338">
            <v>24.1</v>
          </cell>
          <cell r="H338">
            <v>5.8</v>
          </cell>
          <cell r="I338">
            <v>58.5</v>
          </cell>
          <cell r="J338">
            <v>2</v>
          </cell>
          <cell r="K338">
            <v>10.4</v>
          </cell>
          <cell r="L338">
            <v>105.08</v>
          </cell>
          <cell r="M338">
            <v>3</v>
          </cell>
          <cell r="N338">
            <v>42</v>
          </cell>
          <cell r="O338">
            <v>6.5</v>
          </cell>
          <cell r="P338">
            <v>8.3000000000000007</v>
          </cell>
          <cell r="S338">
            <v>34.200000000000003</v>
          </cell>
          <cell r="T338">
            <v>19.5</v>
          </cell>
          <cell r="U338">
            <v>3</v>
          </cell>
        </row>
        <row r="339">
          <cell r="B339" t="str">
            <v>Female</v>
          </cell>
          <cell r="F339">
            <v>32</v>
          </cell>
          <cell r="G339">
            <v>59.8</v>
          </cell>
          <cell r="H339">
            <v>18</v>
          </cell>
          <cell r="I339">
            <v>23</v>
          </cell>
          <cell r="J339">
            <v>10</v>
          </cell>
          <cell r="K339">
            <v>23</v>
          </cell>
          <cell r="L339">
            <v>160.28</v>
          </cell>
          <cell r="M339">
            <v>5</v>
          </cell>
          <cell r="N339">
            <v>83.1</v>
          </cell>
          <cell r="O339">
            <v>15.8</v>
          </cell>
          <cell r="P339">
            <v>49.4</v>
          </cell>
          <cell r="S339">
            <v>80</v>
          </cell>
          <cell r="T339">
            <v>34.299999999999997</v>
          </cell>
          <cell r="U339">
            <v>2</v>
          </cell>
        </row>
        <row r="340">
          <cell r="B340" t="str">
            <v>Female</v>
          </cell>
          <cell r="F340">
            <v>11</v>
          </cell>
          <cell r="G340">
            <v>26.8</v>
          </cell>
          <cell r="H340">
            <v>6.2</v>
          </cell>
          <cell r="I340">
            <v>59.5</v>
          </cell>
          <cell r="J340">
            <v>7</v>
          </cell>
          <cell r="K340">
            <v>10</v>
          </cell>
          <cell r="L340">
            <v>134.99</v>
          </cell>
          <cell r="M340">
            <v>6</v>
          </cell>
          <cell r="N340">
            <v>76.5</v>
          </cell>
          <cell r="O340">
            <v>2.6</v>
          </cell>
          <cell r="P340">
            <v>9.3000000000000007</v>
          </cell>
          <cell r="S340">
            <v>22.3</v>
          </cell>
          <cell r="T340">
            <v>24.7</v>
          </cell>
          <cell r="U340">
            <v>3</v>
          </cell>
        </row>
        <row r="341">
          <cell r="B341" t="str">
            <v>Female</v>
          </cell>
          <cell r="F341">
            <v>6</v>
          </cell>
          <cell r="G341">
            <v>8</v>
          </cell>
          <cell r="H341">
            <v>7.3</v>
          </cell>
          <cell r="I341">
            <v>58.6</v>
          </cell>
          <cell r="J341">
            <v>1</v>
          </cell>
          <cell r="K341">
            <v>2</v>
          </cell>
          <cell r="L341">
            <v>167.55</v>
          </cell>
          <cell r="M341">
            <v>19</v>
          </cell>
          <cell r="N341">
            <v>84.7</v>
          </cell>
          <cell r="O341">
            <v>2</v>
          </cell>
          <cell r="P341">
            <v>7.5</v>
          </cell>
          <cell r="S341">
            <v>0</v>
          </cell>
          <cell r="T341">
            <v>18.100000000000001</v>
          </cell>
          <cell r="U341">
            <v>1</v>
          </cell>
        </row>
        <row r="342">
          <cell r="B342" t="str">
            <v>Female</v>
          </cell>
          <cell r="F342">
            <v>7</v>
          </cell>
          <cell r="G342">
            <v>19.399999999999999</v>
          </cell>
          <cell r="H342">
            <v>7.1</v>
          </cell>
          <cell r="I342">
            <v>56</v>
          </cell>
          <cell r="K342">
            <v>9.1</v>
          </cell>
          <cell r="L342">
            <v>96.53</v>
          </cell>
          <cell r="M342">
            <v>14</v>
          </cell>
          <cell r="N342">
            <v>82.08</v>
          </cell>
          <cell r="O342">
            <v>3.3</v>
          </cell>
          <cell r="P342">
            <v>25.9</v>
          </cell>
          <cell r="S342">
            <v>32.1</v>
          </cell>
          <cell r="T342">
            <v>9</v>
          </cell>
          <cell r="U342">
            <v>2</v>
          </cell>
        </row>
        <row r="343">
          <cell r="B343" t="str">
            <v>Female</v>
          </cell>
          <cell r="F343">
            <v>8</v>
          </cell>
          <cell r="G343">
            <v>34.5</v>
          </cell>
          <cell r="H343">
            <v>9.1</v>
          </cell>
          <cell r="I343">
            <v>79.5</v>
          </cell>
          <cell r="K343">
            <v>14</v>
          </cell>
          <cell r="L343">
            <v>134.71</v>
          </cell>
          <cell r="M343">
            <v>21</v>
          </cell>
          <cell r="N343">
            <v>67.599999999999994</v>
          </cell>
          <cell r="O343">
            <v>14.1</v>
          </cell>
          <cell r="P343">
            <v>10.8</v>
          </cell>
          <cell r="S343">
            <v>19.7</v>
          </cell>
          <cell r="T343">
            <v>9.8000000000000007</v>
          </cell>
          <cell r="U343">
            <v>3</v>
          </cell>
        </row>
        <row r="344">
          <cell r="B344" t="str">
            <v>Male</v>
          </cell>
          <cell r="F344">
            <v>14</v>
          </cell>
          <cell r="G344">
            <v>38</v>
          </cell>
          <cell r="I344">
            <v>59.7</v>
          </cell>
          <cell r="J344">
            <v>4</v>
          </cell>
          <cell r="K344">
            <v>22.1</v>
          </cell>
          <cell r="L344">
            <v>121.19</v>
          </cell>
          <cell r="N344" t="str">
            <v>62.75999999999999</v>
          </cell>
          <cell r="O344">
            <v>13.6</v>
          </cell>
          <cell r="P344">
            <v>11.5</v>
          </cell>
          <cell r="S344">
            <v>34.299999999999997</v>
          </cell>
          <cell r="T344">
            <v>17.899999999999999</v>
          </cell>
          <cell r="U344">
            <v>3</v>
          </cell>
        </row>
        <row r="345">
          <cell r="B345" t="str">
            <v>Female</v>
          </cell>
          <cell r="F345">
            <v>20</v>
          </cell>
          <cell r="G345">
            <v>31.3</v>
          </cell>
          <cell r="H345">
            <v>14.8</v>
          </cell>
          <cell r="I345">
            <v>57.1</v>
          </cell>
          <cell r="J345">
            <v>6</v>
          </cell>
          <cell r="K345">
            <v>19.5</v>
          </cell>
          <cell r="L345">
            <v>114.49</v>
          </cell>
          <cell r="M345">
            <v>90</v>
          </cell>
          <cell r="N345">
            <v>56.64</v>
          </cell>
          <cell r="O345">
            <v>3.1</v>
          </cell>
          <cell r="P345">
            <v>15.4</v>
          </cell>
          <cell r="S345">
            <v>41.3</v>
          </cell>
          <cell r="T345">
            <v>26.6</v>
          </cell>
          <cell r="U345">
            <v>3</v>
          </cell>
        </row>
        <row r="346">
          <cell r="B346" t="str">
            <v>Male</v>
          </cell>
          <cell r="F346">
            <v>0</v>
          </cell>
          <cell r="H346">
            <v>1</v>
          </cell>
          <cell r="I346">
            <v>75.599999999999994</v>
          </cell>
          <cell r="J346">
            <v>3</v>
          </cell>
          <cell r="K346">
            <v>5</v>
          </cell>
          <cell r="L346">
            <v>81.69</v>
          </cell>
          <cell r="M346">
            <v>13</v>
          </cell>
          <cell r="N346">
            <v>14.2</v>
          </cell>
          <cell r="O346">
            <v>2.7</v>
          </cell>
          <cell r="P346">
            <v>10</v>
          </cell>
          <cell r="S346">
            <v>0</v>
          </cell>
          <cell r="T346">
            <v>7.3</v>
          </cell>
          <cell r="U346">
            <v>1</v>
          </cell>
        </row>
        <row r="347">
          <cell r="B347" t="str">
            <v>Female</v>
          </cell>
          <cell r="F347">
            <v>1</v>
          </cell>
          <cell r="G347">
            <v>24.6</v>
          </cell>
          <cell r="H347">
            <v>7.6</v>
          </cell>
          <cell r="I347">
            <v>73</v>
          </cell>
          <cell r="J347">
            <v>1</v>
          </cell>
          <cell r="K347">
            <v>5</v>
          </cell>
          <cell r="L347">
            <v>146.21</v>
          </cell>
          <cell r="M347">
            <v>55</v>
          </cell>
          <cell r="N347">
            <v>45.7</v>
          </cell>
          <cell r="O347">
            <v>12.2</v>
          </cell>
          <cell r="P347">
            <v>1.3</v>
          </cell>
          <cell r="S347">
            <v>15.8</v>
          </cell>
          <cell r="T347">
            <v>9</v>
          </cell>
          <cell r="U347">
            <v>3</v>
          </cell>
        </row>
        <row r="348">
          <cell r="B348" t="str">
            <v>Male</v>
          </cell>
          <cell r="F348">
            <v>0</v>
          </cell>
          <cell r="G348">
            <v>1.7</v>
          </cell>
          <cell r="H348">
            <v>6.6</v>
          </cell>
          <cell r="I348">
            <v>82.2</v>
          </cell>
          <cell r="J348">
            <v>0</v>
          </cell>
          <cell r="K348">
            <v>9</v>
          </cell>
          <cell r="L348">
            <v>95.58</v>
          </cell>
          <cell r="M348">
            <v>0</v>
          </cell>
          <cell r="N348">
            <v>46.3</v>
          </cell>
          <cell r="O348">
            <v>15.8</v>
          </cell>
          <cell r="T348">
            <v>7.7</v>
          </cell>
          <cell r="U348">
            <v>3</v>
          </cell>
        </row>
        <row r="349">
          <cell r="B349" t="str">
            <v>Female</v>
          </cell>
          <cell r="F349">
            <v>14</v>
          </cell>
          <cell r="G349">
            <v>40.1</v>
          </cell>
          <cell r="H349">
            <v>8.5</v>
          </cell>
          <cell r="I349">
            <v>67.400000000000006</v>
          </cell>
          <cell r="J349">
            <v>3</v>
          </cell>
          <cell r="K349">
            <v>16</v>
          </cell>
          <cell r="L349">
            <v>118.22</v>
          </cell>
          <cell r="M349">
            <v>21</v>
          </cell>
          <cell r="N349">
            <v>34.6</v>
          </cell>
          <cell r="O349">
            <v>1.8</v>
          </cell>
          <cell r="P349">
            <v>17.100000000000001</v>
          </cell>
          <cell r="S349">
            <v>15.6</v>
          </cell>
          <cell r="T349">
            <v>20.399999999999999</v>
          </cell>
          <cell r="U349">
            <v>2</v>
          </cell>
        </row>
        <row r="350">
          <cell r="B350" t="str">
            <v>Male</v>
          </cell>
          <cell r="F350">
            <v>13</v>
          </cell>
          <cell r="G350">
            <v>27.1</v>
          </cell>
          <cell r="H350">
            <v>7.6</v>
          </cell>
          <cell r="I350">
            <v>58.6</v>
          </cell>
          <cell r="J350">
            <v>2</v>
          </cell>
          <cell r="K350">
            <v>8</v>
          </cell>
          <cell r="L350">
            <v>158.46</v>
          </cell>
          <cell r="M350">
            <v>63</v>
          </cell>
          <cell r="N350">
            <v>29</v>
          </cell>
          <cell r="O350">
            <v>1.4</v>
          </cell>
          <cell r="P350">
            <v>11.1</v>
          </cell>
          <cell r="S350">
            <v>47.8</v>
          </cell>
          <cell r="T350">
            <v>21.2</v>
          </cell>
          <cell r="U350">
            <v>2</v>
          </cell>
        </row>
        <row r="351">
          <cell r="B351" t="str">
            <v>Female</v>
          </cell>
          <cell r="F351">
            <v>0</v>
          </cell>
          <cell r="G351">
            <v>14.5</v>
          </cell>
          <cell r="H351">
            <v>8.4</v>
          </cell>
          <cell r="I351">
            <v>72.400000000000006</v>
          </cell>
          <cell r="K351">
            <v>7</v>
          </cell>
          <cell r="L351">
            <v>148.66999999999999</v>
          </cell>
          <cell r="M351">
            <v>106</v>
          </cell>
          <cell r="N351">
            <v>49.4</v>
          </cell>
          <cell r="O351">
            <v>3.7</v>
          </cell>
          <cell r="P351">
            <v>0</v>
          </cell>
          <cell r="S351">
            <v>19</v>
          </cell>
          <cell r="T351">
            <v>19.100000000000001</v>
          </cell>
          <cell r="U351">
            <v>1</v>
          </cell>
        </row>
        <row r="352">
          <cell r="B352" t="str">
            <v>Female</v>
          </cell>
          <cell r="F352">
            <v>15</v>
          </cell>
          <cell r="G352">
            <v>38.9</v>
          </cell>
          <cell r="H352">
            <v>13.6</v>
          </cell>
          <cell r="I352">
            <v>37.799999999999997</v>
          </cell>
          <cell r="J352">
            <v>8</v>
          </cell>
          <cell r="K352">
            <v>19</v>
          </cell>
          <cell r="L352">
            <v>158.80000000000001</v>
          </cell>
          <cell r="M352">
            <v>16</v>
          </cell>
          <cell r="N352">
            <v>59.3</v>
          </cell>
          <cell r="O352">
            <v>8.6</v>
          </cell>
          <cell r="P352">
            <v>45</v>
          </cell>
          <cell r="S352">
            <v>61.5</v>
          </cell>
          <cell r="T352">
            <v>44.2</v>
          </cell>
          <cell r="U352">
            <v>3</v>
          </cell>
        </row>
        <row r="353">
          <cell r="B353" t="str">
            <v>Female</v>
          </cell>
          <cell r="F353">
            <v>10</v>
          </cell>
          <cell r="G353">
            <v>20.8</v>
          </cell>
          <cell r="H353">
            <v>9.1</v>
          </cell>
          <cell r="I353">
            <v>55.7</v>
          </cell>
          <cell r="J353">
            <v>8</v>
          </cell>
          <cell r="K353" t="str">
            <v>11.700000000000001</v>
          </cell>
          <cell r="L353">
            <v>77.069999999999993</v>
          </cell>
          <cell r="N353">
            <v>17.88</v>
          </cell>
          <cell r="O353">
            <v>7.5</v>
          </cell>
          <cell r="P353">
            <v>23.5</v>
          </cell>
          <cell r="S353">
            <v>2.9</v>
          </cell>
          <cell r="T353">
            <v>23.5</v>
          </cell>
        </row>
        <row r="354">
          <cell r="B354" t="str">
            <v>Male</v>
          </cell>
          <cell r="F354">
            <v>12</v>
          </cell>
          <cell r="G354">
            <v>26.4</v>
          </cell>
          <cell r="H354">
            <v>6.6</v>
          </cell>
          <cell r="I354">
            <v>46.2</v>
          </cell>
          <cell r="J354">
            <v>6</v>
          </cell>
          <cell r="K354">
            <v>17</v>
          </cell>
          <cell r="L354">
            <v>61.68</v>
          </cell>
          <cell r="M354">
            <v>9</v>
          </cell>
          <cell r="N354">
            <v>46.8</v>
          </cell>
          <cell r="O354">
            <v>16.899999999999999</v>
          </cell>
          <cell r="P354">
            <v>19.399999999999999</v>
          </cell>
          <cell r="S354">
            <v>29</v>
          </cell>
          <cell r="T354">
            <v>14.1</v>
          </cell>
          <cell r="U354">
            <v>2</v>
          </cell>
        </row>
        <row r="355">
          <cell r="B355" t="str">
            <v>Female</v>
          </cell>
          <cell r="F355">
            <v>14</v>
          </cell>
          <cell r="G355">
            <v>28.9</v>
          </cell>
          <cell r="H355">
            <v>7.6</v>
          </cell>
          <cell r="I355">
            <v>46.4</v>
          </cell>
          <cell r="J355">
            <v>4</v>
          </cell>
          <cell r="K355">
            <v>9</v>
          </cell>
          <cell r="L355">
            <v>64.25</v>
          </cell>
          <cell r="M355">
            <v>143</v>
          </cell>
          <cell r="N355">
            <v>19.3</v>
          </cell>
          <cell r="O355">
            <v>8</v>
          </cell>
          <cell r="P355">
            <v>27.8</v>
          </cell>
          <cell r="S355">
            <v>8.1</v>
          </cell>
          <cell r="T355">
            <v>23.5</v>
          </cell>
          <cell r="U355">
            <v>5</v>
          </cell>
        </row>
        <row r="356">
          <cell r="B356" t="str">
            <v>Female</v>
          </cell>
          <cell r="F356">
            <v>17</v>
          </cell>
          <cell r="G356">
            <v>31.7</v>
          </cell>
          <cell r="H356">
            <v>10</v>
          </cell>
          <cell r="I356">
            <v>47.4</v>
          </cell>
          <cell r="J356">
            <v>3</v>
          </cell>
          <cell r="K356">
            <v>76</v>
          </cell>
          <cell r="L356">
            <v>180.35</v>
          </cell>
          <cell r="M356">
            <v>5</v>
          </cell>
          <cell r="N356">
            <v>53</v>
          </cell>
          <cell r="O356" t="str">
            <v>80.15862887514776</v>
          </cell>
          <cell r="P356">
            <v>24.4</v>
          </cell>
          <cell r="S356">
            <v>36.700000000000003</v>
          </cell>
          <cell r="T356">
            <v>25.8</v>
          </cell>
          <cell r="U356">
            <v>4</v>
          </cell>
        </row>
        <row r="357">
          <cell r="B357" t="str">
            <v>Male</v>
          </cell>
          <cell r="F357">
            <v>6</v>
          </cell>
          <cell r="G357">
            <v>14.5</v>
          </cell>
          <cell r="H357">
            <v>7.7</v>
          </cell>
          <cell r="I357">
            <v>58.6</v>
          </cell>
          <cell r="J357">
            <v>4</v>
          </cell>
          <cell r="K357">
            <v>7</v>
          </cell>
          <cell r="L357">
            <v>82.5</v>
          </cell>
          <cell r="M357">
            <v>5</v>
          </cell>
          <cell r="N357">
            <v>21.9</v>
          </cell>
          <cell r="O357">
            <v>4.8</v>
          </cell>
          <cell r="P357">
            <v>18.7</v>
          </cell>
          <cell r="S357">
            <v>32.6</v>
          </cell>
          <cell r="T357">
            <v>26.5</v>
          </cell>
          <cell r="U357">
            <v>1</v>
          </cell>
        </row>
        <row r="358">
          <cell r="B358" t="str">
            <v>Female</v>
          </cell>
          <cell r="F358">
            <v>4</v>
          </cell>
          <cell r="G358">
            <v>23.7</v>
          </cell>
          <cell r="H358">
            <v>7.7</v>
          </cell>
          <cell r="I358">
            <v>59.5</v>
          </cell>
          <cell r="J358">
            <v>1</v>
          </cell>
          <cell r="K358">
            <v>12</v>
          </cell>
          <cell r="L358">
            <v>216.1</v>
          </cell>
          <cell r="M358">
            <v>107</v>
          </cell>
          <cell r="N358">
            <v>69.900000000000006</v>
          </cell>
          <cell r="O358">
            <v>7.3</v>
          </cell>
          <cell r="P358">
            <v>15.1</v>
          </cell>
          <cell r="S358">
            <v>31.9</v>
          </cell>
          <cell r="T358">
            <v>13.1</v>
          </cell>
          <cell r="U358">
            <v>3</v>
          </cell>
        </row>
        <row r="359">
          <cell r="B359" t="str">
            <v>Male</v>
          </cell>
          <cell r="F359">
            <v>2</v>
          </cell>
          <cell r="G359">
            <v>17.100000000000001</v>
          </cell>
          <cell r="H359">
            <v>3</v>
          </cell>
          <cell r="I359">
            <v>64.7</v>
          </cell>
          <cell r="J359">
            <v>1</v>
          </cell>
          <cell r="K359">
            <v>11</v>
          </cell>
          <cell r="L359">
            <v>104.48</v>
          </cell>
          <cell r="M359">
            <v>8</v>
          </cell>
          <cell r="N359">
            <v>77</v>
          </cell>
          <cell r="O359">
            <v>7.7</v>
          </cell>
          <cell r="P359">
            <v>15</v>
          </cell>
          <cell r="S359">
            <v>41.3</v>
          </cell>
          <cell r="T359">
            <v>0</v>
          </cell>
          <cell r="U359">
            <v>3</v>
          </cell>
        </row>
        <row r="360">
          <cell r="B360" t="str">
            <v>Female</v>
          </cell>
          <cell r="F360">
            <v>15</v>
          </cell>
          <cell r="I360">
            <v>62.2</v>
          </cell>
          <cell r="J360">
            <v>4</v>
          </cell>
          <cell r="K360">
            <v>11</v>
          </cell>
          <cell r="L360">
            <v>116.19</v>
          </cell>
          <cell r="M360">
            <v>12</v>
          </cell>
          <cell r="N360">
            <v>54.7</v>
          </cell>
          <cell r="O360">
            <v>4.2</v>
          </cell>
          <cell r="P360">
            <v>13.3</v>
          </cell>
          <cell r="S360">
            <v>31.3</v>
          </cell>
          <cell r="T360">
            <v>21.4</v>
          </cell>
          <cell r="U360">
            <v>1</v>
          </cell>
        </row>
        <row r="361">
          <cell r="B361" t="str">
            <v>Female</v>
          </cell>
          <cell r="F361">
            <v>15</v>
          </cell>
          <cell r="G361">
            <v>41.1</v>
          </cell>
          <cell r="H361">
            <v>14.3</v>
          </cell>
          <cell r="I361">
            <v>46.3</v>
          </cell>
          <cell r="J361">
            <v>4</v>
          </cell>
          <cell r="K361">
            <v>12</v>
          </cell>
          <cell r="L361">
            <v>106.61</v>
          </cell>
          <cell r="M361">
            <v>0</v>
          </cell>
          <cell r="N361">
            <v>8.4</v>
          </cell>
          <cell r="O361">
            <v>8.4</v>
          </cell>
          <cell r="P361">
            <v>27.1</v>
          </cell>
          <cell r="S361">
            <v>49</v>
          </cell>
          <cell r="T361">
            <v>14.6</v>
          </cell>
          <cell r="U361">
            <v>1</v>
          </cell>
        </row>
        <row r="362">
          <cell r="B362" t="str">
            <v>Male</v>
          </cell>
          <cell r="F362">
            <v>8</v>
          </cell>
          <cell r="G362">
            <v>28.2</v>
          </cell>
          <cell r="H362">
            <v>11</v>
          </cell>
          <cell r="I362">
            <v>44.5</v>
          </cell>
          <cell r="K362">
            <v>18</v>
          </cell>
          <cell r="L362">
            <v>144.44</v>
          </cell>
          <cell r="M362">
            <v>14</v>
          </cell>
          <cell r="N362">
            <v>48.9</v>
          </cell>
          <cell r="O362">
            <v>12.9</v>
          </cell>
          <cell r="P362">
            <v>23.5</v>
          </cell>
          <cell r="S362">
            <v>44.7</v>
          </cell>
          <cell r="T362">
            <v>22.7</v>
          </cell>
          <cell r="U362">
            <v>3</v>
          </cell>
        </row>
        <row r="363">
          <cell r="B363" t="str">
            <v>Male</v>
          </cell>
          <cell r="F363">
            <v>5</v>
          </cell>
          <cell r="G363">
            <v>11.8</v>
          </cell>
          <cell r="H363">
            <v>3.7</v>
          </cell>
          <cell r="I363">
            <v>75.900000000000006</v>
          </cell>
          <cell r="J363">
            <v>0</v>
          </cell>
          <cell r="K363">
            <v>4</v>
          </cell>
          <cell r="L363">
            <v>123.99</v>
          </cell>
          <cell r="M363">
            <v>9</v>
          </cell>
          <cell r="O363">
            <v>8.1</v>
          </cell>
          <cell r="P363">
            <v>38.1</v>
          </cell>
          <cell r="S363">
            <v>5.9</v>
          </cell>
          <cell r="T363">
            <v>13.7</v>
          </cell>
          <cell r="U363">
            <v>4</v>
          </cell>
        </row>
        <row r="364">
          <cell r="B364" t="str">
            <v>Male</v>
          </cell>
          <cell r="F364">
            <v>20</v>
          </cell>
          <cell r="G364">
            <v>31.8</v>
          </cell>
          <cell r="I364">
            <v>32.799999999999997</v>
          </cell>
          <cell r="J364">
            <v>4</v>
          </cell>
          <cell r="K364">
            <v>11</v>
          </cell>
          <cell r="L364">
            <v>109.32</v>
          </cell>
          <cell r="M364">
            <v>12</v>
          </cell>
          <cell r="N364">
            <v>40</v>
          </cell>
          <cell r="O364">
            <v>7.4</v>
          </cell>
          <cell r="P364">
            <v>17.100000000000001</v>
          </cell>
          <cell r="S364">
            <v>26.7</v>
          </cell>
          <cell r="T364">
            <v>28</v>
          </cell>
          <cell r="U364">
            <v>3</v>
          </cell>
        </row>
        <row r="365">
          <cell r="B365" t="str">
            <v>Female</v>
          </cell>
          <cell r="F365">
            <v>10</v>
          </cell>
          <cell r="G365">
            <v>15.9</v>
          </cell>
          <cell r="H365">
            <v>11.1</v>
          </cell>
          <cell r="I365">
            <v>56</v>
          </cell>
          <cell r="J365">
            <v>5</v>
          </cell>
          <cell r="K365">
            <v>22</v>
          </cell>
          <cell r="L365">
            <v>185.35</v>
          </cell>
          <cell r="M365">
            <v>24</v>
          </cell>
          <cell r="N365">
            <v>38</v>
          </cell>
          <cell r="O365">
            <v>11.5</v>
          </cell>
          <cell r="P365">
            <v>36</v>
          </cell>
          <cell r="S365">
            <v>42.3</v>
          </cell>
          <cell r="T365">
            <v>23.5</v>
          </cell>
          <cell r="U365">
            <v>1</v>
          </cell>
        </row>
        <row r="366">
          <cell r="B366" t="str">
            <v>Male</v>
          </cell>
          <cell r="F366">
            <v>19</v>
          </cell>
          <cell r="G366">
            <v>30.7</v>
          </cell>
          <cell r="H366">
            <v>10.4</v>
          </cell>
          <cell r="I366">
            <v>51.9</v>
          </cell>
          <cell r="J366">
            <v>6</v>
          </cell>
          <cell r="K366">
            <v>11</v>
          </cell>
          <cell r="L366">
            <v>160.97</v>
          </cell>
          <cell r="M366">
            <v>14</v>
          </cell>
          <cell r="N366">
            <v>38</v>
          </cell>
          <cell r="O366">
            <v>2.2999999999999998</v>
          </cell>
          <cell r="P366">
            <v>28.6</v>
          </cell>
          <cell r="S366">
            <v>29.3</v>
          </cell>
          <cell r="T366">
            <v>14.7</v>
          </cell>
          <cell r="U366">
            <v>2</v>
          </cell>
        </row>
        <row r="367">
          <cell r="B367" t="str">
            <v>Male</v>
          </cell>
          <cell r="F367">
            <v>3</v>
          </cell>
          <cell r="G367">
            <v>15</v>
          </cell>
          <cell r="H367">
            <v>5.9</v>
          </cell>
          <cell r="I367">
            <v>62.5</v>
          </cell>
          <cell r="J367">
            <v>6</v>
          </cell>
          <cell r="K367">
            <v>10</v>
          </cell>
          <cell r="L367">
            <v>60.34</v>
          </cell>
          <cell r="M367">
            <v>27</v>
          </cell>
          <cell r="N367">
            <v>46.4</v>
          </cell>
          <cell r="O367">
            <v>3.9</v>
          </cell>
          <cell r="P367">
            <v>12.9</v>
          </cell>
          <cell r="S367">
            <v>21.5</v>
          </cell>
          <cell r="T367">
            <v>26</v>
          </cell>
          <cell r="U367">
            <v>1</v>
          </cell>
        </row>
        <row r="368">
          <cell r="B368" t="str">
            <v>Male</v>
          </cell>
          <cell r="F368">
            <v>1</v>
          </cell>
          <cell r="G368">
            <v>24.2</v>
          </cell>
          <cell r="H368">
            <v>3</v>
          </cell>
          <cell r="I368">
            <v>70.2</v>
          </cell>
          <cell r="J368">
            <v>1</v>
          </cell>
          <cell r="K368">
            <v>5</v>
          </cell>
          <cell r="L368">
            <v>169.71</v>
          </cell>
          <cell r="M368">
            <v>3</v>
          </cell>
          <cell r="N368">
            <v>61.8</v>
          </cell>
          <cell r="O368">
            <v>15.5</v>
          </cell>
          <cell r="P368">
            <v>18.5</v>
          </cell>
          <cell r="S368">
            <v>8.4</v>
          </cell>
          <cell r="T368">
            <v>18.899999999999999</v>
          </cell>
          <cell r="U368">
            <v>1</v>
          </cell>
        </row>
        <row r="369">
          <cell r="B369" t="str">
            <v>Female</v>
          </cell>
          <cell r="F369">
            <v>12</v>
          </cell>
          <cell r="G369">
            <v>22.2</v>
          </cell>
          <cell r="H369">
            <v>1.7</v>
          </cell>
          <cell r="I369">
            <v>58.5</v>
          </cell>
          <cell r="J369">
            <v>4</v>
          </cell>
          <cell r="K369" t="str">
            <v>11.700000000000001</v>
          </cell>
          <cell r="L369">
            <v>71.709999999999994</v>
          </cell>
          <cell r="N369" t="str">
            <v>10.319999999999999</v>
          </cell>
          <cell r="O369">
            <v>3.3</v>
          </cell>
          <cell r="P369">
            <v>20.100000000000001</v>
          </cell>
          <cell r="S369">
            <v>22.7</v>
          </cell>
          <cell r="U369">
            <v>3</v>
          </cell>
        </row>
        <row r="370">
          <cell r="B370" t="str">
            <v>Female</v>
          </cell>
          <cell r="F370">
            <v>17</v>
          </cell>
          <cell r="G370">
            <v>34.799999999999997</v>
          </cell>
          <cell r="H370">
            <v>11.6</v>
          </cell>
          <cell r="I370">
            <v>40.299999999999997</v>
          </cell>
          <cell r="J370">
            <v>4</v>
          </cell>
          <cell r="K370">
            <v>17</v>
          </cell>
          <cell r="L370">
            <v>69.94</v>
          </cell>
          <cell r="M370">
            <v>35</v>
          </cell>
          <cell r="N370">
            <v>37.700000000000003</v>
          </cell>
          <cell r="O370">
            <v>10.4</v>
          </cell>
          <cell r="P370">
            <v>40</v>
          </cell>
          <cell r="S370">
            <v>35.200000000000003</v>
          </cell>
          <cell r="T370">
            <v>35.799999999999997</v>
          </cell>
          <cell r="U370">
            <v>5</v>
          </cell>
        </row>
        <row r="371">
          <cell r="B371" t="str">
            <v>Female</v>
          </cell>
          <cell r="F371">
            <v>14</v>
          </cell>
          <cell r="G371">
            <v>17.3</v>
          </cell>
          <cell r="H371">
            <v>5.6</v>
          </cell>
          <cell r="I371">
            <v>72.3</v>
          </cell>
          <cell r="J371">
            <v>2</v>
          </cell>
          <cell r="K371" t="str">
            <v>7.800000000000001</v>
          </cell>
          <cell r="L371">
            <v>164.19</v>
          </cell>
          <cell r="M371">
            <v>29</v>
          </cell>
          <cell r="N371" t="str">
            <v>56.279999999999994</v>
          </cell>
          <cell r="O371">
            <v>0.4</v>
          </cell>
          <cell r="P371">
            <v>0</v>
          </cell>
          <cell r="S371">
            <v>3.4</v>
          </cell>
          <cell r="T371">
            <v>6.3</v>
          </cell>
        </row>
        <row r="372">
          <cell r="B372" t="str">
            <v>Female</v>
          </cell>
          <cell r="F372">
            <v>20</v>
          </cell>
          <cell r="G372">
            <v>25.7</v>
          </cell>
          <cell r="H372">
            <v>8.5</v>
          </cell>
          <cell r="I372">
            <v>32.1</v>
          </cell>
          <cell r="J372">
            <v>4</v>
          </cell>
          <cell r="K372">
            <v>11</v>
          </cell>
          <cell r="L372">
            <v>141.71</v>
          </cell>
          <cell r="M372">
            <v>55</v>
          </cell>
          <cell r="N372">
            <v>23.4</v>
          </cell>
          <cell r="O372">
            <v>1.9</v>
          </cell>
          <cell r="P372">
            <v>41.5</v>
          </cell>
          <cell r="S372">
            <v>39.299999999999997</v>
          </cell>
          <cell r="U372">
            <v>2</v>
          </cell>
        </row>
        <row r="373">
          <cell r="B373" t="str">
            <v>Female</v>
          </cell>
          <cell r="F373">
            <v>19</v>
          </cell>
          <cell r="G373">
            <v>37</v>
          </cell>
          <cell r="H373">
            <v>12</v>
          </cell>
          <cell r="I373">
            <v>60.9</v>
          </cell>
          <cell r="J373">
            <v>5</v>
          </cell>
          <cell r="K373">
            <v>15</v>
          </cell>
          <cell r="L373">
            <v>130.44999999999999</v>
          </cell>
          <cell r="M373">
            <v>9</v>
          </cell>
          <cell r="N373">
            <v>64.599999999999994</v>
          </cell>
          <cell r="O373">
            <v>1.7</v>
          </cell>
          <cell r="P373">
            <v>34.4</v>
          </cell>
          <cell r="S373">
            <v>52.7</v>
          </cell>
          <cell r="T373">
            <v>28.2</v>
          </cell>
          <cell r="U373">
            <v>1</v>
          </cell>
        </row>
        <row r="374">
          <cell r="B374" t="str">
            <v>Female</v>
          </cell>
          <cell r="F374">
            <v>10</v>
          </cell>
          <cell r="G374">
            <v>17.100000000000001</v>
          </cell>
          <cell r="H374">
            <v>4.2</v>
          </cell>
          <cell r="I374">
            <v>74.8</v>
          </cell>
          <cell r="J374">
            <v>3</v>
          </cell>
          <cell r="K374">
            <v>9</v>
          </cell>
          <cell r="L374">
            <v>126.63</v>
          </cell>
          <cell r="M374">
            <v>2</v>
          </cell>
          <cell r="N374">
            <v>27</v>
          </cell>
          <cell r="O374">
            <v>5.0999999999999996</v>
          </cell>
          <cell r="P374">
            <v>15.4</v>
          </cell>
          <cell r="S374">
            <v>17.100000000000001</v>
          </cell>
          <cell r="T374">
            <v>13.3</v>
          </cell>
          <cell r="U374">
            <v>4</v>
          </cell>
        </row>
        <row r="375">
          <cell r="B375" t="str">
            <v>Other</v>
          </cell>
          <cell r="F375">
            <v>10</v>
          </cell>
          <cell r="G375">
            <v>26.9</v>
          </cell>
          <cell r="H375">
            <v>9.1</v>
          </cell>
          <cell r="I375">
            <v>60.6</v>
          </cell>
          <cell r="J375">
            <v>4</v>
          </cell>
          <cell r="K375">
            <v>20.8</v>
          </cell>
          <cell r="L375">
            <v>74.22</v>
          </cell>
          <cell r="M375">
            <v>12</v>
          </cell>
          <cell r="N375">
            <v>9</v>
          </cell>
          <cell r="O375">
            <v>7.2</v>
          </cell>
          <cell r="P375">
            <v>34.5</v>
          </cell>
          <cell r="T375">
            <v>24.2</v>
          </cell>
          <cell r="U375">
            <v>1</v>
          </cell>
        </row>
        <row r="376">
          <cell r="B376" t="str">
            <v>Other</v>
          </cell>
          <cell r="F376">
            <v>1</v>
          </cell>
          <cell r="G376">
            <v>12.7</v>
          </cell>
          <cell r="H376">
            <v>5.9</v>
          </cell>
          <cell r="I376">
            <v>81.400000000000006</v>
          </cell>
          <cell r="J376">
            <v>1</v>
          </cell>
          <cell r="K376" t="str">
            <v>3.9000000000000004</v>
          </cell>
          <cell r="L376">
            <v>72.959999999999994</v>
          </cell>
          <cell r="M376">
            <v>94</v>
          </cell>
          <cell r="N376" t="str">
            <v>43.199999999999996</v>
          </cell>
          <cell r="O376">
            <v>10.6</v>
          </cell>
          <cell r="S376">
            <v>0</v>
          </cell>
          <cell r="U376">
            <v>1</v>
          </cell>
        </row>
        <row r="377">
          <cell r="B377" t="str">
            <v>Male</v>
          </cell>
          <cell r="F377">
            <v>5</v>
          </cell>
          <cell r="G377">
            <v>9.3000000000000007</v>
          </cell>
          <cell r="H377">
            <v>5.3</v>
          </cell>
          <cell r="I377">
            <v>73.8</v>
          </cell>
          <cell r="J377">
            <v>3</v>
          </cell>
          <cell r="K377">
            <v>5.2</v>
          </cell>
          <cell r="L377">
            <v>93.09</v>
          </cell>
          <cell r="M377">
            <v>21</v>
          </cell>
          <cell r="N377">
            <v>33.36</v>
          </cell>
          <cell r="O377">
            <v>11.7</v>
          </cell>
          <cell r="P377">
            <v>0</v>
          </cell>
          <cell r="S377">
            <v>7.8</v>
          </cell>
          <cell r="T377">
            <v>12</v>
          </cell>
          <cell r="U377">
            <v>4</v>
          </cell>
        </row>
        <row r="378">
          <cell r="B378" t="str">
            <v>Male</v>
          </cell>
          <cell r="F378">
            <v>14</v>
          </cell>
          <cell r="G378">
            <v>42.3</v>
          </cell>
          <cell r="H378">
            <v>13.9</v>
          </cell>
          <cell r="I378">
            <v>42.6</v>
          </cell>
          <cell r="J378">
            <v>10</v>
          </cell>
          <cell r="K378">
            <v>15</v>
          </cell>
          <cell r="L378">
            <v>108.08</v>
          </cell>
          <cell r="M378">
            <v>19</v>
          </cell>
          <cell r="N378">
            <v>30.4</v>
          </cell>
          <cell r="O378">
            <v>0.4</v>
          </cell>
          <cell r="P378">
            <v>19.5</v>
          </cell>
          <cell r="T378">
            <v>31.4</v>
          </cell>
          <cell r="U378">
            <v>5</v>
          </cell>
        </row>
        <row r="379">
          <cell r="B379" t="str">
            <v>Female</v>
          </cell>
          <cell r="F379">
            <v>13</v>
          </cell>
          <cell r="G379">
            <v>32.5</v>
          </cell>
          <cell r="H379">
            <v>7.4</v>
          </cell>
          <cell r="I379">
            <v>38.4</v>
          </cell>
          <cell r="J379">
            <v>5</v>
          </cell>
          <cell r="K379">
            <v>13</v>
          </cell>
          <cell r="L379">
            <v>114.68</v>
          </cell>
          <cell r="M379">
            <v>35</v>
          </cell>
          <cell r="N379">
            <v>33.4</v>
          </cell>
          <cell r="O379">
            <v>3.5</v>
          </cell>
          <cell r="P379">
            <v>23.3</v>
          </cell>
          <cell r="S379">
            <v>52.7</v>
          </cell>
          <cell r="T379">
            <v>29.3</v>
          </cell>
          <cell r="U379">
            <v>3</v>
          </cell>
        </row>
        <row r="380">
          <cell r="B380" t="str">
            <v>Female</v>
          </cell>
          <cell r="F380">
            <v>12</v>
          </cell>
          <cell r="G380">
            <v>17.3</v>
          </cell>
          <cell r="H380">
            <v>1.4</v>
          </cell>
          <cell r="I380">
            <v>66</v>
          </cell>
          <cell r="J380">
            <v>0</v>
          </cell>
          <cell r="K380">
            <v>5</v>
          </cell>
          <cell r="L380">
            <v>151.47</v>
          </cell>
          <cell r="M380">
            <v>53</v>
          </cell>
          <cell r="N380">
            <v>35.700000000000003</v>
          </cell>
          <cell r="P380">
            <v>8.8000000000000007</v>
          </cell>
          <cell r="S380">
            <v>11.2</v>
          </cell>
          <cell r="T380">
            <v>12.3</v>
          </cell>
          <cell r="U380">
            <v>3</v>
          </cell>
        </row>
        <row r="381">
          <cell r="B381" t="str">
            <v>Other</v>
          </cell>
          <cell r="F381">
            <v>12</v>
          </cell>
          <cell r="G381">
            <v>32.9</v>
          </cell>
          <cell r="I381">
            <v>46.3</v>
          </cell>
          <cell r="J381">
            <v>6</v>
          </cell>
          <cell r="K381">
            <v>19</v>
          </cell>
          <cell r="L381">
            <v>44.97</v>
          </cell>
          <cell r="M381">
            <v>30</v>
          </cell>
          <cell r="N381">
            <v>21.1</v>
          </cell>
          <cell r="O381">
            <v>0.8</v>
          </cell>
          <cell r="P381">
            <v>37.4</v>
          </cell>
          <cell r="S381">
            <v>18.600000000000001</v>
          </cell>
          <cell r="T381">
            <v>19.399999999999999</v>
          </cell>
        </row>
        <row r="382">
          <cell r="B382" t="str">
            <v>Female</v>
          </cell>
          <cell r="F382">
            <v>23</v>
          </cell>
          <cell r="G382">
            <v>33.299999999999997</v>
          </cell>
          <cell r="H382">
            <v>12.4</v>
          </cell>
          <cell r="I382">
            <v>33.9</v>
          </cell>
          <cell r="J382">
            <v>7</v>
          </cell>
          <cell r="K382">
            <v>15</v>
          </cell>
          <cell r="L382">
            <v>82.42</v>
          </cell>
          <cell r="M382">
            <v>258</v>
          </cell>
          <cell r="N382">
            <v>49.7</v>
          </cell>
          <cell r="O382">
            <v>5.7</v>
          </cell>
          <cell r="P382">
            <v>38.700000000000003</v>
          </cell>
          <cell r="S382">
            <v>42.6</v>
          </cell>
          <cell r="T382">
            <v>40.299999999999997</v>
          </cell>
          <cell r="U382">
            <v>3</v>
          </cell>
        </row>
        <row r="383">
          <cell r="B383" t="str">
            <v>Male</v>
          </cell>
          <cell r="F383">
            <v>16</v>
          </cell>
          <cell r="G383">
            <v>38.700000000000003</v>
          </cell>
          <cell r="H383">
            <v>7.5</v>
          </cell>
          <cell r="I383">
            <v>60.5</v>
          </cell>
          <cell r="J383">
            <v>0</v>
          </cell>
          <cell r="K383">
            <v>12</v>
          </cell>
          <cell r="L383">
            <v>124.74</v>
          </cell>
          <cell r="M383">
            <v>13</v>
          </cell>
          <cell r="N383">
            <v>34.200000000000003</v>
          </cell>
          <cell r="P383">
            <v>11</v>
          </cell>
          <cell r="S383">
            <v>28.8</v>
          </cell>
          <cell r="T383">
            <v>26.5</v>
          </cell>
          <cell r="U383">
            <v>2</v>
          </cell>
        </row>
        <row r="384">
          <cell r="B384" t="str">
            <v>Male</v>
          </cell>
          <cell r="F384">
            <v>13</v>
          </cell>
          <cell r="G384">
            <v>38.200000000000003</v>
          </cell>
          <cell r="H384">
            <v>5.8</v>
          </cell>
          <cell r="I384">
            <v>47.7</v>
          </cell>
          <cell r="J384">
            <v>2</v>
          </cell>
          <cell r="K384">
            <v>15</v>
          </cell>
          <cell r="L384">
            <v>130.16</v>
          </cell>
          <cell r="M384">
            <v>16</v>
          </cell>
          <cell r="N384">
            <v>78.7</v>
          </cell>
          <cell r="O384">
            <v>3.8</v>
          </cell>
          <cell r="P384">
            <v>20.399999999999999</v>
          </cell>
          <cell r="S384">
            <v>23.5</v>
          </cell>
          <cell r="T384">
            <v>28.4</v>
          </cell>
          <cell r="U384">
            <v>2</v>
          </cell>
        </row>
        <row r="385">
          <cell r="B385" t="str">
            <v>Male</v>
          </cell>
          <cell r="F385">
            <v>20</v>
          </cell>
          <cell r="G385">
            <v>35</v>
          </cell>
          <cell r="H385">
            <v>9.1999999999999993</v>
          </cell>
          <cell r="I385">
            <v>59.5</v>
          </cell>
          <cell r="K385">
            <v>15</v>
          </cell>
          <cell r="L385">
            <v>109.28</v>
          </cell>
          <cell r="M385">
            <v>6</v>
          </cell>
          <cell r="N385">
            <v>34.700000000000003</v>
          </cell>
          <cell r="O385">
            <v>7</v>
          </cell>
          <cell r="P385">
            <v>32.6</v>
          </cell>
          <cell r="S385">
            <v>17.899999999999999</v>
          </cell>
          <cell r="T385">
            <v>24.6</v>
          </cell>
          <cell r="U385">
            <v>2</v>
          </cell>
        </row>
        <row r="386">
          <cell r="B386" t="str">
            <v>Female</v>
          </cell>
          <cell r="F386">
            <v>19</v>
          </cell>
          <cell r="G386">
            <v>28</v>
          </cell>
          <cell r="H386">
            <v>13.4</v>
          </cell>
          <cell r="I386">
            <v>37.6</v>
          </cell>
          <cell r="J386">
            <v>11</v>
          </cell>
          <cell r="K386">
            <v>15</v>
          </cell>
          <cell r="L386">
            <v>73.67</v>
          </cell>
          <cell r="M386">
            <v>61</v>
          </cell>
          <cell r="N386">
            <v>66</v>
          </cell>
          <cell r="O386">
            <v>4.3</v>
          </cell>
          <cell r="P386">
            <v>18.7</v>
          </cell>
          <cell r="S386">
            <v>33.200000000000003</v>
          </cell>
          <cell r="U386">
            <v>1</v>
          </cell>
        </row>
        <row r="387">
          <cell r="B387" t="str">
            <v>Other</v>
          </cell>
          <cell r="F387">
            <v>9</v>
          </cell>
          <cell r="G387">
            <v>37</v>
          </cell>
          <cell r="H387">
            <v>11.4</v>
          </cell>
          <cell r="I387">
            <v>65.3</v>
          </cell>
          <cell r="J387">
            <v>4</v>
          </cell>
          <cell r="K387">
            <v>11</v>
          </cell>
          <cell r="L387">
            <v>156.97999999999999</v>
          </cell>
          <cell r="M387">
            <v>4</v>
          </cell>
          <cell r="N387">
            <v>45.8</v>
          </cell>
          <cell r="O387">
            <v>10.5</v>
          </cell>
          <cell r="P387">
            <v>16.8</v>
          </cell>
          <cell r="S387">
            <v>25.8</v>
          </cell>
          <cell r="T387">
            <v>17.8</v>
          </cell>
          <cell r="U387">
            <v>5</v>
          </cell>
        </row>
        <row r="388">
          <cell r="B388" t="str">
            <v>Female</v>
          </cell>
          <cell r="F388">
            <v>22</v>
          </cell>
          <cell r="G388">
            <v>43.8</v>
          </cell>
          <cell r="H388">
            <v>14.3</v>
          </cell>
          <cell r="I388">
            <v>25.5</v>
          </cell>
          <cell r="J388">
            <v>4</v>
          </cell>
          <cell r="K388">
            <v>22</v>
          </cell>
          <cell r="L388">
            <v>71.11</v>
          </cell>
          <cell r="M388">
            <v>10</v>
          </cell>
          <cell r="N388">
            <v>7.8</v>
          </cell>
          <cell r="O388">
            <v>10.5</v>
          </cell>
          <cell r="P388">
            <v>48.7</v>
          </cell>
          <cell r="S388">
            <v>55.6</v>
          </cell>
          <cell r="T388">
            <v>39.5</v>
          </cell>
          <cell r="U388">
            <v>2</v>
          </cell>
        </row>
        <row r="389">
          <cell r="B389" t="str">
            <v>Female</v>
          </cell>
          <cell r="F389">
            <v>14</v>
          </cell>
          <cell r="G389">
            <v>40.6</v>
          </cell>
          <cell r="H389">
            <v>12.9</v>
          </cell>
          <cell r="I389">
            <v>44.1</v>
          </cell>
          <cell r="J389">
            <v>12</v>
          </cell>
          <cell r="K389">
            <v>13</v>
          </cell>
          <cell r="L389">
            <v>83.67</v>
          </cell>
          <cell r="M389">
            <v>9</v>
          </cell>
          <cell r="N389">
            <v>20.2</v>
          </cell>
          <cell r="O389">
            <v>3.3</v>
          </cell>
          <cell r="P389">
            <v>36.799999999999997</v>
          </cell>
          <cell r="S389">
            <v>44.7</v>
          </cell>
          <cell r="T389">
            <v>32.6</v>
          </cell>
          <cell r="U389">
            <v>3</v>
          </cell>
        </row>
        <row r="390">
          <cell r="B390" t="str">
            <v>Male</v>
          </cell>
          <cell r="F390">
            <v>2</v>
          </cell>
          <cell r="G390">
            <v>8.9</v>
          </cell>
          <cell r="H390">
            <v>2.2999999999999998</v>
          </cell>
          <cell r="I390">
            <v>71</v>
          </cell>
          <cell r="J390">
            <v>4</v>
          </cell>
          <cell r="K390">
            <v>6</v>
          </cell>
          <cell r="L390">
            <v>217.21</v>
          </cell>
          <cell r="M390">
            <v>2</v>
          </cell>
          <cell r="N390">
            <v>47.2</v>
          </cell>
          <cell r="P390">
            <v>20.9</v>
          </cell>
          <cell r="S390">
            <v>7.1</v>
          </cell>
          <cell r="T390">
            <v>14.7</v>
          </cell>
          <cell r="U390">
            <v>3</v>
          </cell>
        </row>
        <row r="391">
          <cell r="B391" t="str">
            <v>Male</v>
          </cell>
          <cell r="F391">
            <v>2</v>
          </cell>
          <cell r="G391">
            <v>33.700000000000003</v>
          </cell>
          <cell r="H391">
            <v>10.4</v>
          </cell>
          <cell r="I391">
            <v>39.6</v>
          </cell>
          <cell r="J391">
            <v>12</v>
          </cell>
          <cell r="K391">
            <v>12</v>
          </cell>
          <cell r="L391">
            <v>102.77</v>
          </cell>
          <cell r="M391">
            <v>17</v>
          </cell>
          <cell r="N391">
            <v>13.1</v>
          </cell>
          <cell r="O391">
            <v>3.7</v>
          </cell>
          <cell r="S391">
            <v>57.4</v>
          </cell>
          <cell r="T391">
            <v>28.8</v>
          </cell>
          <cell r="U391">
            <v>3</v>
          </cell>
        </row>
        <row r="392">
          <cell r="B392" t="str">
            <v>Female</v>
          </cell>
          <cell r="F392">
            <v>4</v>
          </cell>
          <cell r="G392">
            <v>18</v>
          </cell>
          <cell r="H392">
            <v>8.1999999999999993</v>
          </cell>
          <cell r="I392">
            <v>75.099999999999994</v>
          </cell>
          <cell r="J392">
            <v>1</v>
          </cell>
          <cell r="K392">
            <v>6</v>
          </cell>
          <cell r="L392">
            <v>57.79</v>
          </cell>
          <cell r="M392">
            <v>11</v>
          </cell>
          <cell r="N392">
            <v>61.6</v>
          </cell>
          <cell r="O392">
            <v>20.6</v>
          </cell>
          <cell r="P392">
            <v>3.2</v>
          </cell>
          <cell r="S392">
            <v>13</v>
          </cell>
          <cell r="T392">
            <v>11.7</v>
          </cell>
        </row>
        <row r="393">
          <cell r="B393" t="str">
            <v>Female</v>
          </cell>
          <cell r="F393">
            <v>9</v>
          </cell>
          <cell r="G393">
            <v>25.3</v>
          </cell>
          <cell r="I393">
            <v>52</v>
          </cell>
          <cell r="J393">
            <v>3</v>
          </cell>
          <cell r="K393">
            <v>11</v>
          </cell>
          <cell r="L393">
            <v>199.13</v>
          </cell>
          <cell r="M393">
            <v>3</v>
          </cell>
          <cell r="O393">
            <v>8</v>
          </cell>
          <cell r="P393">
            <v>30.6</v>
          </cell>
          <cell r="S393">
            <v>45.4</v>
          </cell>
          <cell r="T393">
            <v>14.3</v>
          </cell>
          <cell r="U393">
            <v>1</v>
          </cell>
        </row>
        <row r="394">
          <cell r="B394" t="str">
            <v>Male</v>
          </cell>
          <cell r="F394">
            <v>9</v>
          </cell>
          <cell r="G394">
            <v>30.1</v>
          </cell>
          <cell r="H394">
            <v>8.6</v>
          </cell>
          <cell r="I394">
            <v>57.7</v>
          </cell>
          <cell r="J394">
            <v>7</v>
          </cell>
          <cell r="K394" t="str">
            <v>16.900000000000002</v>
          </cell>
          <cell r="L394">
            <v>79.319999999999993</v>
          </cell>
          <cell r="N394">
            <v>40.799999999999997</v>
          </cell>
          <cell r="O394">
            <v>3</v>
          </cell>
          <cell r="P394">
            <v>15.6</v>
          </cell>
          <cell r="S394">
            <v>19.399999999999999</v>
          </cell>
          <cell r="T394">
            <v>15</v>
          </cell>
          <cell r="U394">
            <v>1</v>
          </cell>
        </row>
        <row r="395">
          <cell r="B395" t="str">
            <v>Female</v>
          </cell>
          <cell r="F395">
            <v>14</v>
          </cell>
          <cell r="G395">
            <v>20.8</v>
          </cell>
          <cell r="H395">
            <v>8.8000000000000007</v>
          </cell>
          <cell r="I395">
            <v>57.4</v>
          </cell>
          <cell r="J395">
            <v>6</v>
          </cell>
          <cell r="K395">
            <v>14</v>
          </cell>
          <cell r="L395">
            <v>121.08</v>
          </cell>
          <cell r="M395">
            <v>19</v>
          </cell>
          <cell r="N395">
            <v>59.8</v>
          </cell>
          <cell r="O395">
            <v>8.3000000000000007</v>
          </cell>
          <cell r="P395">
            <v>21.6</v>
          </cell>
          <cell r="S395">
            <v>53.9</v>
          </cell>
        </row>
        <row r="396">
          <cell r="B396" t="str">
            <v>Male</v>
          </cell>
          <cell r="F396">
            <v>8</v>
          </cell>
          <cell r="G396">
            <v>33.200000000000003</v>
          </cell>
          <cell r="H396">
            <v>5.8</v>
          </cell>
          <cell r="I396">
            <v>66.3</v>
          </cell>
          <cell r="J396">
            <v>5</v>
          </cell>
          <cell r="K396">
            <v>9</v>
          </cell>
          <cell r="L396">
            <v>314.67</v>
          </cell>
          <cell r="M396">
            <v>4</v>
          </cell>
          <cell r="N396">
            <v>27.3</v>
          </cell>
          <cell r="O396">
            <v>7.7</v>
          </cell>
          <cell r="P396">
            <v>21.4</v>
          </cell>
          <cell r="S396">
            <v>25.3</v>
          </cell>
          <cell r="T396">
            <v>21.7</v>
          </cell>
          <cell r="U396">
            <v>3</v>
          </cell>
        </row>
        <row r="397">
          <cell r="B397" t="str">
            <v>Male</v>
          </cell>
          <cell r="F397">
            <v>27</v>
          </cell>
          <cell r="G397">
            <v>47.2</v>
          </cell>
          <cell r="H397">
            <v>21.6</v>
          </cell>
          <cell r="I397">
            <v>22.8</v>
          </cell>
          <cell r="J397">
            <v>7</v>
          </cell>
          <cell r="K397" t="str">
            <v>29.900000000000002</v>
          </cell>
          <cell r="L397">
            <v>68.14</v>
          </cell>
          <cell r="M397">
            <v>130</v>
          </cell>
          <cell r="N397">
            <v>59.16</v>
          </cell>
          <cell r="O397">
            <v>6.7</v>
          </cell>
          <cell r="P397">
            <v>52.9</v>
          </cell>
          <cell r="S397">
            <v>85.4</v>
          </cell>
          <cell r="T397">
            <v>40.4</v>
          </cell>
          <cell r="U397">
            <v>3</v>
          </cell>
        </row>
        <row r="398">
          <cell r="B398" t="str">
            <v>Female</v>
          </cell>
          <cell r="F398">
            <v>0</v>
          </cell>
          <cell r="G398">
            <v>25.3</v>
          </cell>
          <cell r="H398">
            <v>9.6999999999999993</v>
          </cell>
          <cell r="I398">
            <v>61.1</v>
          </cell>
          <cell r="J398">
            <v>4</v>
          </cell>
          <cell r="K398">
            <v>5</v>
          </cell>
          <cell r="L398">
            <v>50.35</v>
          </cell>
          <cell r="M398">
            <v>11</v>
          </cell>
          <cell r="N398">
            <v>61.5</v>
          </cell>
          <cell r="O398">
            <v>4.0999999999999996</v>
          </cell>
          <cell r="P398">
            <v>27</v>
          </cell>
          <cell r="S398">
            <v>11.5</v>
          </cell>
          <cell r="T398">
            <v>13.4</v>
          </cell>
          <cell r="U398">
            <v>3</v>
          </cell>
        </row>
        <row r="399">
          <cell r="B399" t="str">
            <v>Male</v>
          </cell>
          <cell r="F399">
            <v>21</v>
          </cell>
          <cell r="G399">
            <v>35.200000000000003</v>
          </cell>
          <cell r="H399">
            <v>13.7</v>
          </cell>
          <cell r="I399">
            <v>53</v>
          </cell>
          <cell r="J399">
            <v>10</v>
          </cell>
          <cell r="K399">
            <v>14</v>
          </cell>
          <cell r="L399">
            <v>177.97</v>
          </cell>
          <cell r="M399">
            <v>66</v>
          </cell>
          <cell r="N399">
            <v>26.5</v>
          </cell>
          <cell r="O399">
            <v>5.2</v>
          </cell>
          <cell r="P399">
            <v>38.5</v>
          </cell>
          <cell r="S399">
            <v>35.799999999999997</v>
          </cell>
          <cell r="T399">
            <v>24.8</v>
          </cell>
          <cell r="U399">
            <v>1</v>
          </cell>
        </row>
        <row r="400">
          <cell r="B400" t="str">
            <v>Female</v>
          </cell>
          <cell r="F400">
            <v>22</v>
          </cell>
          <cell r="G400">
            <v>35.6</v>
          </cell>
          <cell r="H400">
            <v>11.7</v>
          </cell>
          <cell r="I400">
            <v>58.7</v>
          </cell>
          <cell r="J400">
            <v>5</v>
          </cell>
          <cell r="K400">
            <v>12</v>
          </cell>
          <cell r="L400">
            <v>159.81</v>
          </cell>
          <cell r="M400">
            <v>40</v>
          </cell>
          <cell r="N400">
            <v>73</v>
          </cell>
          <cell r="O400">
            <v>3.2</v>
          </cell>
          <cell r="P400">
            <v>31.2</v>
          </cell>
          <cell r="S400">
            <v>39.700000000000003</v>
          </cell>
          <cell r="T400">
            <v>18.100000000000001</v>
          </cell>
          <cell r="U400">
            <v>4</v>
          </cell>
        </row>
        <row r="401">
          <cell r="B401" t="str">
            <v>Female</v>
          </cell>
          <cell r="F401">
            <v>16</v>
          </cell>
          <cell r="G401">
            <v>31.9</v>
          </cell>
          <cell r="H401">
            <v>10.3</v>
          </cell>
          <cell r="I401">
            <v>31.7</v>
          </cell>
          <cell r="J401">
            <v>8</v>
          </cell>
          <cell r="K401">
            <v>14</v>
          </cell>
          <cell r="L401">
            <v>141.4</v>
          </cell>
          <cell r="M401">
            <v>26</v>
          </cell>
          <cell r="N401">
            <v>10.5</v>
          </cell>
          <cell r="O401">
            <v>7.8</v>
          </cell>
          <cell r="P401">
            <v>36.5</v>
          </cell>
          <cell r="S401">
            <v>30.4</v>
          </cell>
          <cell r="T401">
            <v>25.5</v>
          </cell>
          <cell r="U401">
            <v>2</v>
          </cell>
        </row>
        <row r="402">
          <cell r="B402" t="str">
            <v>Male</v>
          </cell>
          <cell r="F402">
            <v>0</v>
          </cell>
          <cell r="G402">
            <v>20</v>
          </cell>
          <cell r="H402">
            <v>6.8</v>
          </cell>
          <cell r="I402">
            <v>62.7</v>
          </cell>
          <cell r="J402">
            <v>1</v>
          </cell>
          <cell r="K402">
            <v>6</v>
          </cell>
          <cell r="L402">
            <v>88.97</v>
          </cell>
          <cell r="N402">
            <v>44.2</v>
          </cell>
          <cell r="O402">
            <v>9.8000000000000007</v>
          </cell>
          <cell r="P402">
            <v>10</v>
          </cell>
          <cell r="S402">
            <v>0</v>
          </cell>
          <cell r="T402">
            <v>18.899999999999999</v>
          </cell>
          <cell r="U402">
            <v>3</v>
          </cell>
        </row>
        <row r="403">
          <cell r="B403" t="str">
            <v>Female</v>
          </cell>
          <cell r="F403">
            <v>3</v>
          </cell>
          <cell r="G403">
            <v>9</v>
          </cell>
          <cell r="H403">
            <v>4.0999999999999996</v>
          </cell>
          <cell r="I403">
            <v>81.599999999999994</v>
          </cell>
          <cell r="K403">
            <v>2</v>
          </cell>
          <cell r="L403">
            <v>140.16</v>
          </cell>
          <cell r="M403">
            <v>3</v>
          </cell>
          <cell r="N403">
            <v>57.8</v>
          </cell>
          <cell r="P403">
            <v>4.8</v>
          </cell>
          <cell r="S403">
            <v>14.8</v>
          </cell>
          <cell r="T403">
            <v>9.4</v>
          </cell>
          <cell r="U403">
            <v>2</v>
          </cell>
        </row>
        <row r="404">
          <cell r="B404" t="str">
            <v>Male</v>
          </cell>
          <cell r="F404">
            <v>8</v>
          </cell>
          <cell r="G404">
            <v>20.100000000000001</v>
          </cell>
          <cell r="H404">
            <v>7.5</v>
          </cell>
          <cell r="I404">
            <v>61.6</v>
          </cell>
          <cell r="J404">
            <v>1</v>
          </cell>
          <cell r="K404">
            <v>10</v>
          </cell>
          <cell r="L404">
            <v>101.3</v>
          </cell>
          <cell r="M404">
            <v>23</v>
          </cell>
          <cell r="N404">
            <v>78.599999999999994</v>
          </cell>
          <cell r="O404">
            <v>4.2</v>
          </cell>
          <cell r="P404">
            <v>4.5999999999999996</v>
          </cell>
          <cell r="T404">
            <v>13.6</v>
          </cell>
          <cell r="U404">
            <v>3</v>
          </cell>
        </row>
        <row r="405">
          <cell r="B405" t="str">
            <v>Male</v>
          </cell>
          <cell r="F405">
            <v>12</v>
          </cell>
          <cell r="G405">
            <v>26.9</v>
          </cell>
          <cell r="H405">
            <v>7.1</v>
          </cell>
          <cell r="I405">
            <v>81.5</v>
          </cell>
          <cell r="J405">
            <v>0</v>
          </cell>
          <cell r="K405">
            <v>12</v>
          </cell>
          <cell r="L405">
            <v>224.07</v>
          </cell>
          <cell r="M405">
            <v>6</v>
          </cell>
          <cell r="N405">
            <v>24.7</v>
          </cell>
          <cell r="O405">
            <v>1.6</v>
          </cell>
          <cell r="P405">
            <v>21.9</v>
          </cell>
          <cell r="S405">
            <v>50.7</v>
          </cell>
          <cell r="T405">
            <v>14.1</v>
          </cell>
          <cell r="U405">
            <v>2</v>
          </cell>
        </row>
        <row r="406">
          <cell r="B406" t="str">
            <v>Female</v>
          </cell>
          <cell r="F406">
            <v>22</v>
          </cell>
          <cell r="G406">
            <v>40.299999999999997</v>
          </cell>
          <cell r="H406">
            <v>14.5</v>
          </cell>
          <cell r="I406">
            <v>37.9</v>
          </cell>
          <cell r="J406">
            <v>8</v>
          </cell>
          <cell r="K406">
            <v>16</v>
          </cell>
          <cell r="L406">
            <v>96.71</v>
          </cell>
          <cell r="M406">
            <v>6</v>
          </cell>
          <cell r="N406">
            <v>49.6</v>
          </cell>
          <cell r="O406">
            <v>0.7</v>
          </cell>
          <cell r="P406">
            <v>41.5</v>
          </cell>
          <cell r="S406">
            <v>20.2</v>
          </cell>
          <cell r="T406">
            <v>35.4</v>
          </cell>
          <cell r="U406">
            <v>2</v>
          </cell>
        </row>
        <row r="407">
          <cell r="B407" t="str">
            <v>Male</v>
          </cell>
          <cell r="F407">
            <v>14</v>
          </cell>
          <cell r="G407">
            <v>15.3</v>
          </cell>
          <cell r="H407">
            <v>8.1999999999999993</v>
          </cell>
          <cell r="I407">
            <v>63.3</v>
          </cell>
          <cell r="J407">
            <v>5</v>
          </cell>
          <cell r="K407">
            <v>7</v>
          </cell>
          <cell r="L407">
            <v>53.85</v>
          </cell>
          <cell r="M407">
            <v>11</v>
          </cell>
          <cell r="N407">
            <v>41.9</v>
          </cell>
          <cell r="O407">
            <v>14.9</v>
          </cell>
          <cell r="P407">
            <v>29.7</v>
          </cell>
          <cell r="S407">
            <v>15.8</v>
          </cell>
          <cell r="T407">
            <v>15.4</v>
          </cell>
          <cell r="U407">
            <v>1</v>
          </cell>
        </row>
        <row r="408">
          <cell r="B408" t="str">
            <v>Female</v>
          </cell>
          <cell r="F408">
            <v>10</v>
          </cell>
          <cell r="G408">
            <v>27.3</v>
          </cell>
          <cell r="H408">
            <v>7.4</v>
          </cell>
          <cell r="I408">
            <v>61.1</v>
          </cell>
          <cell r="J408">
            <v>5</v>
          </cell>
          <cell r="K408">
            <v>12</v>
          </cell>
          <cell r="L408">
            <v>121.53</v>
          </cell>
          <cell r="M408">
            <v>1</v>
          </cell>
          <cell r="N408">
            <v>67.099999999999994</v>
          </cell>
          <cell r="P408">
            <v>20</v>
          </cell>
          <cell r="S408">
            <v>8.1999999999999993</v>
          </cell>
          <cell r="T408">
            <v>22.9</v>
          </cell>
          <cell r="U408">
            <v>2</v>
          </cell>
        </row>
        <row r="409">
          <cell r="B409" t="str">
            <v>Male</v>
          </cell>
          <cell r="F409">
            <v>3</v>
          </cell>
          <cell r="G409">
            <v>9.6999999999999993</v>
          </cell>
          <cell r="H409">
            <v>2.9</v>
          </cell>
          <cell r="I409">
            <v>90.6</v>
          </cell>
          <cell r="J409">
            <v>2</v>
          </cell>
          <cell r="K409">
            <v>5.2</v>
          </cell>
          <cell r="L409">
            <v>127.77</v>
          </cell>
          <cell r="M409">
            <v>0</v>
          </cell>
          <cell r="N409" t="str">
            <v>23.279999999999998</v>
          </cell>
          <cell r="O409">
            <v>2.6</v>
          </cell>
          <cell r="P409">
            <v>24.7</v>
          </cell>
          <cell r="S409">
            <v>0.2</v>
          </cell>
          <cell r="T409">
            <v>7.8</v>
          </cell>
          <cell r="U409">
            <v>2</v>
          </cell>
        </row>
        <row r="410">
          <cell r="B410" t="str">
            <v>Female</v>
          </cell>
          <cell r="F410">
            <v>7</v>
          </cell>
          <cell r="G410">
            <v>35.700000000000003</v>
          </cell>
          <cell r="H410">
            <v>10.8</v>
          </cell>
          <cell r="I410">
            <v>51.8</v>
          </cell>
          <cell r="J410">
            <v>1</v>
          </cell>
          <cell r="K410">
            <v>13</v>
          </cell>
          <cell r="L410">
            <v>82.97</v>
          </cell>
          <cell r="M410">
            <v>81</v>
          </cell>
          <cell r="N410">
            <v>82.8</v>
          </cell>
          <cell r="O410">
            <v>2.4</v>
          </cell>
          <cell r="P410">
            <v>23.4</v>
          </cell>
          <cell r="T410">
            <v>18.5</v>
          </cell>
          <cell r="U410">
            <v>1</v>
          </cell>
        </row>
        <row r="411">
          <cell r="B411" t="str">
            <v>Male</v>
          </cell>
          <cell r="F411">
            <v>7</v>
          </cell>
          <cell r="G411">
            <v>30.9</v>
          </cell>
          <cell r="H411">
            <v>9.5</v>
          </cell>
          <cell r="I411">
            <v>69.599999999999994</v>
          </cell>
          <cell r="J411">
            <v>4</v>
          </cell>
          <cell r="K411">
            <v>9.1</v>
          </cell>
          <cell r="L411">
            <v>111.72</v>
          </cell>
          <cell r="M411">
            <v>23</v>
          </cell>
          <cell r="O411">
            <v>2.5</v>
          </cell>
          <cell r="P411">
            <v>11</v>
          </cell>
          <cell r="S411">
            <v>31</v>
          </cell>
          <cell r="T411">
            <v>11.1</v>
          </cell>
          <cell r="U411">
            <v>1</v>
          </cell>
        </row>
        <row r="412">
          <cell r="B412" t="str">
            <v>Male</v>
          </cell>
          <cell r="F412">
            <v>9</v>
          </cell>
          <cell r="G412">
            <v>23.3</v>
          </cell>
          <cell r="H412">
            <v>6.6</v>
          </cell>
          <cell r="I412">
            <v>43.9</v>
          </cell>
          <cell r="J412">
            <v>2</v>
          </cell>
          <cell r="K412">
            <v>5</v>
          </cell>
          <cell r="L412">
            <v>59.01</v>
          </cell>
          <cell r="M412">
            <v>4</v>
          </cell>
          <cell r="N412">
            <v>80.400000000000006</v>
          </cell>
          <cell r="O412">
            <v>3.4</v>
          </cell>
          <cell r="P412">
            <v>5</v>
          </cell>
          <cell r="S412">
            <v>9.9</v>
          </cell>
          <cell r="T412">
            <v>17.3</v>
          </cell>
        </row>
        <row r="413">
          <cell r="B413" t="str">
            <v>Male</v>
          </cell>
          <cell r="F413">
            <v>9</v>
          </cell>
          <cell r="G413">
            <v>26.1</v>
          </cell>
          <cell r="H413">
            <v>11.6</v>
          </cell>
          <cell r="I413">
            <v>59.9</v>
          </cell>
          <cell r="J413">
            <v>6</v>
          </cell>
          <cell r="K413">
            <v>14</v>
          </cell>
          <cell r="L413">
            <v>175.29</v>
          </cell>
          <cell r="M413">
            <v>1</v>
          </cell>
          <cell r="N413">
            <v>40.1</v>
          </cell>
          <cell r="O413">
            <v>5.6</v>
          </cell>
          <cell r="P413">
            <v>29.8</v>
          </cell>
          <cell r="S413">
            <v>53.6</v>
          </cell>
          <cell r="T413">
            <v>18.7</v>
          </cell>
          <cell r="U413">
            <v>2</v>
          </cell>
        </row>
        <row r="414">
          <cell r="B414" t="str">
            <v>Male</v>
          </cell>
          <cell r="F414">
            <v>9</v>
          </cell>
          <cell r="G414">
            <v>33.5</v>
          </cell>
          <cell r="H414">
            <v>3.1</v>
          </cell>
          <cell r="I414">
            <v>67.7</v>
          </cell>
          <cell r="J414">
            <v>2</v>
          </cell>
          <cell r="K414">
            <v>9</v>
          </cell>
          <cell r="L414">
            <v>138.62</v>
          </cell>
          <cell r="M414">
            <v>9</v>
          </cell>
          <cell r="N414">
            <v>19.899999999999999</v>
          </cell>
          <cell r="O414">
            <v>3</v>
          </cell>
          <cell r="P414">
            <v>0</v>
          </cell>
          <cell r="S414">
            <v>23.4</v>
          </cell>
          <cell r="T414">
            <v>14.9</v>
          </cell>
        </row>
        <row r="415">
          <cell r="B415" t="str">
            <v>Male</v>
          </cell>
          <cell r="F415">
            <v>21</v>
          </cell>
          <cell r="G415">
            <v>31.9</v>
          </cell>
          <cell r="H415">
            <v>11.3</v>
          </cell>
          <cell r="I415">
            <v>44.1</v>
          </cell>
          <cell r="J415">
            <v>11</v>
          </cell>
          <cell r="K415">
            <v>16</v>
          </cell>
          <cell r="L415">
            <v>123.45</v>
          </cell>
          <cell r="M415">
            <v>31</v>
          </cell>
          <cell r="N415">
            <v>31.4</v>
          </cell>
          <cell r="O415">
            <v>10</v>
          </cell>
          <cell r="P415">
            <v>23.2</v>
          </cell>
          <cell r="S415">
            <v>14.2</v>
          </cell>
          <cell r="T415">
            <v>31.5</v>
          </cell>
          <cell r="U415">
            <v>2</v>
          </cell>
        </row>
        <row r="416">
          <cell r="B416" t="str">
            <v>Female</v>
          </cell>
          <cell r="F416">
            <v>2</v>
          </cell>
          <cell r="G416">
            <v>22.5</v>
          </cell>
          <cell r="H416">
            <v>5.6</v>
          </cell>
          <cell r="I416">
            <v>67.2</v>
          </cell>
          <cell r="J416">
            <v>0</v>
          </cell>
          <cell r="K416">
            <v>5.2</v>
          </cell>
          <cell r="L416">
            <v>121.94</v>
          </cell>
          <cell r="M416">
            <v>10</v>
          </cell>
          <cell r="N416">
            <v>57.24</v>
          </cell>
          <cell r="O416">
            <v>4.9000000000000004</v>
          </cell>
          <cell r="P416">
            <v>8.4</v>
          </cell>
          <cell r="S416">
            <v>11.5</v>
          </cell>
          <cell r="T416">
            <v>1.7</v>
          </cell>
          <cell r="U416">
            <v>2</v>
          </cell>
        </row>
        <row r="417">
          <cell r="B417" t="str">
            <v>Male</v>
          </cell>
          <cell r="F417">
            <v>8</v>
          </cell>
          <cell r="G417">
            <v>27.8</v>
          </cell>
          <cell r="H417">
            <v>9.3000000000000007</v>
          </cell>
          <cell r="I417">
            <v>55</v>
          </cell>
          <cell r="J417">
            <v>3</v>
          </cell>
          <cell r="K417">
            <v>10</v>
          </cell>
          <cell r="L417">
            <v>88.28</v>
          </cell>
          <cell r="M417">
            <v>23</v>
          </cell>
          <cell r="N417">
            <v>65.599999999999994</v>
          </cell>
          <cell r="O417">
            <v>6.4</v>
          </cell>
          <cell r="S417">
            <v>18.3</v>
          </cell>
          <cell r="T417">
            <v>13</v>
          </cell>
          <cell r="U417">
            <v>1</v>
          </cell>
        </row>
        <row r="418">
          <cell r="B418" t="str">
            <v>Male</v>
          </cell>
          <cell r="F418">
            <v>1</v>
          </cell>
          <cell r="G418">
            <v>23.8</v>
          </cell>
          <cell r="H418">
            <v>8.8000000000000007</v>
          </cell>
          <cell r="I418">
            <v>53.8</v>
          </cell>
          <cell r="J418">
            <v>2</v>
          </cell>
          <cell r="K418">
            <v>14</v>
          </cell>
          <cell r="L418">
            <v>246.41</v>
          </cell>
          <cell r="M418">
            <v>3</v>
          </cell>
          <cell r="N418">
            <v>56</v>
          </cell>
          <cell r="O418">
            <v>13.8</v>
          </cell>
          <cell r="P418">
            <v>11.2</v>
          </cell>
          <cell r="S418">
            <v>16.3</v>
          </cell>
          <cell r="T418">
            <v>9.5</v>
          </cell>
          <cell r="U418">
            <v>1</v>
          </cell>
        </row>
        <row r="419">
          <cell r="B419" t="str">
            <v>Female</v>
          </cell>
          <cell r="F419">
            <v>4</v>
          </cell>
          <cell r="H419">
            <v>12.9</v>
          </cell>
          <cell r="I419">
            <v>74.3</v>
          </cell>
          <cell r="J419">
            <v>3</v>
          </cell>
          <cell r="K419">
            <v>10.4</v>
          </cell>
          <cell r="L419">
            <v>126.6</v>
          </cell>
          <cell r="M419">
            <v>69</v>
          </cell>
          <cell r="N419">
            <v>13.68</v>
          </cell>
          <cell r="O419">
            <v>5.0999999999999996</v>
          </cell>
          <cell r="P419">
            <v>17.899999999999999</v>
          </cell>
          <cell r="S419">
            <v>15.8</v>
          </cell>
          <cell r="T419">
            <v>16</v>
          </cell>
          <cell r="U419">
            <v>2</v>
          </cell>
        </row>
        <row r="420">
          <cell r="B420" t="str">
            <v>Female</v>
          </cell>
          <cell r="F420">
            <v>2</v>
          </cell>
          <cell r="H420">
            <v>6.4</v>
          </cell>
          <cell r="I420">
            <v>75.7</v>
          </cell>
          <cell r="J420">
            <v>2</v>
          </cell>
          <cell r="K420">
            <v>6</v>
          </cell>
          <cell r="L420">
            <v>182.09</v>
          </cell>
          <cell r="M420">
            <v>24</v>
          </cell>
          <cell r="N420">
            <v>45.3</v>
          </cell>
          <cell r="O420">
            <v>11.2</v>
          </cell>
          <cell r="P420">
            <v>0</v>
          </cell>
          <cell r="S420">
            <v>0</v>
          </cell>
          <cell r="T420">
            <v>11.6</v>
          </cell>
          <cell r="U420">
            <v>2</v>
          </cell>
        </row>
        <row r="421">
          <cell r="B421" t="str">
            <v>Female</v>
          </cell>
          <cell r="F421">
            <v>22</v>
          </cell>
          <cell r="G421">
            <v>34.799999999999997</v>
          </cell>
          <cell r="H421">
            <v>10.199999999999999</v>
          </cell>
          <cell r="I421">
            <v>38.1</v>
          </cell>
          <cell r="J421">
            <v>6</v>
          </cell>
          <cell r="K421">
            <v>98</v>
          </cell>
          <cell r="L421">
            <v>202.45</v>
          </cell>
          <cell r="M421">
            <v>89</v>
          </cell>
          <cell r="N421">
            <v>13.9</v>
          </cell>
          <cell r="O421" t="str">
            <v>80.87676376557391</v>
          </cell>
          <cell r="P421">
            <v>22.4</v>
          </cell>
          <cell r="S421">
            <v>10.4</v>
          </cell>
          <cell r="T421">
            <v>28.3</v>
          </cell>
          <cell r="U421">
            <v>5</v>
          </cell>
        </row>
        <row r="422">
          <cell r="B422" t="str">
            <v>Female</v>
          </cell>
          <cell r="F422">
            <v>11</v>
          </cell>
          <cell r="G422">
            <v>23.3</v>
          </cell>
          <cell r="H422">
            <v>6.4</v>
          </cell>
          <cell r="I422">
            <v>79.7</v>
          </cell>
          <cell r="J422">
            <v>5</v>
          </cell>
          <cell r="K422">
            <v>8</v>
          </cell>
          <cell r="L422">
            <v>112.01</v>
          </cell>
          <cell r="M422">
            <v>22</v>
          </cell>
          <cell r="N422">
            <v>49.8</v>
          </cell>
          <cell r="O422">
            <v>3.4</v>
          </cell>
          <cell r="P422">
            <v>32.6</v>
          </cell>
          <cell r="S422">
            <v>3.6</v>
          </cell>
          <cell r="T422">
            <v>19.2</v>
          </cell>
          <cell r="U422">
            <v>3</v>
          </cell>
        </row>
        <row r="423">
          <cell r="B423" t="str">
            <v>Female</v>
          </cell>
          <cell r="F423">
            <v>14</v>
          </cell>
          <cell r="G423">
            <v>30.9</v>
          </cell>
          <cell r="H423">
            <v>5.9</v>
          </cell>
          <cell r="I423">
            <v>24.6</v>
          </cell>
          <cell r="J423">
            <v>7</v>
          </cell>
          <cell r="K423">
            <v>12</v>
          </cell>
          <cell r="L423">
            <v>88.93</v>
          </cell>
          <cell r="M423">
            <v>31</v>
          </cell>
          <cell r="N423">
            <v>26.9</v>
          </cell>
          <cell r="O423">
            <v>7.4</v>
          </cell>
          <cell r="P423">
            <v>19.7</v>
          </cell>
          <cell r="S423">
            <v>26</v>
          </cell>
          <cell r="T423">
            <v>18.3</v>
          </cell>
          <cell r="U423">
            <v>4</v>
          </cell>
        </row>
        <row r="424">
          <cell r="B424" t="str">
            <v>Male</v>
          </cell>
          <cell r="F424">
            <v>10</v>
          </cell>
          <cell r="G424">
            <v>30.7</v>
          </cell>
          <cell r="H424">
            <v>11.2</v>
          </cell>
          <cell r="I424">
            <v>50.8</v>
          </cell>
          <cell r="J424">
            <v>5</v>
          </cell>
          <cell r="K424">
            <v>14</v>
          </cell>
          <cell r="L424">
            <v>57.82</v>
          </cell>
          <cell r="M424">
            <v>4</v>
          </cell>
          <cell r="N424">
            <v>63.6</v>
          </cell>
          <cell r="O424">
            <v>9.1</v>
          </cell>
          <cell r="P424">
            <v>35.299999999999997</v>
          </cell>
          <cell r="S424">
            <v>14.4</v>
          </cell>
          <cell r="T424">
            <v>17.2</v>
          </cell>
          <cell r="U424">
            <v>2</v>
          </cell>
        </row>
        <row r="425">
          <cell r="B425" t="str">
            <v>Female</v>
          </cell>
          <cell r="F425">
            <v>2</v>
          </cell>
          <cell r="G425">
            <v>18.100000000000001</v>
          </cell>
          <cell r="I425">
            <v>56.1</v>
          </cell>
          <cell r="J425">
            <v>0</v>
          </cell>
          <cell r="K425" t="str">
            <v>7.800000000000001</v>
          </cell>
          <cell r="L425">
            <v>94.05</v>
          </cell>
          <cell r="M425">
            <v>20</v>
          </cell>
          <cell r="N425">
            <v>65.28</v>
          </cell>
          <cell r="O425">
            <v>3</v>
          </cell>
          <cell r="P425">
            <v>16.3</v>
          </cell>
          <cell r="S425">
            <v>0</v>
          </cell>
          <cell r="T425">
            <v>11.8</v>
          </cell>
          <cell r="U425">
            <v>4</v>
          </cell>
        </row>
        <row r="426">
          <cell r="B426" t="str">
            <v>Male</v>
          </cell>
          <cell r="F426">
            <v>4</v>
          </cell>
          <cell r="G426">
            <v>11.3</v>
          </cell>
          <cell r="H426">
            <v>5.5</v>
          </cell>
          <cell r="I426">
            <v>75.900000000000006</v>
          </cell>
          <cell r="J426">
            <v>1</v>
          </cell>
          <cell r="K426">
            <v>6</v>
          </cell>
          <cell r="L426">
            <v>133.83000000000001</v>
          </cell>
          <cell r="M426">
            <v>45</v>
          </cell>
          <cell r="N426">
            <v>48</v>
          </cell>
          <cell r="O426">
            <v>0.6</v>
          </cell>
          <cell r="P426">
            <v>16.3</v>
          </cell>
          <cell r="T426">
            <v>7.6</v>
          </cell>
        </row>
        <row r="427">
          <cell r="B427" t="str">
            <v>Female</v>
          </cell>
          <cell r="F427">
            <v>7</v>
          </cell>
          <cell r="G427">
            <v>20.7</v>
          </cell>
          <cell r="H427">
            <v>6</v>
          </cell>
          <cell r="I427">
            <v>63.3</v>
          </cell>
          <cell r="J427">
            <v>4</v>
          </cell>
          <cell r="K427">
            <v>8</v>
          </cell>
          <cell r="L427">
            <v>194.17</v>
          </cell>
          <cell r="M427">
            <v>27</v>
          </cell>
          <cell r="N427">
            <v>55.2</v>
          </cell>
          <cell r="O427">
            <v>5.5</v>
          </cell>
          <cell r="P427">
            <v>6.3</v>
          </cell>
          <cell r="S427">
            <v>5.5</v>
          </cell>
          <cell r="T427">
            <v>11</v>
          </cell>
          <cell r="U427">
            <v>4</v>
          </cell>
        </row>
        <row r="428">
          <cell r="B428" t="str">
            <v>Female</v>
          </cell>
          <cell r="F428">
            <v>12</v>
          </cell>
          <cell r="G428">
            <v>39.700000000000003</v>
          </cell>
          <cell r="H428">
            <v>7.8</v>
          </cell>
          <cell r="I428">
            <v>61.8</v>
          </cell>
          <cell r="J428">
            <v>8</v>
          </cell>
          <cell r="K428">
            <v>10</v>
          </cell>
          <cell r="L428">
            <v>173.29</v>
          </cell>
          <cell r="M428">
            <v>27</v>
          </cell>
          <cell r="N428">
            <v>45.4</v>
          </cell>
          <cell r="O428">
            <v>3</v>
          </cell>
          <cell r="P428">
            <v>22.3</v>
          </cell>
          <cell r="S428">
            <v>31.7</v>
          </cell>
          <cell r="T428">
            <v>27.7</v>
          </cell>
          <cell r="U428">
            <v>1</v>
          </cell>
        </row>
        <row r="429">
          <cell r="B429" t="str">
            <v>Female</v>
          </cell>
          <cell r="F429">
            <v>14</v>
          </cell>
          <cell r="G429">
            <v>19.8</v>
          </cell>
          <cell r="H429">
            <v>7.8</v>
          </cell>
          <cell r="I429">
            <v>47.3</v>
          </cell>
          <cell r="K429">
            <v>22</v>
          </cell>
          <cell r="L429">
            <v>144.01</v>
          </cell>
          <cell r="M429">
            <v>42</v>
          </cell>
          <cell r="N429">
            <v>42.3</v>
          </cell>
          <cell r="O429">
            <v>6.4</v>
          </cell>
          <cell r="P429">
            <v>20.8</v>
          </cell>
          <cell r="S429">
            <v>49</v>
          </cell>
          <cell r="T429">
            <v>12</v>
          </cell>
          <cell r="U429">
            <v>2</v>
          </cell>
        </row>
        <row r="430">
          <cell r="B430" t="str">
            <v>Female</v>
          </cell>
          <cell r="F430">
            <v>2</v>
          </cell>
          <cell r="G430">
            <v>13.5</v>
          </cell>
          <cell r="H430">
            <v>5.9</v>
          </cell>
          <cell r="I430">
            <v>48.6</v>
          </cell>
          <cell r="J430">
            <v>3</v>
          </cell>
          <cell r="K430">
            <v>8</v>
          </cell>
          <cell r="L430">
            <v>54.83</v>
          </cell>
          <cell r="M430">
            <v>11</v>
          </cell>
          <cell r="N430">
            <v>77.5</v>
          </cell>
          <cell r="O430">
            <v>5.6</v>
          </cell>
          <cell r="P430">
            <v>15.1</v>
          </cell>
          <cell r="S430">
            <v>3</v>
          </cell>
          <cell r="T430">
            <v>17.5</v>
          </cell>
          <cell r="U430">
            <v>2</v>
          </cell>
        </row>
        <row r="431">
          <cell r="B431" t="str">
            <v>Female</v>
          </cell>
          <cell r="F431">
            <v>5</v>
          </cell>
          <cell r="G431">
            <v>9.5</v>
          </cell>
          <cell r="H431">
            <v>6.3</v>
          </cell>
          <cell r="I431">
            <v>70.7</v>
          </cell>
          <cell r="K431">
            <v>9</v>
          </cell>
          <cell r="L431">
            <v>226.74</v>
          </cell>
          <cell r="M431">
            <v>44</v>
          </cell>
          <cell r="N431">
            <v>6.8</v>
          </cell>
          <cell r="O431">
            <v>9.1</v>
          </cell>
          <cell r="S431">
            <v>13.7</v>
          </cell>
          <cell r="T431">
            <v>12.6</v>
          </cell>
          <cell r="U431">
            <v>3</v>
          </cell>
        </row>
        <row r="432">
          <cell r="B432" t="str">
            <v>Male</v>
          </cell>
          <cell r="F432">
            <v>14</v>
          </cell>
          <cell r="G432">
            <v>31.2</v>
          </cell>
          <cell r="H432">
            <v>9.4</v>
          </cell>
          <cell r="I432">
            <v>52.5</v>
          </cell>
          <cell r="J432">
            <v>3</v>
          </cell>
          <cell r="K432">
            <v>10</v>
          </cell>
          <cell r="L432">
            <v>90.96</v>
          </cell>
          <cell r="M432">
            <v>19</v>
          </cell>
          <cell r="N432">
            <v>59.8</v>
          </cell>
          <cell r="O432">
            <v>15.2</v>
          </cell>
          <cell r="P432">
            <v>28</v>
          </cell>
          <cell r="S432">
            <v>13.5</v>
          </cell>
          <cell r="T432">
            <v>22.3</v>
          </cell>
          <cell r="U432">
            <v>2</v>
          </cell>
        </row>
        <row r="433">
          <cell r="B433" t="str">
            <v>Male</v>
          </cell>
          <cell r="F433">
            <v>13</v>
          </cell>
          <cell r="H433">
            <v>12</v>
          </cell>
          <cell r="I433">
            <v>66.3</v>
          </cell>
          <cell r="J433">
            <v>2</v>
          </cell>
          <cell r="K433">
            <v>18</v>
          </cell>
          <cell r="L433">
            <v>99.59</v>
          </cell>
          <cell r="M433">
            <v>85</v>
          </cell>
          <cell r="N433">
            <v>32.1</v>
          </cell>
          <cell r="O433">
            <v>3.5</v>
          </cell>
          <cell r="P433">
            <v>4.8</v>
          </cell>
          <cell r="S433">
            <v>72.7</v>
          </cell>
          <cell r="T433">
            <v>22.7</v>
          </cell>
          <cell r="U433">
            <v>2</v>
          </cell>
        </row>
        <row r="434">
          <cell r="B434" t="str">
            <v>Female</v>
          </cell>
          <cell r="F434">
            <v>23</v>
          </cell>
          <cell r="G434">
            <v>23</v>
          </cell>
          <cell r="H434">
            <v>7.3</v>
          </cell>
          <cell r="I434">
            <v>59</v>
          </cell>
          <cell r="J434">
            <v>4</v>
          </cell>
          <cell r="K434" t="str">
            <v>11.700000000000001</v>
          </cell>
          <cell r="L434">
            <v>65.02</v>
          </cell>
          <cell r="M434">
            <v>23</v>
          </cell>
          <cell r="N434">
            <v>60.84</v>
          </cell>
          <cell r="O434">
            <v>9.5</v>
          </cell>
          <cell r="P434">
            <v>25.5</v>
          </cell>
          <cell r="S434">
            <v>54.4</v>
          </cell>
          <cell r="T434">
            <v>20.9</v>
          </cell>
          <cell r="U434">
            <v>4</v>
          </cell>
        </row>
        <row r="435">
          <cell r="B435" t="str">
            <v>Male</v>
          </cell>
          <cell r="F435">
            <v>17</v>
          </cell>
          <cell r="G435">
            <v>28.6</v>
          </cell>
          <cell r="H435">
            <v>8.6</v>
          </cell>
          <cell r="I435">
            <v>50.3</v>
          </cell>
          <cell r="J435">
            <v>3</v>
          </cell>
          <cell r="K435">
            <v>9</v>
          </cell>
          <cell r="L435">
            <v>120.18</v>
          </cell>
          <cell r="M435">
            <v>17</v>
          </cell>
          <cell r="O435">
            <v>3.6</v>
          </cell>
          <cell r="P435">
            <v>17.8</v>
          </cell>
          <cell r="S435">
            <v>6.5</v>
          </cell>
          <cell r="T435">
            <v>19.100000000000001</v>
          </cell>
          <cell r="U435">
            <v>2</v>
          </cell>
        </row>
        <row r="436">
          <cell r="B436" t="str">
            <v>Female</v>
          </cell>
          <cell r="F436">
            <v>12</v>
          </cell>
          <cell r="G436">
            <v>17.2</v>
          </cell>
          <cell r="H436">
            <v>7.3</v>
          </cell>
          <cell r="I436">
            <v>71.8</v>
          </cell>
          <cell r="J436">
            <v>1</v>
          </cell>
          <cell r="K436">
            <v>10.4</v>
          </cell>
          <cell r="L436">
            <v>114.24</v>
          </cell>
          <cell r="M436">
            <v>80</v>
          </cell>
          <cell r="N436">
            <v>26.88</v>
          </cell>
          <cell r="O436">
            <v>4</v>
          </cell>
          <cell r="P436">
            <v>2.5</v>
          </cell>
          <cell r="S436">
            <v>22.6</v>
          </cell>
          <cell r="T436">
            <v>9</v>
          </cell>
          <cell r="U436">
            <v>2</v>
          </cell>
        </row>
        <row r="437">
          <cell r="B437" t="str">
            <v>Male</v>
          </cell>
          <cell r="F437">
            <v>16</v>
          </cell>
          <cell r="G437">
            <v>33.9</v>
          </cell>
          <cell r="H437">
            <v>9.9</v>
          </cell>
          <cell r="I437">
            <v>22.9</v>
          </cell>
          <cell r="J437">
            <v>10</v>
          </cell>
          <cell r="K437">
            <v>20</v>
          </cell>
          <cell r="L437">
            <v>105.56</v>
          </cell>
          <cell r="M437">
            <v>1</v>
          </cell>
          <cell r="O437">
            <v>2.6</v>
          </cell>
          <cell r="P437">
            <v>24.1</v>
          </cell>
          <cell r="S437">
            <v>74.900000000000006</v>
          </cell>
          <cell r="T437">
            <v>32.6</v>
          </cell>
          <cell r="U437">
            <v>1</v>
          </cell>
        </row>
        <row r="438">
          <cell r="B438" t="str">
            <v>Male</v>
          </cell>
          <cell r="F438">
            <v>14</v>
          </cell>
          <cell r="G438">
            <v>39.5</v>
          </cell>
          <cell r="H438">
            <v>5.8</v>
          </cell>
          <cell r="I438">
            <v>58.4</v>
          </cell>
          <cell r="J438">
            <v>4</v>
          </cell>
          <cell r="K438" t="str">
            <v>11.700000000000001</v>
          </cell>
          <cell r="L438">
            <v>68.680000000000007</v>
          </cell>
          <cell r="M438">
            <v>30</v>
          </cell>
          <cell r="N438">
            <v>32.159999999999997</v>
          </cell>
          <cell r="O438">
            <v>0.4</v>
          </cell>
          <cell r="P438">
            <v>1</v>
          </cell>
          <cell r="S438">
            <v>21.1</v>
          </cell>
          <cell r="T438">
            <v>25.7</v>
          </cell>
          <cell r="U438">
            <v>2</v>
          </cell>
        </row>
        <row r="439">
          <cell r="B439" t="str">
            <v>Female</v>
          </cell>
          <cell r="F439">
            <v>12</v>
          </cell>
          <cell r="G439">
            <v>20.3</v>
          </cell>
          <cell r="H439">
            <v>7.9</v>
          </cell>
          <cell r="I439">
            <v>52.5</v>
          </cell>
          <cell r="J439">
            <v>7</v>
          </cell>
          <cell r="K439">
            <v>9</v>
          </cell>
          <cell r="L439">
            <v>105</v>
          </cell>
          <cell r="M439">
            <v>2</v>
          </cell>
          <cell r="N439">
            <v>44.1</v>
          </cell>
          <cell r="O439">
            <v>3.2</v>
          </cell>
          <cell r="P439">
            <v>21.6</v>
          </cell>
          <cell r="S439">
            <v>40.299999999999997</v>
          </cell>
          <cell r="T439">
            <v>16.600000000000001</v>
          </cell>
          <cell r="U439">
            <v>1</v>
          </cell>
        </row>
        <row r="440">
          <cell r="B440" t="str">
            <v>Female</v>
          </cell>
          <cell r="F440">
            <v>0</v>
          </cell>
          <cell r="G440">
            <v>12.4</v>
          </cell>
          <cell r="H440">
            <v>6.4</v>
          </cell>
          <cell r="I440">
            <v>64.599999999999994</v>
          </cell>
          <cell r="J440">
            <v>1</v>
          </cell>
          <cell r="K440">
            <v>2</v>
          </cell>
          <cell r="L440">
            <v>132.29</v>
          </cell>
          <cell r="N440">
            <v>9.8000000000000007</v>
          </cell>
          <cell r="O440">
            <v>11.2</v>
          </cell>
          <cell r="P440">
            <v>6</v>
          </cell>
          <cell r="T440">
            <v>6.5</v>
          </cell>
          <cell r="U440">
            <v>4</v>
          </cell>
        </row>
        <row r="441">
          <cell r="B441" t="str">
            <v>Female</v>
          </cell>
          <cell r="F441">
            <v>0</v>
          </cell>
          <cell r="G441">
            <v>16.7</v>
          </cell>
          <cell r="H441">
            <v>10.5</v>
          </cell>
          <cell r="I441">
            <v>82</v>
          </cell>
          <cell r="J441">
            <v>1</v>
          </cell>
          <cell r="K441">
            <v>4</v>
          </cell>
          <cell r="L441">
            <v>145.13999999999999</v>
          </cell>
          <cell r="M441">
            <v>5</v>
          </cell>
          <cell r="N441">
            <v>26.4</v>
          </cell>
          <cell r="O441">
            <v>3</v>
          </cell>
          <cell r="P441">
            <v>7.2</v>
          </cell>
          <cell r="S441">
            <v>0</v>
          </cell>
          <cell r="T441">
            <v>13.4</v>
          </cell>
          <cell r="U441">
            <v>2</v>
          </cell>
        </row>
        <row r="442">
          <cell r="B442" t="str">
            <v>Female</v>
          </cell>
          <cell r="F442">
            <v>17</v>
          </cell>
          <cell r="G442">
            <v>31.5</v>
          </cell>
          <cell r="H442">
            <v>7.7</v>
          </cell>
          <cell r="I442">
            <v>45.7</v>
          </cell>
          <cell r="J442">
            <v>5</v>
          </cell>
          <cell r="K442">
            <v>13</v>
          </cell>
          <cell r="L442">
            <v>78.599999999999994</v>
          </cell>
          <cell r="M442">
            <v>37</v>
          </cell>
          <cell r="N442">
            <v>66.3</v>
          </cell>
          <cell r="O442">
            <v>8.5</v>
          </cell>
          <cell r="P442">
            <v>21</v>
          </cell>
          <cell r="S442">
            <v>22</v>
          </cell>
          <cell r="T442">
            <v>24.9</v>
          </cell>
          <cell r="U442">
            <v>3</v>
          </cell>
        </row>
        <row r="443">
          <cell r="B443" t="str">
            <v>Female</v>
          </cell>
          <cell r="F443">
            <v>21</v>
          </cell>
          <cell r="G443">
            <v>26</v>
          </cell>
          <cell r="H443">
            <v>7.2</v>
          </cell>
          <cell r="I443">
            <v>73.900000000000006</v>
          </cell>
          <cell r="J443">
            <v>6</v>
          </cell>
          <cell r="K443">
            <v>10.4</v>
          </cell>
          <cell r="L443">
            <v>105.36</v>
          </cell>
          <cell r="M443">
            <v>53</v>
          </cell>
          <cell r="N443">
            <v>14.04</v>
          </cell>
          <cell r="O443">
            <v>1.6</v>
          </cell>
          <cell r="P443">
            <v>16.5</v>
          </cell>
          <cell r="S443">
            <v>9.6999999999999993</v>
          </cell>
          <cell r="T443">
            <v>14.6</v>
          </cell>
          <cell r="U443">
            <v>1</v>
          </cell>
        </row>
        <row r="444">
          <cell r="B444" t="str">
            <v>Female</v>
          </cell>
          <cell r="F444">
            <v>6</v>
          </cell>
          <cell r="G444">
            <v>24.9</v>
          </cell>
          <cell r="H444">
            <v>10.8</v>
          </cell>
          <cell r="I444">
            <v>40.5</v>
          </cell>
          <cell r="J444">
            <v>2</v>
          </cell>
          <cell r="K444">
            <v>15</v>
          </cell>
          <cell r="L444">
            <v>124.64</v>
          </cell>
          <cell r="M444">
            <v>49</v>
          </cell>
          <cell r="N444">
            <v>29.9</v>
          </cell>
          <cell r="O444">
            <v>13.5</v>
          </cell>
          <cell r="P444">
            <v>17.899999999999999</v>
          </cell>
          <cell r="S444">
            <v>17.899999999999999</v>
          </cell>
          <cell r="T444">
            <v>17</v>
          </cell>
          <cell r="U444">
            <v>2</v>
          </cell>
        </row>
        <row r="445">
          <cell r="B445" t="str">
            <v>Female</v>
          </cell>
          <cell r="F445">
            <v>10</v>
          </cell>
          <cell r="G445">
            <v>21.2</v>
          </cell>
          <cell r="H445">
            <v>12.1</v>
          </cell>
          <cell r="I445">
            <v>74</v>
          </cell>
          <cell r="J445">
            <v>2</v>
          </cell>
          <cell r="K445">
            <v>14.3</v>
          </cell>
          <cell r="L445">
            <v>88.57</v>
          </cell>
          <cell r="M445">
            <v>6</v>
          </cell>
          <cell r="N445">
            <v>40.92</v>
          </cell>
          <cell r="P445">
            <v>26.9</v>
          </cell>
          <cell r="S445">
            <v>30.7</v>
          </cell>
          <cell r="T445">
            <v>20.2</v>
          </cell>
          <cell r="U445">
            <v>3</v>
          </cell>
        </row>
        <row r="446">
          <cell r="B446" t="str">
            <v>Female</v>
          </cell>
          <cell r="F446">
            <v>19</v>
          </cell>
          <cell r="G446">
            <v>25.8</v>
          </cell>
          <cell r="H446">
            <v>14.1</v>
          </cell>
          <cell r="I446">
            <v>51.7</v>
          </cell>
          <cell r="K446">
            <v>19.5</v>
          </cell>
          <cell r="L446">
            <v>155.52000000000001</v>
          </cell>
          <cell r="M446">
            <v>27</v>
          </cell>
          <cell r="N446">
            <v>73.92</v>
          </cell>
          <cell r="P446">
            <v>30.1</v>
          </cell>
          <cell r="S446">
            <v>26.6</v>
          </cell>
          <cell r="T446">
            <v>28.5</v>
          </cell>
          <cell r="U446">
            <v>4</v>
          </cell>
        </row>
        <row r="447">
          <cell r="B447" t="str">
            <v>Female</v>
          </cell>
          <cell r="F447">
            <v>20</v>
          </cell>
          <cell r="G447">
            <v>45.6</v>
          </cell>
          <cell r="I447">
            <v>29.9</v>
          </cell>
          <cell r="K447">
            <v>22.1</v>
          </cell>
          <cell r="L447">
            <v>171.17</v>
          </cell>
          <cell r="M447">
            <v>134</v>
          </cell>
          <cell r="N447">
            <v>37.92</v>
          </cell>
          <cell r="O447">
            <v>1.8</v>
          </cell>
          <cell r="P447">
            <v>37.799999999999997</v>
          </cell>
          <cell r="S447">
            <v>46.2</v>
          </cell>
          <cell r="U447">
            <v>3</v>
          </cell>
        </row>
        <row r="448">
          <cell r="B448" t="str">
            <v>Male</v>
          </cell>
          <cell r="F448">
            <v>20</v>
          </cell>
          <cell r="G448">
            <v>43.2</v>
          </cell>
          <cell r="H448">
            <v>12.5</v>
          </cell>
          <cell r="I448">
            <v>28.2</v>
          </cell>
          <cell r="J448">
            <v>7</v>
          </cell>
          <cell r="K448">
            <v>26</v>
          </cell>
          <cell r="L448">
            <v>193</v>
          </cell>
          <cell r="M448">
            <v>43</v>
          </cell>
          <cell r="N448">
            <v>43.92</v>
          </cell>
          <cell r="O448">
            <v>14.1</v>
          </cell>
          <cell r="P448">
            <v>27.3</v>
          </cell>
          <cell r="S448">
            <v>46.9</v>
          </cell>
          <cell r="T448">
            <v>33.799999999999997</v>
          </cell>
          <cell r="U448">
            <v>2</v>
          </cell>
        </row>
        <row r="449">
          <cell r="B449" t="str">
            <v>Male</v>
          </cell>
          <cell r="F449">
            <v>10</v>
          </cell>
          <cell r="G449">
            <v>26.9</v>
          </cell>
          <cell r="H449">
            <v>11.2</v>
          </cell>
          <cell r="I449">
            <v>55.5</v>
          </cell>
          <cell r="J449">
            <v>6</v>
          </cell>
          <cell r="K449">
            <v>13</v>
          </cell>
          <cell r="L449">
            <v>200.61</v>
          </cell>
          <cell r="N449">
            <v>6.8</v>
          </cell>
          <cell r="P449">
            <v>15.8</v>
          </cell>
          <cell r="S449">
            <v>26.2</v>
          </cell>
          <cell r="T449">
            <v>22.7</v>
          </cell>
          <cell r="U449">
            <v>1</v>
          </cell>
        </row>
        <row r="450">
          <cell r="B450" t="str">
            <v>Male</v>
          </cell>
          <cell r="F450">
            <v>23</v>
          </cell>
          <cell r="G450">
            <v>49.3</v>
          </cell>
          <cell r="H450">
            <v>12.2</v>
          </cell>
          <cell r="I450">
            <v>38.700000000000003</v>
          </cell>
          <cell r="J450">
            <v>13</v>
          </cell>
          <cell r="K450">
            <v>21</v>
          </cell>
          <cell r="L450">
            <v>125.29</v>
          </cell>
          <cell r="M450">
            <v>6</v>
          </cell>
          <cell r="N450">
            <v>14</v>
          </cell>
          <cell r="O450">
            <v>5</v>
          </cell>
          <cell r="P450">
            <v>35.6</v>
          </cell>
          <cell r="T450">
            <v>37.5</v>
          </cell>
          <cell r="U450">
            <v>2</v>
          </cell>
        </row>
        <row r="451">
          <cell r="B451" t="str">
            <v>Female</v>
          </cell>
          <cell r="F451">
            <v>12</v>
          </cell>
          <cell r="G451">
            <v>33.6</v>
          </cell>
          <cell r="H451">
            <v>6.2</v>
          </cell>
          <cell r="I451">
            <v>53.5</v>
          </cell>
          <cell r="J451">
            <v>5</v>
          </cell>
          <cell r="K451">
            <v>15</v>
          </cell>
          <cell r="L451">
            <v>109.11</v>
          </cell>
          <cell r="M451">
            <v>26</v>
          </cell>
          <cell r="N451">
            <v>69.8</v>
          </cell>
          <cell r="O451">
            <v>3.4</v>
          </cell>
          <cell r="P451">
            <v>19.8</v>
          </cell>
          <cell r="S451">
            <v>20</v>
          </cell>
          <cell r="T451">
            <v>24.1</v>
          </cell>
          <cell r="U451">
            <v>1</v>
          </cell>
        </row>
        <row r="452">
          <cell r="B452" t="str">
            <v>Female</v>
          </cell>
          <cell r="F452">
            <v>0</v>
          </cell>
          <cell r="H452">
            <v>5.4</v>
          </cell>
          <cell r="I452">
            <v>70.599999999999994</v>
          </cell>
          <cell r="J452">
            <v>2</v>
          </cell>
          <cell r="K452">
            <v>4</v>
          </cell>
          <cell r="L452">
            <v>80.239999999999995</v>
          </cell>
          <cell r="M452">
            <v>49</v>
          </cell>
          <cell r="N452">
            <v>13.8</v>
          </cell>
          <cell r="O452">
            <v>11</v>
          </cell>
          <cell r="P452">
            <v>16.5</v>
          </cell>
          <cell r="S452">
            <v>21.6</v>
          </cell>
          <cell r="T452">
            <v>2.5</v>
          </cell>
          <cell r="U452">
            <v>1</v>
          </cell>
        </row>
        <row r="453">
          <cell r="B453" t="str">
            <v>Male</v>
          </cell>
          <cell r="F453">
            <v>3</v>
          </cell>
          <cell r="G453">
            <v>14.8</v>
          </cell>
          <cell r="H453">
            <v>6.1</v>
          </cell>
          <cell r="I453">
            <v>85.4</v>
          </cell>
          <cell r="J453">
            <v>2</v>
          </cell>
          <cell r="K453">
            <v>9.1</v>
          </cell>
          <cell r="L453">
            <v>64.989999999999995</v>
          </cell>
          <cell r="M453">
            <v>27</v>
          </cell>
          <cell r="N453">
            <v>46.32</v>
          </cell>
          <cell r="O453">
            <v>15.2</v>
          </cell>
          <cell r="P453">
            <v>26</v>
          </cell>
          <cell r="S453">
            <v>0</v>
          </cell>
          <cell r="T453">
            <v>14</v>
          </cell>
          <cell r="U453">
            <v>3</v>
          </cell>
        </row>
        <row r="454">
          <cell r="B454" t="str">
            <v>Female</v>
          </cell>
          <cell r="F454">
            <v>13</v>
          </cell>
          <cell r="G454">
            <v>16</v>
          </cell>
          <cell r="I454">
            <v>76.099999999999994</v>
          </cell>
          <cell r="J454">
            <v>0</v>
          </cell>
          <cell r="K454">
            <v>4</v>
          </cell>
          <cell r="L454">
            <v>87.55</v>
          </cell>
          <cell r="N454">
            <v>24.4</v>
          </cell>
          <cell r="O454">
            <v>6.5</v>
          </cell>
          <cell r="P454">
            <v>0</v>
          </cell>
          <cell r="S454">
            <v>14.1</v>
          </cell>
          <cell r="T454">
            <v>13.5</v>
          </cell>
          <cell r="U454">
            <v>4</v>
          </cell>
        </row>
        <row r="455">
          <cell r="B455" t="str">
            <v>Female</v>
          </cell>
          <cell r="F455">
            <v>17</v>
          </cell>
          <cell r="G455">
            <v>40.4</v>
          </cell>
          <cell r="H455">
            <v>13</v>
          </cell>
          <cell r="I455">
            <v>38.1</v>
          </cell>
          <cell r="J455">
            <v>10</v>
          </cell>
          <cell r="K455">
            <v>16</v>
          </cell>
          <cell r="L455">
            <v>237.98</v>
          </cell>
          <cell r="M455">
            <v>50</v>
          </cell>
          <cell r="N455">
            <v>38</v>
          </cell>
          <cell r="O455">
            <v>8.8000000000000007</v>
          </cell>
          <cell r="P455">
            <v>45.2</v>
          </cell>
          <cell r="S455">
            <v>77.599999999999994</v>
          </cell>
          <cell r="U455">
            <v>1</v>
          </cell>
        </row>
        <row r="456">
          <cell r="B456" t="str">
            <v>Male</v>
          </cell>
          <cell r="F456">
            <v>3</v>
          </cell>
          <cell r="G456">
            <v>6.7</v>
          </cell>
          <cell r="H456">
            <v>4.2</v>
          </cell>
          <cell r="I456">
            <v>58</v>
          </cell>
          <cell r="J456">
            <v>1</v>
          </cell>
          <cell r="K456">
            <v>5.2</v>
          </cell>
          <cell r="L456">
            <v>74.47</v>
          </cell>
          <cell r="M456">
            <v>20</v>
          </cell>
          <cell r="N456" t="str">
            <v>30.599999999999998</v>
          </cell>
          <cell r="O456">
            <v>13.8</v>
          </cell>
          <cell r="P456">
            <v>0</v>
          </cell>
          <cell r="T456">
            <v>10.6</v>
          </cell>
          <cell r="U456">
            <v>4</v>
          </cell>
        </row>
        <row r="457">
          <cell r="B457" t="str">
            <v>Male</v>
          </cell>
          <cell r="F457">
            <v>10</v>
          </cell>
          <cell r="G457">
            <v>18.100000000000001</v>
          </cell>
          <cell r="H457">
            <v>7.7</v>
          </cell>
          <cell r="I457">
            <v>86.5</v>
          </cell>
          <cell r="J457">
            <v>1</v>
          </cell>
          <cell r="K457">
            <v>10.4</v>
          </cell>
          <cell r="L457">
            <v>71.290000000000006</v>
          </cell>
          <cell r="M457">
            <v>11</v>
          </cell>
          <cell r="N457">
            <v>28.92</v>
          </cell>
          <cell r="O457">
            <v>11.4</v>
          </cell>
          <cell r="P457">
            <v>35.5</v>
          </cell>
          <cell r="S457">
            <v>15.1</v>
          </cell>
          <cell r="U457">
            <v>3</v>
          </cell>
        </row>
        <row r="458">
          <cell r="B458" t="str">
            <v>Female</v>
          </cell>
          <cell r="F458">
            <v>14</v>
          </cell>
          <cell r="G458">
            <v>15.4</v>
          </cell>
          <cell r="H458">
            <v>6.1</v>
          </cell>
          <cell r="I458">
            <v>84.1</v>
          </cell>
          <cell r="J458">
            <v>1</v>
          </cell>
          <cell r="K458">
            <v>3</v>
          </cell>
          <cell r="L458">
            <v>131.53</v>
          </cell>
          <cell r="M458">
            <v>31</v>
          </cell>
          <cell r="N458">
            <v>90.8</v>
          </cell>
          <cell r="O458">
            <v>6.7</v>
          </cell>
          <cell r="P458">
            <v>4.0999999999999996</v>
          </cell>
          <cell r="S458">
            <v>14.4</v>
          </cell>
          <cell r="T458">
            <v>12.2</v>
          </cell>
          <cell r="U458">
            <v>4</v>
          </cell>
        </row>
        <row r="459">
          <cell r="B459" t="str">
            <v>Female</v>
          </cell>
          <cell r="F459">
            <v>2</v>
          </cell>
          <cell r="G459">
            <v>15.6</v>
          </cell>
          <cell r="I459">
            <v>72</v>
          </cell>
          <cell r="J459">
            <v>2</v>
          </cell>
          <cell r="K459">
            <v>5</v>
          </cell>
          <cell r="L459">
            <v>139.49</v>
          </cell>
          <cell r="M459">
            <v>6</v>
          </cell>
          <cell r="N459">
            <v>55.4</v>
          </cell>
          <cell r="O459">
            <v>5.8</v>
          </cell>
          <cell r="P459">
            <v>1.5</v>
          </cell>
          <cell r="S459">
            <v>17.5</v>
          </cell>
          <cell r="T459">
            <v>8</v>
          </cell>
          <cell r="U459">
            <v>5</v>
          </cell>
        </row>
        <row r="460">
          <cell r="B460" t="str">
            <v>Female</v>
          </cell>
          <cell r="F460">
            <v>15</v>
          </cell>
          <cell r="G460">
            <v>39.299999999999997</v>
          </cell>
          <cell r="H460">
            <v>14.4</v>
          </cell>
          <cell r="I460">
            <v>41.8</v>
          </cell>
          <cell r="J460">
            <v>9</v>
          </cell>
          <cell r="K460">
            <v>16</v>
          </cell>
          <cell r="L460">
            <v>64.67</v>
          </cell>
          <cell r="M460">
            <v>0</v>
          </cell>
          <cell r="N460">
            <v>10.7</v>
          </cell>
          <cell r="O460">
            <v>4.4000000000000004</v>
          </cell>
          <cell r="P460">
            <v>28.2</v>
          </cell>
          <cell r="S460">
            <v>65.400000000000006</v>
          </cell>
          <cell r="T460">
            <v>27.6</v>
          </cell>
          <cell r="U460">
            <v>2</v>
          </cell>
        </row>
        <row r="461">
          <cell r="B461" t="str">
            <v>Female</v>
          </cell>
          <cell r="F461">
            <v>18</v>
          </cell>
          <cell r="G461">
            <v>46.9</v>
          </cell>
          <cell r="H461">
            <v>18.2</v>
          </cell>
          <cell r="I461">
            <v>26.6</v>
          </cell>
          <cell r="K461">
            <v>22</v>
          </cell>
          <cell r="L461">
            <v>107.09</v>
          </cell>
          <cell r="N461">
            <v>31.3</v>
          </cell>
          <cell r="O461">
            <v>5</v>
          </cell>
          <cell r="P461">
            <v>62.4</v>
          </cell>
          <cell r="S461">
            <v>42.4</v>
          </cell>
          <cell r="U461">
            <v>1</v>
          </cell>
        </row>
        <row r="462">
          <cell r="B462" t="str">
            <v>Male</v>
          </cell>
          <cell r="F462">
            <v>24</v>
          </cell>
          <cell r="G462">
            <v>24</v>
          </cell>
          <cell r="H462">
            <v>5</v>
          </cell>
          <cell r="I462">
            <v>85.4</v>
          </cell>
          <cell r="J462">
            <v>2</v>
          </cell>
          <cell r="K462">
            <v>12</v>
          </cell>
          <cell r="L462">
            <v>128.24</v>
          </cell>
          <cell r="M462">
            <v>15</v>
          </cell>
          <cell r="O462">
            <v>2.8</v>
          </cell>
          <cell r="P462">
            <v>7.4</v>
          </cell>
          <cell r="S462">
            <v>30.8</v>
          </cell>
          <cell r="T462">
            <v>14.8</v>
          </cell>
          <cell r="U462">
            <v>2</v>
          </cell>
        </row>
        <row r="463">
          <cell r="B463" t="str">
            <v>Female</v>
          </cell>
          <cell r="F463">
            <v>0</v>
          </cell>
          <cell r="G463">
            <v>29.3</v>
          </cell>
          <cell r="H463">
            <v>8.4</v>
          </cell>
          <cell r="I463">
            <v>53.5</v>
          </cell>
          <cell r="J463">
            <v>2</v>
          </cell>
          <cell r="K463">
            <v>9.1</v>
          </cell>
          <cell r="L463">
            <v>96.58</v>
          </cell>
          <cell r="M463">
            <v>8</v>
          </cell>
          <cell r="N463">
            <v>61.08</v>
          </cell>
          <cell r="P463">
            <v>5.6</v>
          </cell>
          <cell r="S463">
            <v>19.3</v>
          </cell>
          <cell r="T463">
            <v>15</v>
          </cell>
          <cell r="U463">
            <v>2</v>
          </cell>
        </row>
        <row r="464">
          <cell r="B464" t="str">
            <v>Male</v>
          </cell>
          <cell r="F464">
            <v>14</v>
          </cell>
          <cell r="G464">
            <v>29.2</v>
          </cell>
          <cell r="H464">
            <v>12.5</v>
          </cell>
          <cell r="I464">
            <v>69.5</v>
          </cell>
          <cell r="J464">
            <v>6</v>
          </cell>
          <cell r="K464">
            <v>12</v>
          </cell>
          <cell r="L464">
            <v>224.03</v>
          </cell>
          <cell r="M464">
            <v>2</v>
          </cell>
          <cell r="N464">
            <v>20.9</v>
          </cell>
          <cell r="O464">
            <v>2.5</v>
          </cell>
          <cell r="P464">
            <v>33.700000000000003</v>
          </cell>
          <cell r="S464">
            <v>35.6</v>
          </cell>
          <cell r="T464">
            <v>16.3</v>
          </cell>
          <cell r="U464">
            <v>2</v>
          </cell>
        </row>
        <row r="465">
          <cell r="B465" t="str">
            <v>Male</v>
          </cell>
          <cell r="F465">
            <v>5</v>
          </cell>
          <cell r="G465">
            <v>18.100000000000001</v>
          </cell>
          <cell r="H465">
            <v>2.6</v>
          </cell>
          <cell r="I465">
            <v>68</v>
          </cell>
          <cell r="J465">
            <v>3</v>
          </cell>
          <cell r="K465" t="str">
            <v>15.600000000000001</v>
          </cell>
          <cell r="L465">
            <v>64.23</v>
          </cell>
          <cell r="M465">
            <v>56</v>
          </cell>
          <cell r="N465">
            <v>52.8</v>
          </cell>
          <cell r="O465">
            <v>5.2</v>
          </cell>
          <cell r="S465">
            <v>28.9</v>
          </cell>
          <cell r="T465">
            <v>17.3</v>
          </cell>
          <cell r="U465">
            <v>4</v>
          </cell>
        </row>
        <row r="466">
          <cell r="B466" t="str">
            <v>Female</v>
          </cell>
          <cell r="F466">
            <v>12</v>
          </cell>
          <cell r="G466">
            <v>29.5</v>
          </cell>
          <cell r="H466">
            <v>8.5</v>
          </cell>
          <cell r="I466">
            <v>50.2</v>
          </cell>
          <cell r="J466">
            <v>4</v>
          </cell>
          <cell r="K466">
            <v>20.8</v>
          </cell>
          <cell r="L466">
            <v>134</v>
          </cell>
          <cell r="M466">
            <v>48</v>
          </cell>
          <cell r="N466">
            <v>59.4</v>
          </cell>
          <cell r="O466">
            <v>2.2999999999999998</v>
          </cell>
          <cell r="P466">
            <v>21.4</v>
          </cell>
          <cell r="S466">
            <v>24.6</v>
          </cell>
          <cell r="T466">
            <v>24.8</v>
          </cell>
          <cell r="U466">
            <v>2</v>
          </cell>
        </row>
        <row r="467">
          <cell r="B467" t="str">
            <v>Male</v>
          </cell>
          <cell r="F467">
            <v>3</v>
          </cell>
          <cell r="G467">
            <v>17.3</v>
          </cell>
          <cell r="H467">
            <v>6.4</v>
          </cell>
          <cell r="I467">
            <v>80.599999999999994</v>
          </cell>
          <cell r="J467">
            <v>3</v>
          </cell>
          <cell r="K467">
            <v>7</v>
          </cell>
          <cell r="L467">
            <v>222.62</v>
          </cell>
          <cell r="M467">
            <v>50</v>
          </cell>
          <cell r="N467">
            <v>48.5</v>
          </cell>
          <cell r="O467">
            <v>1.8</v>
          </cell>
          <cell r="S467">
            <v>9.1</v>
          </cell>
          <cell r="T467">
            <v>14.8</v>
          </cell>
          <cell r="U467">
            <v>2</v>
          </cell>
        </row>
        <row r="468">
          <cell r="B468" t="str">
            <v>Male</v>
          </cell>
          <cell r="F468">
            <v>18</v>
          </cell>
          <cell r="H468">
            <v>7.9</v>
          </cell>
          <cell r="I468">
            <v>64.900000000000006</v>
          </cell>
          <cell r="J468">
            <v>3</v>
          </cell>
          <cell r="K468">
            <v>13</v>
          </cell>
          <cell r="L468">
            <v>129.27000000000001</v>
          </cell>
          <cell r="M468">
            <v>12</v>
          </cell>
          <cell r="N468">
            <v>17.16</v>
          </cell>
          <cell r="O468">
            <v>2.4</v>
          </cell>
          <cell r="P468">
            <v>36.5</v>
          </cell>
          <cell r="S468">
            <v>30.5</v>
          </cell>
          <cell r="T468">
            <v>19.2</v>
          </cell>
          <cell r="U468">
            <v>3</v>
          </cell>
        </row>
        <row r="469">
          <cell r="B469" t="str">
            <v>Female</v>
          </cell>
          <cell r="F469">
            <v>35</v>
          </cell>
          <cell r="G469">
            <v>37.5</v>
          </cell>
          <cell r="I469">
            <v>45.4</v>
          </cell>
          <cell r="J469">
            <v>11</v>
          </cell>
          <cell r="K469">
            <v>19</v>
          </cell>
          <cell r="L469">
            <v>166.31</v>
          </cell>
          <cell r="N469">
            <v>24.1</v>
          </cell>
          <cell r="O469">
            <v>1.2</v>
          </cell>
          <cell r="P469">
            <v>31.3</v>
          </cell>
          <cell r="T469">
            <v>42.3</v>
          </cell>
          <cell r="U469">
            <v>2</v>
          </cell>
        </row>
        <row r="470">
          <cell r="B470" t="str">
            <v>Male</v>
          </cell>
          <cell r="F470">
            <v>10</v>
          </cell>
          <cell r="G470">
            <v>28.3</v>
          </cell>
          <cell r="I470">
            <v>64.7</v>
          </cell>
          <cell r="K470">
            <v>5</v>
          </cell>
          <cell r="L470">
            <v>139.94999999999999</v>
          </cell>
          <cell r="M470">
            <v>35</v>
          </cell>
          <cell r="N470">
            <v>77.599999999999994</v>
          </cell>
          <cell r="O470">
            <v>7.6</v>
          </cell>
          <cell r="P470">
            <v>12.4</v>
          </cell>
          <cell r="S470">
            <v>27</v>
          </cell>
          <cell r="T470">
            <v>20.6</v>
          </cell>
          <cell r="U470">
            <v>2</v>
          </cell>
        </row>
        <row r="471">
          <cell r="B471" t="str">
            <v>Female</v>
          </cell>
          <cell r="F471">
            <v>5</v>
          </cell>
          <cell r="G471">
            <v>9.9</v>
          </cell>
          <cell r="H471">
            <v>5.8</v>
          </cell>
          <cell r="I471">
            <v>88.6</v>
          </cell>
          <cell r="J471">
            <v>0</v>
          </cell>
          <cell r="K471">
            <v>6</v>
          </cell>
          <cell r="L471">
            <v>125.97</v>
          </cell>
          <cell r="M471">
            <v>17</v>
          </cell>
          <cell r="N471">
            <v>17.600000000000001</v>
          </cell>
          <cell r="P471">
            <v>5.5</v>
          </cell>
          <cell r="S471">
            <v>24.6</v>
          </cell>
          <cell r="T471">
            <v>12.4</v>
          </cell>
          <cell r="U471">
            <v>2</v>
          </cell>
        </row>
        <row r="472">
          <cell r="B472" t="str">
            <v>Female</v>
          </cell>
          <cell r="F472">
            <v>0</v>
          </cell>
          <cell r="G472">
            <v>15</v>
          </cell>
          <cell r="H472">
            <v>2.1</v>
          </cell>
          <cell r="I472">
            <v>81.5</v>
          </cell>
          <cell r="J472">
            <v>1</v>
          </cell>
          <cell r="K472">
            <v>1.3</v>
          </cell>
          <cell r="L472">
            <v>69.069999999999993</v>
          </cell>
          <cell r="M472">
            <v>34</v>
          </cell>
          <cell r="N472" t="str">
            <v>58.199999999999996</v>
          </cell>
          <cell r="O472">
            <v>0.6</v>
          </cell>
          <cell r="P472">
            <v>5</v>
          </cell>
          <cell r="S472">
            <v>5.3</v>
          </cell>
          <cell r="T472">
            <v>19.600000000000001</v>
          </cell>
          <cell r="U472">
            <v>5</v>
          </cell>
        </row>
        <row r="473">
          <cell r="B473" t="str">
            <v>Female</v>
          </cell>
          <cell r="F473">
            <v>21</v>
          </cell>
          <cell r="G473">
            <v>44.9</v>
          </cell>
          <cell r="H473">
            <v>14</v>
          </cell>
          <cell r="I473">
            <v>35.9</v>
          </cell>
          <cell r="J473">
            <v>5</v>
          </cell>
          <cell r="K473">
            <v>21</v>
          </cell>
          <cell r="L473">
            <v>154.5</v>
          </cell>
          <cell r="M473">
            <v>15</v>
          </cell>
          <cell r="N473">
            <v>50.7</v>
          </cell>
          <cell r="O473">
            <v>7.4</v>
          </cell>
          <cell r="P473">
            <v>28.4</v>
          </cell>
          <cell r="T473">
            <v>30.9</v>
          </cell>
          <cell r="U473">
            <v>4</v>
          </cell>
        </row>
        <row r="474">
          <cell r="B474" t="str">
            <v>Male</v>
          </cell>
          <cell r="F474">
            <v>26</v>
          </cell>
          <cell r="G474">
            <v>40.6</v>
          </cell>
          <cell r="H474">
            <v>10</v>
          </cell>
          <cell r="I474">
            <v>55.1</v>
          </cell>
          <cell r="J474">
            <v>3</v>
          </cell>
          <cell r="K474">
            <v>14</v>
          </cell>
          <cell r="L474">
            <v>120.4</v>
          </cell>
          <cell r="M474">
            <v>3</v>
          </cell>
          <cell r="N474">
            <v>56.6</v>
          </cell>
          <cell r="O474">
            <v>2.4</v>
          </cell>
          <cell r="P474">
            <v>45.5</v>
          </cell>
          <cell r="S474">
            <v>41.7</v>
          </cell>
          <cell r="T474">
            <v>28.6</v>
          </cell>
          <cell r="U474">
            <v>4</v>
          </cell>
        </row>
        <row r="475">
          <cell r="B475" t="str">
            <v>Male</v>
          </cell>
          <cell r="F475">
            <v>3</v>
          </cell>
          <cell r="G475">
            <v>20.2</v>
          </cell>
          <cell r="H475">
            <v>6.8</v>
          </cell>
          <cell r="I475">
            <v>51.2</v>
          </cell>
          <cell r="J475">
            <v>5</v>
          </cell>
          <cell r="K475">
            <v>16</v>
          </cell>
          <cell r="L475">
            <v>187.1</v>
          </cell>
          <cell r="M475">
            <v>6</v>
          </cell>
          <cell r="N475">
            <v>54.2</v>
          </cell>
          <cell r="O475">
            <v>1.7</v>
          </cell>
          <cell r="P475">
            <v>6.8</v>
          </cell>
          <cell r="S475">
            <v>21.8</v>
          </cell>
          <cell r="T475">
            <v>13.1</v>
          </cell>
          <cell r="U475">
            <v>5</v>
          </cell>
        </row>
        <row r="476">
          <cell r="B476" t="str">
            <v>Female</v>
          </cell>
          <cell r="F476">
            <v>8</v>
          </cell>
          <cell r="G476">
            <v>30.3</v>
          </cell>
          <cell r="I476">
            <v>58.7</v>
          </cell>
          <cell r="J476">
            <v>3</v>
          </cell>
          <cell r="K476" t="str">
            <v>11.700000000000001</v>
          </cell>
          <cell r="L476">
            <v>102.92</v>
          </cell>
          <cell r="M476">
            <v>3</v>
          </cell>
          <cell r="N476">
            <v>88.44</v>
          </cell>
          <cell r="O476">
            <v>3.6</v>
          </cell>
          <cell r="P476">
            <v>25.6</v>
          </cell>
          <cell r="S476">
            <v>18.7</v>
          </cell>
          <cell r="T476">
            <v>17.600000000000001</v>
          </cell>
          <cell r="U476">
            <v>5</v>
          </cell>
        </row>
        <row r="477">
          <cell r="B477" t="str">
            <v>Female</v>
          </cell>
          <cell r="F477">
            <v>8</v>
          </cell>
          <cell r="G477">
            <v>7</v>
          </cell>
          <cell r="H477">
            <v>6.3</v>
          </cell>
          <cell r="I477">
            <v>66.8</v>
          </cell>
          <cell r="J477">
            <v>1</v>
          </cell>
          <cell r="K477">
            <v>18.2</v>
          </cell>
          <cell r="L477">
            <v>110.12</v>
          </cell>
          <cell r="M477">
            <v>56</v>
          </cell>
          <cell r="O477">
            <v>3.7</v>
          </cell>
          <cell r="P477">
            <v>0</v>
          </cell>
          <cell r="S477">
            <v>0.9</v>
          </cell>
          <cell r="T477">
            <v>8.3000000000000007</v>
          </cell>
          <cell r="U477">
            <v>3</v>
          </cell>
        </row>
        <row r="478">
          <cell r="B478" t="str">
            <v>Female</v>
          </cell>
          <cell r="F478">
            <v>6</v>
          </cell>
          <cell r="G478">
            <v>27.4</v>
          </cell>
          <cell r="H478">
            <v>7.9</v>
          </cell>
          <cell r="I478">
            <v>82.7</v>
          </cell>
          <cell r="J478">
            <v>0</v>
          </cell>
          <cell r="K478">
            <v>5</v>
          </cell>
          <cell r="L478">
            <v>137.13999999999999</v>
          </cell>
          <cell r="M478">
            <v>17</v>
          </cell>
          <cell r="N478">
            <v>12.5</v>
          </cell>
          <cell r="O478">
            <v>7.5</v>
          </cell>
          <cell r="P478">
            <v>0</v>
          </cell>
          <cell r="S478">
            <v>14.3</v>
          </cell>
          <cell r="T478">
            <v>13</v>
          </cell>
          <cell r="U478">
            <v>2</v>
          </cell>
        </row>
        <row r="479">
          <cell r="B479" t="str">
            <v>Male</v>
          </cell>
          <cell r="F479">
            <v>6</v>
          </cell>
          <cell r="G479">
            <v>27.9</v>
          </cell>
          <cell r="H479">
            <v>12</v>
          </cell>
          <cell r="I479">
            <v>42.4</v>
          </cell>
          <cell r="J479">
            <v>3</v>
          </cell>
          <cell r="K479">
            <v>15</v>
          </cell>
          <cell r="L479">
            <v>223.97</v>
          </cell>
          <cell r="M479">
            <v>46</v>
          </cell>
          <cell r="N479">
            <v>22.6</v>
          </cell>
          <cell r="O479">
            <v>1</v>
          </cell>
          <cell r="S479">
            <v>0</v>
          </cell>
          <cell r="T479">
            <v>25.4</v>
          </cell>
          <cell r="U479">
            <v>2</v>
          </cell>
        </row>
        <row r="480">
          <cell r="B480" t="str">
            <v>Female</v>
          </cell>
          <cell r="F480">
            <v>3</v>
          </cell>
          <cell r="G480">
            <v>8</v>
          </cell>
          <cell r="H480">
            <v>5.9</v>
          </cell>
          <cell r="I480">
            <v>65.400000000000006</v>
          </cell>
          <cell r="K480" t="str">
            <v>11.700000000000001</v>
          </cell>
          <cell r="L480">
            <v>59.73</v>
          </cell>
          <cell r="M480">
            <v>16</v>
          </cell>
          <cell r="N480">
            <v>27</v>
          </cell>
          <cell r="O480">
            <v>3</v>
          </cell>
          <cell r="P480">
            <v>8.6</v>
          </cell>
          <cell r="S480">
            <v>19</v>
          </cell>
          <cell r="T480">
            <v>15.8</v>
          </cell>
          <cell r="U480">
            <v>1</v>
          </cell>
        </row>
        <row r="481">
          <cell r="B481" t="str">
            <v>Female</v>
          </cell>
          <cell r="F481">
            <v>20</v>
          </cell>
          <cell r="G481">
            <v>62.8</v>
          </cell>
          <cell r="H481">
            <v>22.2</v>
          </cell>
          <cell r="I481">
            <v>7.7</v>
          </cell>
          <cell r="J481">
            <v>13</v>
          </cell>
          <cell r="K481">
            <v>48.1</v>
          </cell>
          <cell r="L481">
            <v>69.48</v>
          </cell>
          <cell r="M481">
            <v>1</v>
          </cell>
          <cell r="N481">
            <v>61.32</v>
          </cell>
          <cell r="O481">
            <v>6.5</v>
          </cell>
          <cell r="P481">
            <v>62.7</v>
          </cell>
          <cell r="S481">
            <v>83.8</v>
          </cell>
          <cell r="T481">
            <v>40.700000000000003</v>
          </cell>
          <cell r="U481">
            <v>2</v>
          </cell>
        </row>
        <row r="482">
          <cell r="B482" t="str">
            <v>Male</v>
          </cell>
          <cell r="F482">
            <v>0</v>
          </cell>
          <cell r="G482">
            <v>7.9</v>
          </cell>
          <cell r="H482">
            <v>6.2</v>
          </cell>
          <cell r="I482">
            <v>64.099999999999994</v>
          </cell>
          <cell r="J482">
            <v>1</v>
          </cell>
          <cell r="K482">
            <v>6</v>
          </cell>
          <cell r="L482">
            <v>130.35</v>
          </cell>
          <cell r="M482">
            <v>98</v>
          </cell>
          <cell r="N482">
            <v>61.4</v>
          </cell>
          <cell r="P482">
            <v>35.5</v>
          </cell>
          <cell r="T482">
            <v>3.5</v>
          </cell>
          <cell r="U482">
            <v>3</v>
          </cell>
        </row>
        <row r="483">
          <cell r="B483" t="str">
            <v>Female</v>
          </cell>
          <cell r="F483">
            <v>11</v>
          </cell>
          <cell r="G483">
            <v>14.3</v>
          </cell>
          <cell r="H483">
            <v>4.7</v>
          </cell>
          <cell r="I483">
            <v>79.599999999999994</v>
          </cell>
          <cell r="J483">
            <v>1</v>
          </cell>
          <cell r="K483">
            <v>4</v>
          </cell>
          <cell r="L483">
            <v>171.86</v>
          </cell>
          <cell r="M483">
            <v>40</v>
          </cell>
          <cell r="N483">
            <v>31.4</v>
          </cell>
          <cell r="O483">
            <v>11.1</v>
          </cell>
          <cell r="P483">
            <v>1</v>
          </cell>
          <cell r="S483">
            <v>30.7</v>
          </cell>
          <cell r="T483">
            <v>11.9</v>
          </cell>
          <cell r="U483">
            <v>1</v>
          </cell>
        </row>
        <row r="484">
          <cell r="B484" t="str">
            <v>Female</v>
          </cell>
          <cell r="F484">
            <v>6</v>
          </cell>
          <cell r="G484">
            <v>2.4</v>
          </cell>
          <cell r="H484">
            <v>3.4</v>
          </cell>
          <cell r="I484">
            <v>87.7</v>
          </cell>
          <cell r="J484">
            <v>0</v>
          </cell>
          <cell r="K484">
            <v>2.6</v>
          </cell>
          <cell r="L484">
            <v>140.01</v>
          </cell>
          <cell r="M484">
            <v>45</v>
          </cell>
          <cell r="O484">
            <v>18.899999999999999</v>
          </cell>
          <cell r="P484">
            <v>0</v>
          </cell>
          <cell r="S484">
            <v>0</v>
          </cell>
          <cell r="T484">
            <v>0.5</v>
          </cell>
          <cell r="U484">
            <v>2</v>
          </cell>
        </row>
        <row r="485">
          <cell r="B485" t="str">
            <v>Male</v>
          </cell>
          <cell r="F485">
            <v>4</v>
          </cell>
          <cell r="G485">
            <v>17.399999999999999</v>
          </cell>
          <cell r="H485">
            <v>5.2</v>
          </cell>
          <cell r="I485">
            <v>42.4</v>
          </cell>
          <cell r="J485">
            <v>1</v>
          </cell>
          <cell r="K485" t="str">
            <v>11.700000000000001</v>
          </cell>
          <cell r="L485">
            <v>199.66</v>
          </cell>
          <cell r="M485">
            <v>15</v>
          </cell>
          <cell r="N485">
            <v>45</v>
          </cell>
          <cell r="O485">
            <v>3.3</v>
          </cell>
          <cell r="P485">
            <v>2</v>
          </cell>
          <cell r="S485">
            <v>51</v>
          </cell>
          <cell r="T485">
            <v>8.5</v>
          </cell>
          <cell r="U485">
            <v>2</v>
          </cell>
        </row>
        <row r="486">
          <cell r="B486" t="str">
            <v>Male</v>
          </cell>
          <cell r="F486">
            <v>15</v>
          </cell>
          <cell r="G486">
            <v>42</v>
          </cell>
          <cell r="H486">
            <v>11</v>
          </cell>
          <cell r="I486">
            <v>41.4</v>
          </cell>
          <cell r="J486">
            <v>2</v>
          </cell>
          <cell r="K486">
            <v>20.8</v>
          </cell>
          <cell r="L486">
            <v>111.68</v>
          </cell>
          <cell r="M486">
            <v>24</v>
          </cell>
          <cell r="O486">
            <v>7</v>
          </cell>
          <cell r="P486">
            <v>27.6</v>
          </cell>
          <cell r="S486">
            <v>54.7</v>
          </cell>
          <cell r="T486">
            <v>34.799999999999997</v>
          </cell>
          <cell r="U486">
            <v>4</v>
          </cell>
        </row>
        <row r="487">
          <cell r="B487" t="str">
            <v>Female</v>
          </cell>
          <cell r="F487">
            <v>20</v>
          </cell>
          <cell r="G487">
            <v>24.9</v>
          </cell>
          <cell r="H487">
            <v>2.9</v>
          </cell>
          <cell r="I487">
            <v>68.3</v>
          </cell>
          <cell r="J487">
            <v>4</v>
          </cell>
          <cell r="K487">
            <v>5.2</v>
          </cell>
          <cell r="L487">
            <v>51.01</v>
          </cell>
          <cell r="M487">
            <v>46</v>
          </cell>
          <cell r="N487">
            <v>68.64</v>
          </cell>
          <cell r="O487">
            <v>3.9</v>
          </cell>
          <cell r="P487">
            <v>21.1</v>
          </cell>
          <cell r="S487">
            <v>0</v>
          </cell>
          <cell r="T487">
            <v>14</v>
          </cell>
        </row>
        <row r="488">
          <cell r="B488" t="str">
            <v>Female</v>
          </cell>
          <cell r="F488">
            <v>14</v>
          </cell>
          <cell r="G488">
            <v>44.7</v>
          </cell>
          <cell r="H488">
            <v>12.3</v>
          </cell>
          <cell r="I488">
            <v>53.1</v>
          </cell>
          <cell r="J488">
            <v>13</v>
          </cell>
          <cell r="K488">
            <v>14</v>
          </cell>
          <cell r="L488">
            <v>108.77</v>
          </cell>
          <cell r="M488">
            <v>46</v>
          </cell>
          <cell r="O488">
            <v>6.4</v>
          </cell>
          <cell r="P488">
            <v>43.2</v>
          </cell>
          <cell r="S488">
            <v>53.8</v>
          </cell>
          <cell r="T488">
            <v>28.3</v>
          </cell>
          <cell r="U488">
            <v>3</v>
          </cell>
        </row>
        <row r="489">
          <cell r="B489" t="str">
            <v>Male</v>
          </cell>
          <cell r="F489">
            <v>3</v>
          </cell>
          <cell r="H489">
            <v>1.9</v>
          </cell>
          <cell r="I489">
            <v>73.8</v>
          </cell>
          <cell r="J489">
            <v>8</v>
          </cell>
          <cell r="K489">
            <v>7</v>
          </cell>
          <cell r="L489">
            <v>109.07</v>
          </cell>
          <cell r="M489">
            <v>3</v>
          </cell>
          <cell r="N489">
            <v>75.3</v>
          </cell>
          <cell r="T489">
            <v>26.8</v>
          </cell>
        </row>
        <row r="490">
          <cell r="B490" t="str">
            <v>Female</v>
          </cell>
          <cell r="F490">
            <v>8</v>
          </cell>
          <cell r="G490">
            <v>21.6</v>
          </cell>
          <cell r="H490">
            <v>8</v>
          </cell>
          <cell r="I490">
            <v>67</v>
          </cell>
          <cell r="J490">
            <v>0</v>
          </cell>
          <cell r="K490">
            <v>15</v>
          </cell>
          <cell r="L490">
            <v>45.81</v>
          </cell>
          <cell r="M490">
            <v>21</v>
          </cell>
          <cell r="N490">
            <v>29.4</v>
          </cell>
          <cell r="O490">
            <v>2.6</v>
          </cell>
          <cell r="P490">
            <v>7.2</v>
          </cell>
          <cell r="S490">
            <v>26.3</v>
          </cell>
          <cell r="T490">
            <v>20.2</v>
          </cell>
          <cell r="U490">
            <v>3</v>
          </cell>
        </row>
        <row r="491">
          <cell r="B491" t="str">
            <v>Male</v>
          </cell>
          <cell r="F491">
            <v>11</v>
          </cell>
          <cell r="G491">
            <v>37.700000000000003</v>
          </cell>
          <cell r="H491">
            <v>11</v>
          </cell>
          <cell r="I491">
            <v>35.200000000000003</v>
          </cell>
          <cell r="J491">
            <v>6</v>
          </cell>
          <cell r="K491" t="str">
            <v>23.400000000000002</v>
          </cell>
          <cell r="L491">
            <v>139</v>
          </cell>
          <cell r="M491">
            <v>12</v>
          </cell>
          <cell r="N491">
            <v>34.44</v>
          </cell>
          <cell r="O491">
            <v>1.7</v>
          </cell>
          <cell r="P491">
            <v>36.6</v>
          </cell>
          <cell r="S491">
            <v>50.6</v>
          </cell>
          <cell r="T491">
            <v>29.9</v>
          </cell>
          <cell r="U491">
            <v>4</v>
          </cell>
        </row>
        <row r="492">
          <cell r="B492" t="str">
            <v>Male</v>
          </cell>
          <cell r="F492">
            <v>16</v>
          </cell>
          <cell r="G492">
            <v>19.7</v>
          </cell>
          <cell r="I492">
            <v>70</v>
          </cell>
          <cell r="J492">
            <v>2</v>
          </cell>
          <cell r="K492">
            <v>7</v>
          </cell>
          <cell r="L492">
            <v>41.29</v>
          </cell>
          <cell r="M492">
            <v>60</v>
          </cell>
          <cell r="N492">
            <v>36</v>
          </cell>
          <cell r="O492">
            <v>6.5</v>
          </cell>
          <cell r="P492">
            <v>21.3</v>
          </cell>
          <cell r="S492">
            <v>19.5</v>
          </cell>
          <cell r="T492">
            <v>8.3000000000000007</v>
          </cell>
        </row>
        <row r="493">
          <cell r="B493" t="str">
            <v>Female</v>
          </cell>
          <cell r="F493">
            <v>6</v>
          </cell>
          <cell r="G493">
            <v>11</v>
          </cell>
          <cell r="I493">
            <v>70.099999999999994</v>
          </cell>
          <cell r="J493">
            <v>3</v>
          </cell>
          <cell r="K493">
            <v>10.4</v>
          </cell>
          <cell r="L493">
            <v>84.29</v>
          </cell>
          <cell r="M493">
            <v>28</v>
          </cell>
          <cell r="N493" t="str">
            <v>38.879999999999995</v>
          </cell>
          <cell r="O493">
            <v>11.8</v>
          </cell>
          <cell r="P493">
            <v>16.600000000000001</v>
          </cell>
          <cell r="S493">
            <v>1.8</v>
          </cell>
          <cell r="T493">
            <v>5.6</v>
          </cell>
          <cell r="U493">
            <v>2</v>
          </cell>
        </row>
        <row r="494">
          <cell r="B494" t="str">
            <v>Female</v>
          </cell>
          <cell r="F494">
            <v>9</v>
          </cell>
          <cell r="G494">
            <v>10.6</v>
          </cell>
          <cell r="H494">
            <v>5.7</v>
          </cell>
          <cell r="I494">
            <v>64.400000000000006</v>
          </cell>
          <cell r="K494">
            <v>13</v>
          </cell>
          <cell r="L494">
            <v>122.81</v>
          </cell>
          <cell r="M494">
            <v>26</v>
          </cell>
          <cell r="N494" t="str">
            <v>63.959999999999994</v>
          </cell>
          <cell r="O494">
            <v>27.3</v>
          </cell>
          <cell r="P494">
            <v>22.1</v>
          </cell>
          <cell r="S494">
            <v>16.2</v>
          </cell>
          <cell r="T494">
            <v>10</v>
          </cell>
          <cell r="U494">
            <v>2</v>
          </cell>
        </row>
        <row r="495">
          <cell r="B495" t="str">
            <v>Female</v>
          </cell>
          <cell r="F495">
            <v>13</v>
          </cell>
          <cell r="G495">
            <v>25</v>
          </cell>
          <cell r="H495">
            <v>9.1</v>
          </cell>
          <cell r="I495">
            <v>59.2</v>
          </cell>
          <cell r="J495">
            <v>6</v>
          </cell>
          <cell r="K495">
            <v>10</v>
          </cell>
          <cell r="L495">
            <v>84.89</v>
          </cell>
          <cell r="M495">
            <v>65</v>
          </cell>
          <cell r="N495">
            <v>35.700000000000003</v>
          </cell>
          <cell r="O495">
            <v>2.6</v>
          </cell>
          <cell r="P495">
            <v>37.6</v>
          </cell>
          <cell r="S495">
            <v>43.3</v>
          </cell>
          <cell r="T495">
            <v>25.1</v>
          </cell>
          <cell r="U495">
            <v>1</v>
          </cell>
        </row>
        <row r="496">
          <cell r="B496" t="str">
            <v>Female</v>
          </cell>
          <cell r="F496">
            <v>13</v>
          </cell>
          <cell r="G496">
            <v>29.3</v>
          </cell>
          <cell r="H496">
            <v>8.5</v>
          </cell>
          <cell r="I496">
            <v>47.4</v>
          </cell>
          <cell r="J496">
            <v>1</v>
          </cell>
          <cell r="K496">
            <v>11</v>
          </cell>
          <cell r="L496">
            <v>150.94</v>
          </cell>
          <cell r="M496">
            <v>7</v>
          </cell>
          <cell r="N496">
            <v>25.1</v>
          </cell>
          <cell r="O496">
            <v>11.2</v>
          </cell>
          <cell r="P496">
            <v>11.2</v>
          </cell>
          <cell r="S496">
            <v>10.4</v>
          </cell>
          <cell r="T496">
            <v>20.2</v>
          </cell>
          <cell r="U496">
            <v>2</v>
          </cell>
        </row>
        <row r="497">
          <cell r="B497" t="str">
            <v>Male</v>
          </cell>
          <cell r="F497">
            <v>30</v>
          </cell>
          <cell r="G497">
            <v>35.4</v>
          </cell>
          <cell r="H497">
            <v>11.1</v>
          </cell>
          <cell r="I497">
            <v>37.1</v>
          </cell>
          <cell r="J497">
            <v>10</v>
          </cell>
          <cell r="K497">
            <v>15</v>
          </cell>
          <cell r="L497">
            <v>91.15</v>
          </cell>
          <cell r="M497">
            <v>19</v>
          </cell>
          <cell r="N497">
            <v>25</v>
          </cell>
          <cell r="O497">
            <v>3</v>
          </cell>
          <cell r="P497">
            <v>43.5</v>
          </cell>
          <cell r="S497">
            <v>44.5</v>
          </cell>
          <cell r="T497">
            <v>18.899999999999999</v>
          </cell>
        </row>
        <row r="498">
          <cell r="B498" t="str">
            <v>Female</v>
          </cell>
          <cell r="F498">
            <v>0</v>
          </cell>
          <cell r="G498">
            <v>11.1</v>
          </cell>
          <cell r="H498">
            <v>6.2</v>
          </cell>
          <cell r="I498">
            <v>82.8</v>
          </cell>
          <cell r="J498">
            <v>0</v>
          </cell>
          <cell r="K498">
            <v>7</v>
          </cell>
          <cell r="L498">
            <v>100.7</v>
          </cell>
          <cell r="M498">
            <v>9</v>
          </cell>
          <cell r="N498">
            <v>13</v>
          </cell>
          <cell r="P498">
            <v>1</v>
          </cell>
          <cell r="S498">
            <v>40.6</v>
          </cell>
          <cell r="T498">
            <v>6.5</v>
          </cell>
          <cell r="U498">
            <v>2</v>
          </cell>
        </row>
        <row r="499">
          <cell r="B499" t="str">
            <v>Male</v>
          </cell>
          <cell r="F499">
            <v>14</v>
          </cell>
          <cell r="G499">
            <v>24.5</v>
          </cell>
          <cell r="H499">
            <v>9.6999999999999993</v>
          </cell>
          <cell r="I499">
            <v>55</v>
          </cell>
          <cell r="J499">
            <v>4</v>
          </cell>
          <cell r="K499">
            <v>17</v>
          </cell>
          <cell r="L499">
            <v>111.33</v>
          </cell>
          <cell r="M499">
            <v>22</v>
          </cell>
          <cell r="N499">
            <v>32.299999999999997</v>
          </cell>
          <cell r="O499">
            <v>17.3</v>
          </cell>
          <cell r="P499">
            <v>23.2</v>
          </cell>
          <cell r="S499">
            <v>19.7</v>
          </cell>
          <cell r="T499">
            <v>14.8</v>
          </cell>
          <cell r="U499">
            <v>2</v>
          </cell>
        </row>
        <row r="500">
          <cell r="B500" t="str">
            <v>Male</v>
          </cell>
          <cell r="F500">
            <v>14</v>
          </cell>
          <cell r="G500">
            <v>30.5</v>
          </cell>
          <cell r="H500">
            <v>9.6</v>
          </cell>
          <cell r="I500">
            <v>66.8</v>
          </cell>
          <cell r="J500">
            <v>6</v>
          </cell>
          <cell r="K500">
            <v>12</v>
          </cell>
          <cell r="L500">
            <v>136.19999999999999</v>
          </cell>
          <cell r="M500">
            <v>7</v>
          </cell>
          <cell r="N500">
            <v>20.7</v>
          </cell>
          <cell r="O500">
            <v>7.1</v>
          </cell>
          <cell r="P500">
            <v>26.8</v>
          </cell>
          <cell r="S500">
            <v>29.1</v>
          </cell>
          <cell r="T500">
            <v>12.7</v>
          </cell>
          <cell r="U500">
            <v>1</v>
          </cell>
        </row>
        <row r="501">
          <cell r="B501" t="str">
            <v>Female</v>
          </cell>
          <cell r="F501">
            <v>4</v>
          </cell>
          <cell r="G501">
            <v>10.3</v>
          </cell>
          <cell r="H501">
            <v>6.3</v>
          </cell>
          <cell r="I501">
            <v>86.3</v>
          </cell>
          <cell r="J501">
            <v>8</v>
          </cell>
          <cell r="K501">
            <v>6</v>
          </cell>
          <cell r="L501">
            <v>92.09</v>
          </cell>
          <cell r="M501">
            <v>41</v>
          </cell>
          <cell r="N501">
            <v>23.8</v>
          </cell>
          <cell r="O501">
            <v>2.8</v>
          </cell>
          <cell r="P501">
            <v>27.6</v>
          </cell>
          <cell r="S501">
            <v>12</v>
          </cell>
          <cell r="T501">
            <v>9.6</v>
          </cell>
          <cell r="U501">
            <v>4</v>
          </cell>
        </row>
        <row r="502">
          <cell r="B502" t="str">
            <v>Female</v>
          </cell>
          <cell r="F502">
            <v>20</v>
          </cell>
          <cell r="G502">
            <v>41.2</v>
          </cell>
          <cell r="H502">
            <v>14.9</v>
          </cell>
          <cell r="I502">
            <v>58.1</v>
          </cell>
          <cell r="J502">
            <v>5</v>
          </cell>
          <cell r="K502">
            <v>15</v>
          </cell>
          <cell r="L502">
            <v>116.33</v>
          </cell>
          <cell r="M502">
            <v>104</v>
          </cell>
          <cell r="N502">
            <v>26.2</v>
          </cell>
          <cell r="O502">
            <v>20.2</v>
          </cell>
          <cell r="P502">
            <v>31.5</v>
          </cell>
          <cell r="S502">
            <v>47.4</v>
          </cell>
          <cell r="T502">
            <v>34.4</v>
          </cell>
          <cell r="U502">
            <v>5</v>
          </cell>
        </row>
        <row r="503">
          <cell r="B503" t="str">
            <v>Female</v>
          </cell>
          <cell r="F503">
            <v>24</v>
          </cell>
          <cell r="G503">
            <v>50.6</v>
          </cell>
          <cell r="H503">
            <v>13.8</v>
          </cell>
          <cell r="I503">
            <v>42.7</v>
          </cell>
          <cell r="J503">
            <v>8</v>
          </cell>
          <cell r="K503">
            <v>21</v>
          </cell>
          <cell r="L503">
            <v>100.17</v>
          </cell>
          <cell r="M503">
            <v>50</v>
          </cell>
          <cell r="N503">
            <v>43.9</v>
          </cell>
          <cell r="O503">
            <v>7.4</v>
          </cell>
          <cell r="P503">
            <v>49.1</v>
          </cell>
          <cell r="S503">
            <v>59</v>
          </cell>
          <cell r="T503">
            <v>34.9</v>
          </cell>
          <cell r="U503">
            <v>3</v>
          </cell>
        </row>
        <row r="504">
          <cell r="B504" t="str">
            <v>Male</v>
          </cell>
          <cell r="F504">
            <v>5</v>
          </cell>
          <cell r="H504">
            <v>3.5</v>
          </cell>
          <cell r="I504">
            <v>65</v>
          </cell>
          <cell r="J504">
            <v>0</v>
          </cell>
          <cell r="K504">
            <v>1.3</v>
          </cell>
          <cell r="L504">
            <v>85.95</v>
          </cell>
          <cell r="M504">
            <v>62</v>
          </cell>
          <cell r="N504" t="str">
            <v>78.71999999999998</v>
          </cell>
          <cell r="O504">
            <v>4.2</v>
          </cell>
          <cell r="P504">
            <v>19.8</v>
          </cell>
          <cell r="S504">
            <v>21.4</v>
          </cell>
          <cell r="T504">
            <v>10.5</v>
          </cell>
          <cell r="U504">
            <v>2</v>
          </cell>
        </row>
        <row r="505">
          <cell r="B505" t="str">
            <v>Female</v>
          </cell>
          <cell r="F505">
            <v>16</v>
          </cell>
          <cell r="G505">
            <v>48.3</v>
          </cell>
          <cell r="H505">
            <v>11.3</v>
          </cell>
          <cell r="I505">
            <v>26.8</v>
          </cell>
          <cell r="J505">
            <v>6</v>
          </cell>
          <cell r="K505">
            <v>17</v>
          </cell>
          <cell r="L505">
            <v>64.73</v>
          </cell>
          <cell r="M505">
            <v>14</v>
          </cell>
          <cell r="N505">
            <v>37.799999999999997</v>
          </cell>
          <cell r="O505">
            <v>5.3</v>
          </cell>
          <cell r="P505">
            <v>59.8</v>
          </cell>
          <cell r="S505">
            <v>54.3</v>
          </cell>
          <cell r="T505">
            <v>24.2</v>
          </cell>
        </row>
        <row r="506">
          <cell r="B506" t="str">
            <v>Female</v>
          </cell>
          <cell r="F506">
            <v>9</v>
          </cell>
          <cell r="G506">
            <v>29.4</v>
          </cell>
          <cell r="H506">
            <v>9.9</v>
          </cell>
          <cell r="I506">
            <v>31</v>
          </cell>
          <cell r="J506">
            <v>3</v>
          </cell>
          <cell r="K506">
            <v>15</v>
          </cell>
          <cell r="L506">
            <v>133.52000000000001</v>
          </cell>
          <cell r="N506">
            <v>57.5</v>
          </cell>
          <cell r="O506">
            <v>8.4</v>
          </cell>
          <cell r="S506">
            <v>51.4</v>
          </cell>
          <cell r="T506">
            <v>20.3</v>
          </cell>
          <cell r="U506">
            <v>2</v>
          </cell>
        </row>
        <row r="507">
          <cell r="B507" t="str">
            <v>Male</v>
          </cell>
          <cell r="F507">
            <v>8</v>
          </cell>
          <cell r="G507">
            <v>35.200000000000003</v>
          </cell>
          <cell r="H507">
            <v>7.3</v>
          </cell>
          <cell r="I507">
            <v>60.3</v>
          </cell>
          <cell r="J507">
            <v>4</v>
          </cell>
          <cell r="K507">
            <v>8</v>
          </cell>
          <cell r="L507">
            <v>83.54</v>
          </cell>
          <cell r="M507">
            <v>2</v>
          </cell>
          <cell r="N507">
            <v>52.4</v>
          </cell>
          <cell r="O507">
            <v>7.2</v>
          </cell>
          <cell r="S507">
            <v>0</v>
          </cell>
          <cell r="U507">
            <v>2</v>
          </cell>
        </row>
        <row r="508">
          <cell r="B508" t="str">
            <v>Female</v>
          </cell>
          <cell r="F508">
            <v>14</v>
          </cell>
          <cell r="G508">
            <v>31.8</v>
          </cell>
          <cell r="H508">
            <v>12.3</v>
          </cell>
          <cell r="I508">
            <v>53</v>
          </cell>
          <cell r="J508">
            <v>6</v>
          </cell>
          <cell r="K508">
            <v>15</v>
          </cell>
          <cell r="L508">
            <v>211.03</v>
          </cell>
          <cell r="M508">
            <v>1</v>
          </cell>
          <cell r="N508">
            <v>17.3</v>
          </cell>
          <cell r="O508">
            <v>3</v>
          </cell>
          <cell r="P508">
            <v>13.6</v>
          </cell>
          <cell r="T508">
            <v>24.8</v>
          </cell>
        </row>
        <row r="509">
          <cell r="B509" t="str">
            <v>Female</v>
          </cell>
          <cell r="F509">
            <v>0</v>
          </cell>
          <cell r="G509">
            <v>18.399999999999999</v>
          </cell>
          <cell r="H509">
            <v>6.7</v>
          </cell>
          <cell r="I509">
            <v>79.400000000000006</v>
          </cell>
          <cell r="K509">
            <v>6.5</v>
          </cell>
          <cell r="L509">
            <v>90.04</v>
          </cell>
          <cell r="M509">
            <v>8</v>
          </cell>
          <cell r="N509">
            <v>25.92</v>
          </cell>
          <cell r="O509">
            <v>7.7</v>
          </cell>
          <cell r="P509">
            <v>26.8</v>
          </cell>
          <cell r="S509">
            <v>16.2</v>
          </cell>
          <cell r="T509">
            <v>18.8</v>
          </cell>
          <cell r="U509">
            <v>2</v>
          </cell>
        </row>
        <row r="510">
          <cell r="B510" t="str">
            <v>Female</v>
          </cell>
          <cell r="F510">
            <v>6</v>
          </cell>
          <cell r="G510">
            <v>13.6</v>
          </cell>
          <cell r="H510">
            <v>5</v>
          </cell>
          <cell r="I510">
            <v>84.3</v>
          </cell>
          <cell r="J510">
            <v>1</v>
          </cell>
          <cell r="K510">
            <v>7</v>
          </cell>
          <cell r="L510">
            <v>63.97</v>
          </cell>
          <cell r="M510">
            <v>96</v>
          </cell>
          <cell r="N510">
            <v>53.1</v>
          </cell>
          <cell r="O510">
            <v>8.6</v>
          </cell>
          <cell r="P510">
            <v>0</v>
          </cell>
          <cell r="S510">
            <v>0</v>
          </cell>
          <cell r="T510">
            <v>0</v>
          </cell>
          <cell r="U510">
            <v>1</v>
          </cell>
        </row>
        <row r="511">
          <cell r="B511" t="str">
            <v>Male</v>
          </cell>
          <cell r="F511">
            <v>21</v>
          </cell>
          <cell r="G511">
            <v>30.8</v>
          </cell>
          <cell r="H511">
            <v>7.5</v>
          </cell>
          <cell r="I511">
            <v>51.4</v>
          </cell>
          <cell r="J511">
            <v>1</v>
          </cell>
          <cell r="K511">
            <v>14</v>
          </cell>
          <cell r="L511">
            <v>153.54</v>
          </cell>
          <cell r="M511">
            <v>50</v>
          </cell>
          <cell r="N511">
            <v>43.5</v>
          </cell>
          <cell r="O511">
            <v>8.5</v>
          </cell>
          <cell r="P511">
            <v>14.7</v>
          </cell>
          <cell r="S511">
            <v>3.7</v>
          </cell>
          <cell r="U511">
            <v>2</v>
          </cell>
        </row>
        <row r="512">
          <cell r="B512" t="str">
            <v>Male</v>
          </cell>
          <cell r="F512">
            <v>10</v>
          </cell>
          <cell r="G512">
            <v>19.399999999999999</v>
          </cell>
          <cell r="H512">
            <v>1</v>
          </cell>
          <cell r="I512">
            <v>71.3</v>
          </cell>
          <cell r="J512">
            <v>0</v>
          </cell>
          <cell r="K512" t="str">
            <v>3.9000000000000004</v>
          </cell>
          <cell r="L512">
            <v>84.76</v>
          </cell>
          <cell r="M512">
            <v>9</v>
          </cell>
          <cell r="N512" t="str">
            <v>17.639999999999997</v>
          </cell>
          <cell r="O512">
            <v>3.1</v>
          </cell>
          <cell r="P512">
            <v>0</v>
          </cell>
          <cell r="S512">
            <v>0</v>
          </cell>
          <cell r="T512">
            <v>11.5</v>
          </cell>
          <cell r="U512">
            <v>3</v>
          </cell>
        </row>
        <row r="513">
          <cell r="B513" t="str">
            <v>Male</v>
          </cell>
          <cell r="F513">
            <v>17</v>
          </cell>
          <cell r="G513">
            <v>28.8</v>
          </cell>
          <cell r="H513">
            <v>5.7</v>
          </cell>
          <cell r="I513">
            <v>51.2</v>
          </cell>
          <cell r="J513">
            <v>5</v>
          </cell>
          <cell r="K513">
            <v>18.2</v>
          </cell>
          <cell r="L513">
            <v>51.85</v>
          </cell>
          <cell r="M513">
            <v>23</v>
          </cell>
          <cell r="N513">
            <v>83.52</v>
          </cell>
          <cell r="O513">
            <v>4.2</v>
          </cell>
          <cell r="P513">
            <v>29.3</v>
          </cell>
          <cell r="S513">
            <v>55</v>
          </cell>
          <cell r="T513">
            <v>15.8</v>
          </cell>
          <cell r="U513">
            <v>2</v>
          </cell>
        </row>
        <row r="514">
          <cell r="B514" t="str">
            <v>Female</v>
          </cell>
          <cell r="F514">
            <v>14</v>
          </cell>
          <cell r="H514">
            <v>6.6</v>
          </cell>
          <cell r="I514">
            <v>77.400000000000006</v>
          </cell>
          <cell r="J514">
            <v>3</v>
          </cell>
          <cell r="K514">
            <v>17</v>
          </cell>
          <cell r="L514">
            <v>108.7</v>
          </cell>
          <cell r="M514">
            <v>86</v>
          </cell>
          <cell r="N514">
            <v>27.1</v>
          </cell>
          <cell r="O514">
            <v>7.9</v>
          </cell>
          <cell r="P514">
            <v>9.1</v>
          </cell>
          <cell r="S514">
            <v>38.700000000000003</v>
          </cell>
          <cell r="U514">
            <v>2</v>
          </cell>
        </row>
        <row r="515">
          <cell r="B515" t="str">
            <v>Male</v>
          </cell>
          <cell r="F515">
            <v>17</v>
          </cell>
          <cell r="H515">
            <v>9.6</v>
          </cell>
          <cell r="I515">
            <v>61</v>
          </cell>
          <cell r="J515">
            <v>3</v>
          </cell>
          <cell r="K515">
            <v>12</v>
          </cell>
          <cell r="L515">
            <v>81.39</v>
          </cell>
          <cell r="M515">
            <v>42</v>
          </cell>
          <cell r="N515">
            <v>35.700000000000003</v>
          </cell>
          <cell r="O515">
            <v>17.3</v>
          </cell>
          <cell r="P515">
            <v>17.899999999999999</v>
          </cell>
          <cell r="S515">
            <v>21.7</v>
          </cell>
          <cell r="T515">
            <v>7.6</v>
          </cell>
          <cell r="U515">
            <v>2</v>
          </cell>
        </row>
        <row r="516">
          <cell r="B516" t="str">
            <v>Female</v>
          </cell>
          <cell r="F516">
            <v>9</v>
          </cell>
          <cell r="G516">
            <v>32.9</v>
          </cell>
          <cell r="H516">
            <v>5.0999999999999996</v>
          </cell>
          <cell r="I516">
            <v>58.7</v>
          </cell>
          <cell r="J516">
            <v>4</v>
          </cell>
          <cell r="K516">
            <v>11</v>
          </cell>
          <cell r="L516">
            <v>69.66</v>
          </cell>
          <cell r="M516">
            <v>22</v>
          </cell>
          <cell r="N516">
            <v>34.299999999999997</v>
          </cell>
          <cell r="O516">
            <v>4.3</v>
          </cell>
          <cell r="P516">
            <v>27.4</v>
          </cell>
          <cell r="S516">
            <v>22.3</v>
          </cell>
          <cell r="T516">
            <v>16</v>
          </cell>
          <cell r="U516">
            <v>1</v>
          </cell>
        </row>
        <row r="517">
          <cell r="B517" t="str">
            <v>Female</v>
          </cell>
          <cell r="F517">
            <v>5</v>
          </cell>
          <cell r="G517">
            <v>20.6</v>
          </cell>
          <cell r="H517">
            <v>5</v>
          </cell>
          <cell r="I517">
            <v>67.7</v>
          </cell>
          <cell r="J517">
            <v>2</v>
          </cell>
          <cell r="K517">
            <v>6</v>
          </cell>
          <cell r="L517">
            <v>96.73</v>
          </cell>
          <cell r="N517">
            <v>33</v>
          </cell>
          <cell r="O517">
            <v>5.5</v>
          </cell>
          <cell r="S517">
            <v>37</v>
          </cell>
          <cell r="T517">
            <v>23.6</v>
          </cell>
          <cell r="U517">
            <v>1</v>
          </cell>
        </row>
        <row r="518">
          <cell r="B518" t="str">
            <v>Female</v>
          </cell>
          <cell r="F518">
            <v>26</v>
          </cell>
          <cell r="G518">
            <v>31.4</v>
          </cell>
          <cell r="H518">
            <v>11.2</v>
          </cell>
          <cell r="I518">
            <v>62.7</v>
          </cell>
          <cell r="J518">
            <v>9</v>
          </cell>
          <cell r="K518">
            <v>23</v>
          </cell>
          <cell r="L518">
            <v>148.97</v>
          </cell>
          <cell r="M518">
            <v>88</v>
          </cell>
          <cell r="N518">
            <v>29.2</v>
          </cell>
          <cell r="O518">
            <v>2.7</v>
          </cell>
          <cell r="P518">
            <v>23.5</v>
          </cell>
          <cell r="T518">
            <v>24.7</v>
          </cell>
          <cell r="U518">
            <v>2</v>
          </cell>
        </row>
        <row r="519">
          <cell r="B519" t="str">
            <v>Female</v>
          </cell>
          <cell r="F519">
            <v>10</v>
          </cell>
          <cell r="G519">
            <v>26</v>
          </cell>
          <cell r="H519">
            <v>10.5</v>
          </cell>
          <cell r="I519">
            <v>62.8</v>
          </cell>
          <cell r="J519">
            <v>3</v>
          </cell>
          <cell r="K519">
            <v>11</v>
          </cell>
          <cell r="L519">
            <v>195.42</v>
          </cell>
          <cell r="M519">
            <v>25</v>
          </cell>
          <cell r="N519">
            <v>60.3</v>
          </cell>
          <cell r="P519">
            <v>35.299999999999997</v>
          </cell>
          <cell r="S519">
            <v>48.2</v>
          </cell>
          <cell r="T519">
            <v>18.100000000000001</v>
          </cell>
          <cell r="U519">
            <v>2</v>
          </cell>
        </row>
        <row r="520">
          <cell r="B520" t="str">
            <v>Male</v>
          </cell>
          <cell r="F520">
            <v>22</v>
          </cell>
          <cell r="G520">
            <v>33.6</v>
          </cell>
          <cell r="H520">
            <v>9.3000000000000007</v>
          </cell>
          <cell r="I520">
            <v>66.8</v>
          </cell>
          <cell r="J520">
            <v>4</v>
          </cell>
          <cell r="K520">
            <v>14</v>
          </cell>
          <cell r="L520">
            <v>74.73</v>
          </cell>
          <cell r="M520">
            <v>19</v>
          </cell>
          <cell r="N520">
            <v>84.8</v>
          </cell>
          <cell r="O520">
            <v>4.5999999999999996</v>
          </cell>
          <cell r="P520">
            <v>9.6</v>
          </cell>
          <cell r="S520">
            <v>49.8</v>
          </cell>
          <cell r="T520">
            <v>26.9</v>
          </cell>
          <cell r="U520">
            <v>3</v>
          </cell>
        </row>
        <row r="521">
          <cell r="B521" t="str">
            <v>Male</v>
          </cell>
          <cell r="F521">
            <v>3</v>
          </cell>
          <cell r="G521">
            <v>20.5</v>
          </cell>
          <cell r="H521">
            <v>3</v>
          </cell>
          <cell r="I521">
            <v>65.400000000000006</v>
          </cell>
          <cell r="J521">
            <v>1</v>
          </cell>
          <cell r="K521">
            <v>5.2</v>
          </cell>
          <cell r="L521">
            <v>126.97</v>
          </cell>
          <cell r="M521">
            <v>1</v>
          </cell>
          <cell r="N521">
            <v>60.12</v>
          </cell>
          <cell r="O521">
            <v>2.2999999999999998</v>
          </cell>
          <cell r="P521">
            <v>4.0999999999999996</v>
          </cell>
          <cell r="T521">
            <v>5</v>
          </cell>
          <cell r="U521">
            <v>2</v>
          </cell>
        </row>
        <row r="522">
          <cell r="B522" t="str">
            <v>Male</v>
          </cell>
          <cell r="F522">
            <v>15</v>
          </cell>
          <cell r="G522">
            <v>30.1</v>
          </cell>
          <cell r="H522">
            <v>13.1</v>
          </cell>
          <cell r="I522">
            <v>47.7</v>
          </cell>
          <cell r="J522">
            <v>5</v>
          </cell>
          <cell r="K522">
            <v>15</v>
          </cell>
          <cell r="L522">
            <v>101.99</v>
          </cell>
          <cell r="M522">
            <v>7</v>
          </cell>
          <cell r="N522">
            <v>12.3</v>
          </cell>
          <cell r="O522">
            <v>12.3</v>
          </cell>
          <cell r="P522">
            <v>25</v>
          </cell>
          <cell r="S522">
            <v>22.8</v>
          </cell>
          <cell r="T522">
            <v>24.2</v>
          </cell>
        </row>
        <row r="523">
          <cell r="B523" t="str">
            <v>Other</v>
          </cell>
          <cell r="F523">
            <v>1</v>
          </cell>
          <cell r="G523">
            <v>30.9</v>
          </cell>
          <cell r="H523">
            <v>11.8</v>
          </cell>
          <cell r="I523">
            <v>59.7</v>
          </cell>
          <cell r="J523">
            <v>0</v>
          </cell>
          <cell r="K523">
            <v>6.5</v>
          </cell>
          <cell r="L523">
            <v>107.95</v>
          </cell>
          <cell r="N523">
            <v>13.44</v>
          </cell>
          <cell r="O523">
            <v>8.8000000000000007</v>
          </cell>
          <cell r="P523">
            <v>20.100000000000001</v>
          </cell>
          <cell r="T523">
            <v>6.5</v>
          </cell>
          <cell r="U523">
            <v>1</v>
          </cell>
        </row>
        <row r="524">
          <cell r="B524" t="str">
            <v>Female</v>
          </cell>
          <cell r="F524">
            <v>8</v>
          </cell>
          <cell r="G524">
            <v>29</v>
          </cell>
          <cell r="H524">
            <v>9.1999999999999993</v>
          </cell>
          <cell r="I524">
            <v>27.7</v>
          </cell>
          <cell r="J524">
            <v>11</v>
          </cell>
          <cell r="K524">
            <v>22.1</v>
          </cell>
          <cell r="L524">
            <v>153.83000000000001</v>
          </cell>
          <cell r="M524">
            <v>4</v>
          </cell>
          <cell r="N524" t="str">
            <v>56.279999999999994</v>
          </cell>
          <cell r="O524">
            <v>3.1</v>
          </cell>
          <cell r="P524">
            <v>15.1</v>
          </cell>
          <cell r="S524">
            <v>47.9</v>
          </cell>
          <cell r="T524">
            <v>27.6</v>
          </cell>
          <cell r="U524">
            <v>1</v>
          </cell>
        </row>
        <row r="525">
          <cell r="B525" t="str">
            <v>Female</v>
          </cell>
          <cell r="F525">
            <v>14</v>
          </cell>
          <cell r="G525">
            <v>38.4</v>
          </cell>
          <cell r="H525">
            <v>8.3000000000000007</v>
          </cell>
          <cell r="I525">
            <v>60</v>
          </cell>
          <cell r="K525">
            <v>11</v>
          </cell>
          <cell r="L525">
            <v>326.08</v>
          </cell>
          <cell r="M525">
            <v>19</v>
          </cell>
          <cell r="N525">
            <v>44.7</v>
          </cell>
          <cell r="O525">
            <v>13.7</v>
          </cell>
          <cell r="P525">
            <v>23.7</v>
          </cell>
          <cell r="S525">
            <v>33.6</v>
          </cell>
          <cell r="T525">
            <v>13.8</v>
          </cell>
          <cell r="U525">
            <v>1</v>
          </cell>
        </row>
        <row r="526">
          <cell r="B526" t="str">
            <v>Female</v>
          </cell>
          <cell r="F526">
            <v>0</v>
          </cell>
          <cell r="G526">
            <v>11.5</v>
          </cell>
          <cell r="H526">
            <v>3.8</v>
          </cell>
          <cell r="I526">
            <v>68</v>
          </cell>
          <cell r="J526">
            <v>0</v>
          </cell>
          <cell r="K526" t="str">
            <v>3.9000000000000004</v>
          </cell>
          <cell r="L526">
            <v>130.34</v>
          </cell>
          <cell r="M526">
            <v>22</v>
          </cell>
          <cell r="N526">
            <v>32.04</v>
          </cell>
          <cell r="O526">
            <v>3.5</v>
          </cell>
          <cell r="P526">
            <v>0</v>
          </cell>
          <cell r="T526">
            <v>10</v>
          </cell>
          <cell r="U526">
            <v>5</v>
          </cell>
        </row>
        <row r="527">
          <cell r="B527" t="str">
            <v>Male</v>
          </cell>
          <cell r="F527">
            <v>12</v>
          </cell>
          <cell r="G527">
            <v>27.3</v>
          </cell>
          <cell r="H527">
            <v>4.9000000000000004</v>
          </cell>
          <cell r="I527">
            <v>55.5</v>
          </cell>
          <cell r="J527">
            <v>3</v>
          </cell>
          <cell r="K527">
            <v>14</v>
          </cell>
          <cell r="L527">
            <v>158.72999999999999</v>
          </cell>
          <cell r="M527">
            <v>6</v>
          </cell>
          <cell r="N527">
            <v>43.2</v>
          </cell>
          <cell r="O527">
            <v>4.8</v>
          </cell>
          <cell r="P527">
            <v>7.6</v>
          </cell>
          <cell r="S527">
            <v>39.799999999999997</v>
          </cell>
          <cell r="U527">
            <v>4</v>
          </cell>
        </row>
        <row r="528">
          <cell r="B528" t="str">
            <v>Female</v>
          </cell>
          <cell r="F528">
            <v>6</v>
          </cell>
          <cell r="G528">
            <v>20.2</v>
          </cell>
          <cell r="H528">
            <v>4.3</v>
          </cell>
          <cell r="I528">
            <v>82.7</v>
          </cell>
          <cell r="J528">
            <v>2</v>
          </cell>
          <cell r="K528">
            <v>9.1</v>
          </cell>
          <cell r="L528">
            <v>142.79</v>
          </cell>
          <cell r="M528">
            <v>36</v>
          </cell>
          <cell r="N528">
            <v>30.96</v>
          </cell>
          <cell r="O528">
            <v>10.6</v>
          </cell>
          <cell r="P528">
            <v>19.600000000000001</v>
          </cell>
          <cell r="S528">
            <v>0</v>
          </cell>
          <cell r="T528">
            <v>9.4</v>
          </cell>
          <cell r="U528">
            <v>3</v>
          </cell>
        </row>
        <row r="529">
          <cell r="B529" t="str">
            <v>Male</v>
          </cell>
          <cell r="F529">
            <v>27</v>
          </cell>
          <cell r="G529">
            <v>48.2</v>
          </cell>
          <cell r="I529">
            <v>41.6</v>
          </cell>
          <cell r="J529">
            <v>5</v>
          </cell>
          <cell r="K529">
            <v>20</v>
          </cell>
          <cell r="L529">
            <v>88.94</v>
          </cell>
          <cell r="M529">
            <v>12</v>
          </cell>
          <cell r="N529">
            <v>8.9</v>
          </cell>
          <cell r="O529">
            <v>7.4</v>
          </cell>
          <cell r="P529">
            <v>37.799999999999997</v>
          </cell>
          <cell r="S529">
            <v>75.599999999999994</v>
          </cell>
          <cell r="T529">
            <v>44.1</v>
          </cell>
        </row>
        <row r="530">
          <cell r="B530" t="str">
            <v>Female</v>
          </cell>
          <cell r="F530">
            <v>15</v>
          </cell>
          <cell r="G530">
            <v>27.5</v>
          </cell>
          <cell r="H530">
            <v>12.6</v>
          </cell>
          <cell r="I530">
            <v>56.5</v>
          </cell>
          <cell r="J530">
            <v>5</v>
          </cell>
          <cell r="K530">
            <v>13</v>
          </cell>
          <cell r="L530">
            <v>69.150000000000006</v>
          </cell>
          <cell r="M530">
            <v>38</v>
          </cell>
          <cell r="N530">
            <v>18.3</v>
          </cell>
          <cell r="O530">
            <v>8</v>
          </cell>
          <cell r="P530">
            <v>22.2</v>
          </cell>
          <cell r="S530">
            <v>51</v>
          </cell>
          <cell r="T530">
            <v>27.6</v>
          </cell>
          <cell r="U530">
            <v>1</v>
          </cell>
        </row>
        <row r="531">
          <cell r="B531" t="str">
            <v>Male</v>
          </cell>
          <cell r="F531">
            <v>14</v>
          </cell>
          <cell r="G531">
            <v>42.8</v>
          </cell>
          <cell r="H531">
            <v>12</v>
          </cell>
          <cell r="I531">
            <v>34.700000000000003</v>
          </cell>
          <cell r="J531">
            <v>12</v>
          </cell>
          <cell r="K531">
            <v>27.3</v>
          </cell>
          <cell r="L531">
            <v>136.19999999999999</v>
          </cell>
          <cell r="M531">
            <v>103</v>
          </cell>
          <cell r="N531">
            <v>51.72</v>
          </cell>
          <cell r="O531">
            <v>5.7</v>
          </cell>
          <cell r="P531">
            <v>21.1</v>
          </cell>
          <cell r="S531">
            <v>59.2</v>
          </cell>
          <cell r="T531">
            <v>25.9</v>
          </cell>
          <cell r="U531">
            <v>3</v>
          </cell>
        </row>
        <row r="532">
          <cell r="B532" t="str">
            <v>Female</v>
          </cell>
          <cell r="F532">
            <v>8</v>
          </cell>
          <cell r="G532">
            <v>21.3</v>
          </cell>
          <cell r="H532">
            <v>11.6</v>
          </cell>
          <cell r="I532">
            <v>59.1</v>
          </cell>
          <cell r="J532">
            <v>1</v>
          </cell>
          <cell r="K532">
            <v>10</v>
          </cell>
          <cell r="L532">
            <v>124.99</v>
          </cell>
          <cell r="M532">
            <v>34</v>
          </cell>
          <cell r="N532">
            <v>70.2</v>
          </cell>
          <cell r="O532">
            <v>9.6999999999999993</v>
          </cell>
          <cell r="P532">
            <v>9.9</v>
          </cell>
          <cell r="T532">
            <v>10.199999999999999</v>
          </cell>
          <cell r="U532">
            <v>3</v>
          </cell>
        </row>
        <row r="533">
          <cell r="B533" t="str">
            <v>Female</v>
          </cell>
          <cell r="F533">
            <v>0</v>
          </cell>
          <cell r="G533">
            <v>21.1</v>
          </cell>
          <cell r="H533">
            <v>3.7</v>
          </cell>
          <cell r="I533">
            <v>87.3</v>
          </cell>
          <cell r="J533">
            <v>1</v>
          </cell>
          <cell r="K533">
            <v>6</v>
          </cell>
          <cell r="L533">
            <v>125.71</v>
          </cell>
          <cell r="M533">
            <v>26</v>
          </cell>
          <cell r="N533">
            <v>25.6</v>
          </cell>
          <cell r="O533">
            <v>1</v>
          </cell>
          <cell r="P533">
            <v>0</v>
          </cell>
          <cell r="T533">
            <v>11.8</v>
          </cell>
          <cell r="U533">
            <v>3</v>
          </cell>
        </row>
        <row r="534">
          <cell r="B534" t="str">
            <v>Female</v>
          </cell>
          <cell r="F534">
            <v>2</v>
          </cell>
          <cell r="G534">
            <v>15.7</v>
          </cell>
          <cell r="H534">
            <v>7.7</v>
          </cell>
          <cell r="I534">
            <v>58.9</v>
          </cell>
          <cell r="K534">
            <v>5</v>
          </cell>
          <cell r="L534">
            <v>217.94</v>
          </cell>
          <cell r="M534">
            <v>33</v>
          </cell>
          <cell r="N534">
            <v>51.2</v>
          </cell>
          <cell r="O534">
            <v>3.3</v>
          </cell>
          <cell r="P534">
            <v>9.9</v>
          </cell>
          <cell r="S534">
            <v>17.100000000000001</v>
          </cell>
          <cell r="T534">
            <v>13.4</v>
          </cell>
          <cell r="U534">
            <v>1</v>
          </cell>
        </row>
        <row r="535">
          <cell r="B535" t="str">
            <v>Female</v>
          </cell>
          <cell r="F535">
            <v>4</v>
          </cell>
          <cell r="G535">
            <v>14.9</v>
          </cell>
          <cell r="H535">
            <v>4.4000000000000004</v>
          </cell>
          <cell r="I535">
            <v>47.6</v>
          </cell>
          <cell r="J535">
            <v>0</v>
          </cell>
          <cell r="K535">
            <v>5.2</v>
          </cell>
          <cell r="L535">
            <v>113.38</v>
          </cell>
          <cell r="M535">
            <v>13</v>
          </cell>
          <cell r="N535">
            <v>64.44</v>
          </cell>
          <cell r="O535">
            <v>6.4</v>
          </cell>
          <cell r="P535">
            <v>16.399999999999999</v>
          </cell>
          <cell r="S535">
            <v>0.7</v>
          </cell>
          <cell r="T535">
            <v>18.8</v>
          </cell>
          <cell r="U535">
            <v>4</v>
          </cell>
        </row>
        <row r="536">
          <cell r="B536" t="str">
            <v>Male</v>
          </cell>
          <cell r="F536">
            <v>13</v>
          </cell>
          <cell r="G536">
            <v>45.5</v>
          </cell>
          <cell r="H536">
            <v>15.1</v>
          </cell>
          <cell r="I536">
            <v>38</v>
          </cell>
          <cell r="J536">
            <v>5</v>
          </cell>
          <cell r="K536">
            <v>18</v>
          </cell>
          <cell r="L536">
            <v>105.3</v>
          </cell>
          <cell r="M536">
            <v>10</v>
          </cell>
          <cell r="N536">
            <v>25</v>
          </cell>
          <cell r="O536">
            <v>15.8</v>
          </cell>
          <cell r="P536">
            <v>47.4</v>
          </cell>
          <cell r="S536">
            <v>63.5</v>
          </cell>
          <cell r="T536">
            <v>28.7</v>
          </cell>
          <cell r="U536">
            <v>3</v>
          </cell>
        </row>
        <row r="537">
          <cell r="B537" t="str">
            <v>Male</v>
          </cell>
          <cell r="F537">
            <v>14</v>
          </cell>
          <cell r="G537">
            <v>32.200000000000003</v>
          </cell>
          <cell r="H537">
            <v>12.6</v>
          </cell>
          <cell r="I537">
            <v>49.4</v>
          </cell>
          <cell r="J537">
            <v>6</v>
          </cell>
          <cell r="K537">
            <v>9</v>
          </cell>
          <cell r="L537">
            <v>140.11000000000001</v>
          </cell>
          <cell r="M537">
            <v>3</v>
          </cell>
          <cell r="N537">
            <v>6.2</v>
          </cell>
          <cell r="P537">
            <v>20.2</v>
          </cell>
          <cell r="S537">
            <v>24.4</v>
          </cell>
          <cell r="T537">
            <v>18.100000000000001</v>
          </cell>
          <cell r="U537">
            <v>2</v>
          </cell>
        </row>
        <row r="538">
          <cell r="B538" t="str">
            <v>Male</v>
          </cell>
          <cell r="F538">
            <v>16</v>
          </cell>
          <cell r="G538">
            <v>30</v>
          </cell>
          <cell r="H538">
            <v>9.8000000000000007</v>
          </cell>
          <cell r="I538">
            <v>49.9</v>
          </cell>
          <cell r="J538">
            <v>9</v>
          </cell>
          <cell r="K538">
            <v>19.5</v>
          </cell>
          <cell r="L538">
            <v>191.38</v>
          </cell>
          <cell r="M538">
            <v>17</v>
          </cell>
          <cell r="N538">
            <v>53.52</v>
          </cell>
          <cell r="O538">
            <v>4</v>
          </cell>
          <cell r="P538">
            <v>15.3</v>
          </cell>
          <cell r="S538">
            <v>29.9</v>
          </cell>
          <cell r="T538">
            <v>19.5</v>
          </cell>
          <cell r="U538">
            <v>4</v>
          </cell>
        </row>
        <row r="539">
          <cell r="B539" t="str">
            <v>Female</v>
          </cell>
          <cell r="F539">
            <v>17</v>
          </cell>
          <cell r="G539">
            <v>39.299999999999997</v>
          </cell>
          <cell r="H539">
            <v>11.1</v>
          </cell>
          <cell r="I539">
            <v>51.5</v>
          </cell>
          <cell r="J539">
            <v>7</v>
          </cell>
          <cell r="K539">
            <v>20</v>
          </cell>
          <cell r="L539">
            <v>148.82</v>
          </cell>
          <cell r="M539">
            <v>0</v>
          </cell>
          <cell r="N539">
            <v>32.6</v>
          </cell>
          <cell r="P539">
            <v>39.1</v>
          </cell>
          <cell r="T539">
            <v>27.9</v>
          </cell>
          <cell r="U539">
            <v>2</v>
          </cell>
        </row>
        <row r="540">
          <cell r="B540" t="str">
            <v>Male</v>
          </cell>
          <cell r="F540">
            <v>6</v>
          </cell>
          <cell r="G540">
            <v>28.5</v>
          </cell>
          <cell r="H540">
            <v>10.8</v>
          </cell>
          <cell r="I540">
            <v>74.7</v>
          </cell>
          <cell r="J540">
            <v>2</v>
          </cell>
          <cell r="K540">
            <v>8</v>
          </cell>
          <cell r="L540">
            <v>195.72</v>
          </cell>
          <cell r="M540">
            <v>8</v>
          </cell>
          <cell r="N540">
            <v>44.4</v>
          </cell>
          <cell r="O540">
            <v>0.5</v>
          </cell>
          <cell r="P540">
            <v>12.4</v>
          </cell>
          <cell r="S540">
            <v>31.7</v>
          </cell>
          <cell r="T540">
            <v>4.8</v>
          </cell>
          <cell r="U540">
            <v>2</v>
          </cell>
        </row>
        <row r="541">
          <cell r="B541" t="str">
            <v>Male</v>
          </cell>
          <cell r="F541">
            <v>15</v>
          </cell>
          <cell r="G541">
            <v>31.4</v>
          </cell>
          <cell r="H541">
            <v>12.9</v>
          </cell>
          <cell r="I541">
            <v>63.6</v>
          </cell>
          <cell r="J541">
            <v>8</v>
          </cell>
          <cell r="K541">
            <v>18</v>
          </cell>
          <cell r="L541">
            <v>149.21</v>
          </cell>
          <cell r="M541">
            <v>9</v>
          </cell>
          <cell r="N541">
            <v>34.4</v>
          </cell>
          <cell r="O541">
            <v>11.9</v>
          </cell>
          <cell r="P541">
            <v>30.1</v>
          </cell>
          <cell r="S541">
            <v>52.9</v>
          </cell>
          <cell r="T541">
            <v>24.9</v>
          </cell>
          <cell r="U541">
            <v>2</v>
          </cell>
        </row>
        <row r="542">
          <cell r="B542" t="str">
            <v>Female</v>
          </cell>
          <cell r="F542">
            <v>1</v>
          </cell>
          <cell r="G542">
            <v>15.7</v>
          </cell>
          <cell r="H542">
            <v>6.2</v>
          </cell>
          <cell r="I542">
            <v>65.8</v>
          </cell>
          <cell r="J542">
            <v>1</v>
          </cell>
          <cell r="K542">
            <v>5</v>
          </cell>
          <cell r="L542">
            <v>80.989999999999995</v>
          </cell>
          <cell r="M542">
            <v>0</v>
          </cell>
          <cell r="N542">
            <v>12</v>
          </cell>
          <cell r="O542">
            <v>1.3</v>
          </cell>
          <cell r="P542">
            <v>12.1</v>
          </cell>
          <cell r="S542">
            <v>0</v>
          </cell>
          <cell r="T542">
            <v>8.6</v>
          </cell>
          <cell r="U542">
            <v>3</v>
          </cell>
        </row>
        <row r="543">
          <cell r="B543" t="str">
            <v>Male</v>
          </cell>
          <cell r="F543">
            <v>19</v>
          </cell>
          <cell r="G543">
            <v>49.2</v>
          </cell>
          <cell r="H543">
            <v>14.1</v>
          </cell>
          <cell r="I543">
            <v>36.6</v>
          </cell>
          <cell r="J543">
            <v>14</v>
          </cell>
          <cell r="K543">
            <v>19</v>
          </cell>
          <cell r="L543">
            <v>139.9</v>
          </cell>
          <cell r="M543">
            <v>2</v>
          </cell>
          <cell r="N543">
            <v>16.399999999999999</v>
          </cell>
          <cell r="O543">
            <v>5.5</v>
          </cell>
          <cell r="P543">
            <v>22.3</v>
          </cell>
          <cell r="S543">
            <v>62.9</v>
          </cell>
          <cell r="T543">
            <v>42.3</v>
          </cell>
          <cell r="U543">
            <v>5</v>
          </cell>
        </row>
        <row r="544">
          <cell r="B544" t="str">
            <v>Male</v>
          </cell>
          <cell r="F544">
            <v>21</v>
          </cell>
          <cell r="G544">
            <v>38.5</v>
          </cell>
          <cell r="H544">
            <v>9.1999999999999993</v>
          </cell>
          <cell r="I544">
            <v>41.3</v>
          </cell>
          <cell r="J544">
            <v>9</v>
          </cell>
          <cell r="K544">
            <v>14</v>
          </cell>
          <cell r="L544">
            <v>75.75</v>
          </cell>
          <cell r="M544">
            <v>11</v>
          </cell>
          <cell r="N544">
            <v>19.100000000000001</v>
          </cell>
          <cell r="O544">
            <v>8</v>
          </cell>
          <cell r="P544">
            <v>29.1</v>
          </cell>
          <cell r="S544">
            <v>39.5</v>
          </cell>
          <cell r="T544">
            <v>12.2</v>
          </cell>
          <cell r="U544">
            <v>1</v>
          </cell>
        </row>
        <row r="545">
          <cell r="B545" t="str">
            <v>Male</v>
          </cell>
          <cell r="F545">
            <v>17</v>
          </cell>
          <cell r="G545">
            <v>27.8</v>
          </cell>
          <cell r="H545">
            <v>12.4</v>
          </cell>
          <cell r="I545">
            <v>52.8</v>
          </cell>
          <cell r="J545">
            <v>4</v>
          </cell>
          <cell r="K545">
            <v>22.1</v>
          </cell>
          <cell r="L545">
            <v>167.7</v>
          </cell>
          <cell r="M545">
            <v>65</v>
          </cell>
          <cell r="N545" t="str">
            <v>30.479999999999997</v>
          </cell>
          <cell r="O545">
            <v>2</v>
          </cell>
          <cell r="P545">
            <v>24.6</v>
          </cell>
          <cell r="S545">
            <v>54.3</v>
          </cell>
          <cell r="U545">
            <v>3</v>
          </cell>
        </row>
        <row r="546">
          <cell r="B546" t="str">
            <v>Male</v>
          </cell>
          <cell r="F546">
            <v>12</v>
          </cell>
          <cell r="G546">
            <v>11.1</v>
          </cell>
          <cell r="H546">
            <v>7.6</v>
          </cell>
          <cell r="I546">
            <v>60.3</v>
          </cell>
          <cell r="J546">
            <v>3</v>
          </cell>
          <cell r="K546">
            <v>9</v>
          </cell>
          <cell r="L546">
            <v>65.489999999999995</v>
          </cell>
          <cell r="M546">
            <v>28</v>
          </cell>
          <cell r="N546">
            <v>58.7</v>
          </cell>
          <cell r="O546">
            <v>6</v>
          </cell>
          <cell r="P546">
            <v>13.9</v>
          </cell>
          <cell r="S546">
            <v>40.1</v>
          </cell>
          <cell r="T546">
            <v>21.4</v>
          </cell>
          <cell r="U546">
            <v>4</v>
          </cell>
        </row>
        <row r="547">
          <cell r="B547" t="str">
            <v>Male</v>
          </cell>
          <cell r="F547">
            <v>15</v>
          </cell>
          <cell r="G547">
            <v>16.2</v>
          </cell>
          <cell r="H547">
            <v>6.8</v>
          </cell>
          <cell r="I547">
            <v>83.9</v>
          </cell>
          <cell r="J547">
            <v>1</v>
          </cell>
          <cell r="K547">
            <v>7</v>
          </cell>
          <cell r="L547">
            <v>83.88</v>
          </cell>
          <cell r="M547">
            <v>67</v>
          </cell>
          <cell r="N547">
            <v>38.799999999999997</v>
          </cell>
          <cell r="O547">
            <v>1.4</v>
          </cell>
          <cell r="P547">
            <v>15</v>
          </cell>
          <cell r="T547">
            <v>13.7</v>
          </cell>
          <cell r="U547">
            <v>4</v>
          </cell>
        </row>
        <row r="548">
          <cell r="B548" t="str">
            <v>Female</v>
          </cell>
          <cell r="F548">
            <v>8</v>
          </cell>
          <cell r="G548">
            <v>24.7</v>
          </cell>
          <cell r="H548">
            <v>12.1</v>
          </cell>
          <cell r="I548">
            <v>55.4</v>
          </cell>
          <cell r="J548">
            <v>5</v>
          </cell>
          <cell r="K548">
            <v>20.8</v>
          </cell>
          <cell r="L548">
            <v>78.400000000000006</v>
          </cell>
          <cell r="M548">
            <v>3</v>
          </cell>
          <cell r="N548">
            <v>1.68</v>
          </cell>
          <cell r="O548">
            <v>3.2</v>
          </cell>
          <cell r="P548">
            <v>19.399999999999999</v>
          </cell>
          <cell r="S548">
            <v>43.6</v>
          </cell>
          <cell r="T548">
            <v>18</v>
          </cell>
          <cell r="U548">
            <v>2</v>
          </cell>
        </row>
        <row r="549">
          <cell r="B549" t="str">
            <v>Female</v>
          </cell>
          <cell r="F549">
            <v>14</v>
          </cell>
          <cell r="G549">
            <v>38.200000000000003</v>
          </cell>
          <cell r="H549">
            <v>12.9</v>
          </cell>
          <cell r="I549">
            <v>47.9</v>
          </cell>
          <cell r="K549">
            <v>15</v>
          </cell>
          <cell r="L549">
            <v>77.459999999999994</v>
          </cell>
          <cell r="M549">
            <v>61</v>
          </cell>
          <cell r="N549">
            <v>10.4</v>
          </cell>
          <cell r="O549">
            <v>4.5999999999999996</v>
          </cell>
          <cell r="P549">
            <v>31.9</v>
          </cell>
          <cell r="T549">
            <v>24.6</v>
          </cell>
          <cell r="U549">
            <v>3</v>
          </cell>
        </row>
        <row r="550">
          <cell r="B550" t="str">
            <v>Male</v>
          </cell>
          <cell r="F550">
            <v>2</v>
          </cell>
          <cell r="H550">
            <v>3.3</v>
          </cell>
          <cell r="I550">
            <v>72.599999999999994</v>
          </cell>
          <cell r="J550">
            <v>6</v>
          </cell>
          <cell r="K550">
            <v>8</v>
          </cell>
          <cell r="L550">
            <v>86.14</v>
          </cell>
          <cell r="M550">
            <v>6</v>
          </cell>
          <cell r="N550">
            <v>30.4</v>
          </cell>
          <cell r="O550">
            <v>3.9</v>
          </cell>
          <cell r="P550">
            <v>5.8</v>
          </cell>
          <cell r="S550">
            <v>14.6</v>
          </cell>
          <cell r="T550">
            <v>12.1</v>
          </cell>
          <cell r="U550">
            <v>1</v>
          </cell>
        </row>
        <row r="551">
          <cell r="B551" t="str">
            <v>Male</v>
          </cell>
          <cell r="F551">
            <v>3</v>
          </cell>
          <cell r="G551">
            <v>28.1</v>
          </cell>
          <cell r="H551">
            <v>7.2</v>
          </cell>
          <cell r="I551">
            <v>50.1</v>
          </cell>
          <cell r="J551">
            <v>4</v>
          </cell>
          <cell r="K551">
            <v>8</v>
          </cell>
          <cell r="L551">
            <v>113.54</v>
          </cell>
          <cell r="M551">
            <v>38</v>
          </cell>
          <cell r="O551">
            <v>2.8</v>
          </cell>
          <cell r="P551">
            <v>35.5</v>
          </cell>
          <cell r="S551">
            <v>23.4</v>
          </cell>
          <cell r="T551">
            <v>27.6</v>
          </cell>
          <cell r="U551">
            <v>2</v>
          </cell>
        </row>
        <row r="552">
          <cell r="B552" t="str">
            <v>Female</v>
          </cell>
          <cell r="F552">
            <v>10</v>
          </cell>
          <cell r="G552">
            <v>13.9</v>
          </cell>
          <cell r="H552">
            <v>4.0999999999999996</v>
          </cell>
          <cell r="I552">
            <v>76.5</v>
          </cell>
          <cell r="J552">
            <v>0</v>
          </cell>
          <cell r="K552">
            <v>3</v>
          </cell>
          <cell r="L552">
            <v>64.3</v>
          </cell>
          <cell r="M552">
            <v>72</v>
          </cell>
          <cell r="N552">
            <v>15.4</v>
          </cell>
          <cell r="O552">
            <v>7.8</v>
          </cell>
          <cell r="P552">
            <v>22.1</v>
          </cell>
          <cell r="S552">
            <v>0</v>
          </cell>
          <cell r="T552">
            <v>23.1</v>
          </cell>
          <cell r="U552">
            <v>2</v>
          </cell>
        </row>
        <row r="553">
          <cell r="B553" t="str">
            <v>Male</v>
          </cell>
          <cell r="F553">
            <v>0</v>
          </cell>
          <cell r="G553">
            <v>15.7</v>
          </cell>
          <cell r="H553">
            <v>2</v>
          </cell>
          <cell r="I553">
            <v>80</v>
          </cell>
          <cell r="J553">
            <v>2</v>
          </cell>
          <cell r="K553">
            <v>13</v>
          </cell>
          <cell r="L553">
            <v>67.34</v>
          </cell>
          <cell r="M553">
            <v>11</v>
          </cell>
          <cell r="N553" t="str">
            <v>23.279999999999998</v>
          </cell>
          <cell r="O553">
            <v>4.9000000000000004</v>
          </cell>
          <cell r="P553">
            <v>9.9</v>
          </cell>
          <cell r="S553">
            <v>0</v>
          </cell>
          <cell r="T553">
            <v>14.5</v>
          </cell>
        </row>
        <row r="554">
          <cell r="B554" t="str">
            <v>Female</v>
          </cell>
          <cell r="F554">
            <v>10</v>
          </cell>
          <cell r="G554">
            <v>17.3</v>
          </cell>
          <cell r="H554">
            <v>3.9</v>
          </cell>
          <cell r="I554">
            <v>74.5</v>
          </cell>
          <cell r="J554">
            <v>5</v>
          </cell>
          <cell r="K554">
            <v>9</v>
          </cell>
          <cell r="L554">
            <v>145.38999999999999</v>
          </cell>
          <cell r="M554">
            <v>9</v>
          </cell>
          <cell r="O554">
            <v>6.3</v>
          </cell>
          <cell r="P554">
            <v>0</v>
          </cell>
          <cell r="S554">
            <v>12.6</v>
          </cell>
          <cell r="T554">
            <v>13.7</v>
          </cell>
          <cell r="U554">
            <v>3</v>
          </cell>
        </row>
        <row r="555">
          <cell r="B555" t="str">
            <v>Male</v>
          </cell>
          <cell r="F555">
            <v>5</v>
          </cell>
          <cell r="G555">
            <v>33.1</v>
          </cell>
          <cell r="H555">
            <v>11.5</v>
          </cell>
          <cell r="I555">
            <v>55</v>
          </cell>
          <cell r="J555">
            <v>4</v>
          </cell>
          <cell r="K555">
            <v>15</v>
          </cell>
          <cell r="L555">
            <v>105.97</v>
          </cell>
          <cell r="M555">
            <v>12</v>
          </cell>
          <cell r="N555">
            <v>52.1</v>
          </cell>
          <cell r="O555">
            <v>1.5</v>
          </cell>
          <cell r="P555">
            <v>36</v>
          </cell>
          <cell r="S555">
            <v>34.799999999999997</v>
          </cell>
          <cell r="T555">
            <v>28.9</v>
          </cell>
          <cell r="U555">
            <v>2</v>
          </cell>
        </row>
        <row r="556">
          <cell r="B556" t="str">
            <v>Male</v>
          </cell>
          <cell r="F556">
            <v>19</v>
          </cell>
          <cell r="G556">
            <v>42.5</v>
          </cell>
          <cell r="H556">
            <v>16.5</v>
          </cell>
          <cell r="I556">
            <v>34.700000000000003</v>
          </cell>
          <cell r="J556">
            <v>14</v>
          </cell>
          <cell r="K556" t="str">
            <v>29.900000000000002</v>
          </cell>
          <cell r="L556">
            <v>202.59</v>
          </cell>
          <cell r="M556">
            <v>9</v>
          </cell>
          <cell r="O556">
            <v>5</v>
          </cell>
          <cell r="P556">
            <v>38.799999999999997</v>
          </cell>
          <cell r="S556">
            <v>47.1</v>
          </cell>
          <cell r="T556">
            <v>32.700000000000003</v>
          </cell>
          <cell r="U556">
            <v>4</v>
          </cell>
        </row>
        <row r="557">
          <cell r="B557" t="str">
            <v>Female</v>
          </cell>
          <cell r="F557">
            <v>17</v>
          </cell>
          <cell r="G557">
            <v>36.4</v>
          </cell>
          <cell r="H557">
            <v>11.2</v>
          </cell>
          <cell r="I557">
            <v>53.4</v>
          </cell>
          <cell r="J557">
            <v>7</v>
          </cell>
          <cell r="K557">
            <v>23</v>
          </cell>
          <cell r="L557">
            <v>129.15</v>
          </cell>
          <cell r="M557">
            <v>45</v>
          </cell>
          <cell r="N557">
            <v>66</v>
          </cell>
          <cell r="O557">
            <v>10.9</v>
          </cell>
          <cell r="P557">
            <v>38.200000000000003</v>
          </cell>
          <cell r="S557">
            <v>34.700000000000003</v>
          </cell>
          <cell r="T557">
            <v>27.4</v>
          </cell>
          <cell r="U557">
            <v>2</v>
          </cell>
        </row>
        <row r="558">
          <cell r="B558" t="str">
            <v>Male</v>
          </cell>
          <cell r="F558">
            <v>0</v>
          </cell>
          <cell r="G558">
            <v>24.3</v>
          </cell>
          <cell r="H558">
            <v>8.3000000000000007</v>
          </cell>
          <cell r="I558">
            <v>58.3</v>
          </cell>
          <cell r="J558">
            <v>0</v>
          </cell>
          <cell r="K558">
            <v>8</v>
          </cell>
          <cell r="L558">
            <v>203.1</v>
          </cell>
          <cell r="N558">
            <v>53.3</v>
          </cell>
          <cell r="O558">
            <v>4.4000000000000004</v>
          </cell>
          <cell r="P558">
            <v>17.100000000000001</v>
          </cell>
          <cell r="S558">
            <v>0</v>
          </cell>
          <cell r="T558">
            <v>13.4</v>
          </cell>
          <cell r="U558">
            <v>1</v>
          </cell>
        </row>
        <row r="559">
          <cell r="B559" t="str">
            <v>Other</v>
          </cell>
          <cell r="F559">
            <v>0</v>
          </cell>
          <cell r="G559">
            <v>18</v>
          </cell>
          <cell r="H559">
            <v>6.5</v>
          </cell>
          <cell r="I559">
            <v>74.2</v>
          </cell>
          <cell r="J559">
            <v>0</v>
          </cell>
          <cell r="K559">
            <v>9.1</v>
          </cell>
          <cell r="L559">
            <v>118.03</v>
          </cell>
          <cell r="M559">
            <v>30</v>
          </cell>
          <cell r="N559">
            <v>34.68</v>
          </cell>
          <cell r="O559">
            <v>16.600000000000001</v>
          </cell>
          <cell r="S559">
            <v>14</v>
          </cell>
          <cell r="T559">
            <v>10.4</v>
          </cell>
          <cell r="U559">
            <v>2</v>
          </cell>
        </row>
        <row r="560">
          <cell r="B560" t="str">
            <v>Male</v>
          </cell>
          <cell r="F560">
            <v>10</v>
          </cell>
          <cell r="G560">
            <v>20.6</v>
          </cell>
          <cell r="H560">
            <v>8.6</v>
          </cell>
          <cell r="I560">
            <v>64.7</v>
          </cell>
          <cell r="J560">
            <v>1</v>
          </cell>
          <cell r="K560">
            <v>6</v>
          </cell>
          <cell r="L560">
            <v>95.02</v>
          </cell>
          <cell r="N560">
            <v>28.5</v>
          </cell>
          <cell r="O560">
            <v>6.3</v>
          </cell>
          <cell r="P560">
            <v>18.7</v>
          </cell>
          <cell r="T560">
            <v>12.3</v>
          </cell>
          <cell r="U560">
            <v>3</v>
          </cell>
        </row>
        <row r="561">
          <cell r="B561" t="str">
            <v>Female</v>
          </cell>
          <cell r="F561">
            <v>9</v>
          </cell>
          <cell r="G561">
            <v>24.3</v>
          </cell>
          <cell r="H561">
            <v>7.2</v>
          </cell>
          <cell r="I561">
            <v>66.8</v>
          </cell>
          <cell r="K561">
            <v>6</v>
          </cell>
          <cell r="L561">
            <v>96.61</v>
          </cell>
          <cell r="M561">
            <v>14</v>
          </cell>
          <cell r="N561">
            <v>44.8</v>
          </cell>
          <cell r="O561">
            <v>18.2</v>
          </cell>
          <cell r="P561">
            <v>8.6999999999999993</v>
          </cell>
          <cell r="T561">
            <v>14.8</v>
          </cell>
          <cell r="U561">
            <v>3</v>
          </cell>
        </row>
        <row r="562">
          <cell r="B562" t="str">
            <v>Female</v>
          </cell>
          <cell r="F562">
            <v>7</v>
          </cell>
          <cell r="G562">
            <v>17.5</v>
          </cell>
          <cell r="H562">
            <v>8.5</v>
          </cell>
          <cell r="I562">
            <v>51.7</v>
          </cell>
          <cell r="J562">
            <v>4</v>
          </cell>
          <cell r="K562">
            <v>10</v>
          </cell>
          <cell r="L562">
            <v>96.69</v>
          </cell>
          <cell r="M562">
            <v>73</v>
          </cell>
          <cell r="N562">
            <v>34.9</v>
          </cell>
          <cell r="P562">
            <v>25.9</v>
          </cell>
          <cell r="S562">
            <v>21.6</v>
          </cell>
          <cell r="T562">
            <v>18.100000000000001</v>
          </cell>
          <cell r="U562">
            <v>3</v>
          </cell>
        </row>
        <row r="563">
          <cell r="B563" t="str">
            <v>Female</v>
          </cell>
          <cell r="F563">
            <v>12</v>
          </cell>
          <cell r="G563">
            <v>13.7</v>
          </cell>
          <cell r="H563">
            <v>4.9000000000000004</v>
          </cell>
          <cell r="I563">
            <v>56.7</v>
          </cell>
          <cell r="J563">
            <v>1</v>
          </cell>
          <cell r="K563">
            <v>4</v>
          </cell>
          <cell r="L563">
            <v>102.34</v>
          </cell>
          <cell r="M563">
            <v>12</v>
          </cell>
          <cell r="N563">
            <v>40.5</v>
          </cell>
          <cell r="O563">
            <v>5.0999999999999996</v>
          </cell>
          <cell r="P563">
            <v>6</v>
          </cell>
          <cell r="S563">
            <v>26.6</v>
          </cell>
          <cell r="T563">
            <v>10.4</v>
          </cell>
          <cell r="U563">
            <v>3</v>
          </cell>
        </row>
        <row r="564">
          <cell r="B564" t="str">
            <v>Male</v>
          </cell>
          <cell r="F564">
            <v>13</v>
          </cell>
          <cell r="G564">
            <v>34.5</v>
          </cell>
          <cell r="H564">
            <v>11.8</v>
          </cell>
          <cell r="I564">
            <v>46.9</v>
          </cell>
          <cell r="J564">
            <v>4</v>
          </cell>
          <cell r="K564">
            <v>13</v>
          </cell>
          <cell r="L564">
            <v>133.49</v>
          </cell>
          <cell r="M564">
            <v>41</v>
          </cell>
          <cell r="N564">
            <v>22</v>
          </cell>
          <cell r="O564">
            <v>2.1</v>
          </cell>
          <cell r="P564">
            <v>28.4</v>
          </cell>
          <cell r="S564">
            <v>72.8</v>
          </cell>
          <cell r="T564">
            <v>20.3</v>
          </cell>
          <cell r="U564">
            <v>3</v>
          </cell>
        </row>
        <row r="565">
          <cell r="B565" t="str">
            <v>Male</v>
          </cell>
          <cell r="F565">
            <v>16</v>
          </cell>
          <cell r="H565">
            <v>7.2</v>
          </cell>
          <cell r="I565">
            <v>64.400000000000006</v>
          </cell>
          <cell r="J565">
            <v>6</v>
          </cell>
          <cell r="K565">
            <v>10</v>
          </cell>
          <cell r="L565">
            <v>189.06</v>
          </cell>
          <cell r="M565">
            <v>31</v>
          </cell>
          <cell r="N565">
            <v>17.100000000000001</v>
          </cell>
          <cell r="O565">
            <v>5.7</v>
          </cell>
          <cell r="P565">
            <v>23.9</v>
          </cell>
          <cell r="S565">
            <v>27.3</v>
          </cell>
          <cell r="T565">
            <v>23.4</v>
          </cell>
          <cell r="U565">
            <v>1</v>
          </cell>
        </row>
        <row r="566">
          <cell r="B566" t="str">
            <v>Female</v>
          </cell>
          <cell r="F566">
            <v>4</v>
          </cell>
          <cell r="G566">
            <v>28.3</v>
          </cell>
          <cell r="H566">
            <v>6.3</v>
          </cell>
          <cell r="I566">
            <v>67.8</v>
          </cell>
          <cell r="J566">
            <v>4</v>
          </cell>
          <cell r="K566">
            <v>10</v>
          </cell>
          <cell r="L566">
            <v>91.71</v>
          </cell>
          <cell r="M566">
            <v>31</v>
          </cell>
          <cell r="N566">
            <v>22.4</v>
          </cell>
          <cell r="O566">
            <v>5.6</v>
          </cell>
          <cell r="P566">
            <v>10</v>
          </cell>
          <cell r="S566">
            <v>43.6</v>
          </cell>
          <cell r="T566">
            <v>20.5</v>
          </cell>
          <cell r="U566">
            <v>4</v>
          </cell>
        </row>
        <row r="567">
          <cell r="B567" t="str">
            <v>Female</v>
          </cell>
          <cell r="F567">
            <v>4</v>
          </cell>
          <cell r="G567">
            <v>23.6</v>
          </cell>
          <cell r="H567">
            <v>5.2</v>
          </cell>
          <cell r="I567">
            <v>53.7</v>
          </cell>
          <cell r="J567">
            <v>2</v>
          </cell>
          <cell r="K567">
            <v>8</v>
          </cell>
          <cell r="L567">
            <v>94.33</v>
          </cell>
          <cell r="M567">
            <v>5</v>
          </cell>
          <cell r="N567">
            <v>26</v>
          </cell>
          <cell r="O567">
            <v>6</v>
          </cell>
          <cell r="S567">
            <v>3.6</v>
          </cell>
          <cell r="T567">
            <v>13.2</v>
          </cell>
          <cell r="U567">
            <v>3</v>
          </cell>
        </row>
        <row r="568">
          <cell r="B568" t="str">
            <v>Male</v>
          </cell>
          <cell r="F568">
            <v>11</v>
          </cell>
          <cell r="G568">
            <v>18.3</v>
          </cell>
          <cell r="H568">
            <v>3.3</v>
          </cell>
          <cell r="I568">
            <v>63.4</v>
          </cell>
          <cell r="J568">
            <v>1</v>
          </cell>
          <cell r="K568">
            <v>9.1</v>
          </cell>
          <cell r="L568">
            <v>147.22999999999999</v>
          </cell>
          <cell r="N568">
            <v>12.6</v>
          </cell>
          <cell r="O568">
            <v>4.4000000000000004</v>
          </cell>
          <cell r="P568">
            <v>0</v>
          </cell>
          <cell r="S568">
            <v>0</v>
          </cell>
          <cell r="T568">
            <v>6.2</v>
          </cell>
          <cell r="U568">
            <v>4</v>
          </cell>
        </row>
        <row r="569">
          <cell r="B569" t="str">
            <v>Female</v>
          </cell>
          <cell r="F569">
            <v>2</v>
          </cell>
          <cell r="G569">
            <v>22.8</v>
          </cell>
          <cell r="I569">
            <v>57</v>
          </cell>
          <cell r="J569">
            <v>6</v>
          </cell>
          <cell r="K569">
            <v>12</v>
          </cell>
          <cell r="L569">
            <v>110.79</v>
          </cell>
          <cell r="M569">
            <v>50</v>
          </cell>
          <cell r="N569">
            <v>17.2</v>
          </cell>
          <cell r="O569">
            <v>3.7</v>
          </cell>
          <cell r="P569">
            <v>16</v>
          </cell>
          <cell r="S569">
            <v>34.4</v>
          </cell>
          <cell r="T569">
            <v>14</v>
          </cell>
          <cell r="U569">
            <v>1</v>
          </cell>
        </row>
        <row r="570">
          <cell r="B570" t="str">
            <v>Male</v>
          </cell>
          <cell r="F570">
            <v>16</v>
          </cell>
          <cell r="G570">
            <v>22.2</v>
          </cell>
          <cell r="I570">
            <v>47.9</v>
          </cell>
          <cell r="J570">
            <v>4</v>
          </cell>
          <cell r="K570">
            <v>10</v>
          </cell>
          <cell r="L570">
            <v>109.45</v>
          </cell>
          <cell r="M570">
            <v>5</v>
          </cell>
          <cell r="N570">
            <v>24.9</v>
          </cell>
          <cell r="O570">
            <v>4</v>
          </cell>
          <cell r="P570">
            <v>11.7</v>
          </cell>
          <cell r="T570">
            <v>22</v>
          </cell>
          <cell r="U570">
            <v>4</v>
          </cell>
        </row>
        <row r="571">
          <cell r="B571" t="str">
            <v>Female</v>
          </cell>
          <cell r="F571">
            <v>5</v>
          </cell>
          <cell r="G571">
            <v>15.1</v>
          </cell>
          <cell r="H571">
            <v>4.9000000000000004</v>
          </cell>
          <cell r="I571">
            <v>59.8</v>
          </cell>
          <cell r="J571">
            <v>3</v>
          </cell>
          <cell r="K571">
            <v>9.1</v>
          </cell>
          <cell r="L571">
            <v>46.58</v>
          </cell>
          <cell r="M571">
            <v>8</v>
          </cell>
          <cell r="N571">
            <v>71.64</v>
          </cell>
          <cell r="P571">
            <v>8.4</v>
          </cell>
          <cell r="S571">
            <v>13.1</v>
          </cell>
          <cell r="T571">
            <v>2.7</v>
          </cell>
          <cell r="U571">
            <v>2</v>
          </cell>
        </row>
        <row r="572">
          <cell r="B572" t="str">
            <v>Female</v>
          </cell>
          <cell r="F572">
            <v>10</v>
          </cell>
          <cell r="G572">
            <v>36.5</v>
          </cell>
          <cell r="H572">
            <v>7.4</v>
          </cell>
          <cell r="I572">
            <v>42.6</v>
          </cell>
          <cell r="J572">
            <v>7</v>
          </cell>
          <cell r="K572" t="str">
            <v>16.900000000000002</v>
          </cell>
          <cell r="L572">
            <v>129.55000000000001</v>
          </cell>
          <cell r="M572">
            <v>5</v>
          </cell>
          <cell r="N572">
            <v>77.28</v>
          </cell>
          <cell r="O572">
            <v>16.8</v>
          </cell>
          <cell r="P572">
            <v>24.4</v>
          </cell>
          <cell r="S572">
            <v>25.5</v>
          </cell>
          <cell r="T572">
            <v>27.1</v>
          </cell>
          <cell r="U572">
            <v>1</v>
          </cell>
        </row>
        <row r="573">
          <cell r="B573" t="str">
            <v>Male</v>
          </cell>
          <cell r="F573">
            <v>13</v>
          </cell>
          <cell r="G573">
            <v>42.4</v>
          </cell>
          <cell r="H573">
            <v>5.8</v>
          </cell>
          <cell r="I573">
            <v>49.2</v>
          </cell>
          <cell r="J573">
            <v>6</v>
          </cell>
          <cell r="K573">
            <v>11</v>
          </cell>
          <cell r="L573">
            <v>100.89</v>
          </cell>
          <cell r="N573">
            <v>55.6</v>
          </cell>
          <cell r="O573">
            <v>6</v>
          </cell>
          <cell r="P573">
            <v>37.1</v>
          </cell>
          <cell r="T573">
            <v>20.5</v>
          </cell>
          <cell r="U573">
            <v>2</v>
          </cell>
        </row>
        <row r="574">
          <cell r="B574" t="str">
            <v>Male</v>
          </cell>
          <cell r="F574">
            <v>2</v>
          </cell>
          <cell r="G574">
            <v>17.7</v>
          </cell>
          <cell r="H574">
            <v>3.7</v>
          </cell>
          <cell r="I574">
            <v>79</v>
          </cell>
          <cell r="J574">
            <v>1</v>
          </cell>
          <cell r="K574">
            <v>7</v>
          </cell>
          <cell r="L574">
            <v>189.57</v>
          </cell>
          <cell r="M574">
            <v>20</v>
          </cell>
          <cell r="N574">
            <v>49.3</v>
          </cell>
          <cell r="O574">
            <v>4.0999999999999996</v>
          </cell>
          <cell r="P574">
            <v>19.2</v>
          </cell>
          <cell r="S574">
            <v>18.100000000000001</v>
          </cell>
          <cell r="T574">
            <v>19.600000000000001</v>
          </cell>
          <cell r="U574">
            <v>1</v>
          </cell>
        </row>
        <row r="575">
          <cell r="B575" t="str">
            <v>Female</v>
          </cell>
          <cell r="F575">
            <v>12</v>
          </cell>
          <cell r="G575">
            <v>20.3</v>
          </cell>
          <cell r="H575">
            <v>9</v>
          </cell>
          <cell r="I575">
            <v>66.5</v>
          </cell>
          <cell r="J575">
            <v>3</v>
          </cell>
          <cell r="K575">
            <v>22.1</v>
          </cell>
          <cell r="L575">
            <v>209.75</v>
          </cell>
          <cell r="M575">
            <v>15</v>
          </cell>
          <cell r="N575" t="str">
            <v>24.599999999999998</v>
          </cell>
          <cell r="O575">
            <v>7.8</v>
          </cell>
          <cell r="P575">
            <v>0</v>
          </cell>
          <cell r="S575">
            <v>15.2</v>
          </cell>
          <cell r="T575">
            <v>23.9</v>
          </cell>
          <cell r="U575">
            <v>2</v>
          </cell>
        </row>
        <row r="576">
          <cell r="B576" t="str">
            <v>Male</v>
          </cell>
          <cell r="F576">
            <v>10</v>
          </cell>
          <cell r="G576">
            <v>19.600000000000001</v>
          </cell>
          <cell r="H576">
            <v>8.1</v>
          </cell>
          <cell r="I576">
            <v>53.9</v>
          </cell>
          <cell r="J576">
            <v>4</v>
          </cell>
          <cell r="K576">
            <v>8</v>
          </cell>
          <cell r="L576">
            <v>171.42</v>
          </cell>
          <cell r="M576">
            <v>82</v>
          </cell>
          <cell r="N576">
            <v>47.3</v>
          </cell>
          <cell r="O576">
            <v>1.2</v>
          </cell>
          <cell r="P576">
            <v>34.1</v>
          </cell>
          <cell r="S576">
            <v>35.799999999999997</v>
          </cell>
          <cell r="T576">
            <v>16.399999999999999</v>
          </cell>
          <cell r="U576">
            <v>1</v>
          </cell>
        </row>
        <row r="577">
          <cell r="B577" t="str">
            <v>Female</v>
          </cell>
          <cell r="F577">
            <v>5</v>
          </cell>
          <cell r="G577">
            <v>28.6</v>
          </cell>
          <cell r="H577">
            <v>6.3</v>
          </cell>
          <cell r="I577">
            <v>56.3</v>
          </cell>
          <cell r="J577">
            <v>3</v>
          </cell>
          <cell r="K577">
            <v>12</v>
          </cell>
          <cell r="L577">
            <v>71.97</v>
          </cell>
          <cell r="M577">
            <v>2</v>
          </cell>
          <cell r="N577">
            <v>71.7</v>
          </cell>
          <cell r="O577">
            <v>1</v>
          </cell>
          <cell r="P577">
            <v>16</v>
          </cell>
          <cell r="S577">
            <v>12.1</v>
          </cell>
          <cell r="T577">
            <v>22.8</v>
          </cell>
          <cell r="U577">
            <v>2</v>
          </cell>
        </row>
        <row r="578">
          <cell r="B578" t="str">
            <v>Female</v>
          </cell>
          <cell r="F578">
            <v>9</v>
          </cell>
          <cell r="G578">
            <v>25.7</v>
          </cell>
          <cell r="H578">
            <v>7.2</v>
          </cell>
          <cell r="I578">
            <v>69.900000000000006</v>
          </cell>
          <cell r="J578">
            <v>2</v>
          </cell>
          <cell r="K578">
            <v>8</v>
          </cell>
          <cell r="L578">
            <v>92.82</v>
          </cell>
          <cell r="M578">
            <v>83</v>
          </cell>
          <cell r="N578">
            <v>23.2</v>
          </cell>
          <cell r="O578">
            <v>5.5</v>
          </cell>
          <cell r="S578">
            <v>4.2</v>
          </cell>
          <cell r="T578">
            <v>17.5</v>
          </cell>
          <cell r="U578">
            <v>2</v>
          </cell>
        </row>
        <row r="579">
          <cell r="B579" t="str">
            <v>Male</v>
          </cell>
          <cell r="F579">
            <v>20</v>
          </cell>
          <cell r="G579">
            <v>36.799999999999997</v>
          </cell>
          <cell r="H579">
            <v>15.1</v>
          </cell>
          <cell r="I579">
            <v>35.6</v>
          </cell>
          <cell r="J579">
            <v>8</v>
          </cell>
          <cell r="K579">
            <v>16</v>
          </cell>
          <cell r="L579">
            <v>187.2</v>
          </cell>
          <cell r="M579">
            <v>31</v>
          </cell>
          <cell r="N579">
            <v>22.9</v>
          </cell>
          <cell r="O579">
            <v>1.1000000000000001</v>
          </cell>
          <cell r="P579">
            <v>19</v>
          </cell>
          <cell r="S579">
            <v>52</v>
          </cell>
          <cell r="T579">
            <v>27.3</v>
          </cell>
          <cell r="U579">
            <v>5</v>
          </cell>
        </row>
        <row r="580">
          <cell r="B580" t="str">
            <v>Male</v>
          </cell>
          <cell r="F580">
            <v>28</v>
          </cell>
          <cell r="G580">
            <v>45</v>
          </cell>
          <cell r="H580">
            <v>16.399999999999999</v>
          </cell>
          <cell r="I580">
            <v>37.1</v>
          </cell>
          <cell r="J580">
            <v>10</v>
          </cell>
          <cell r="K580">
            <v>24</v>
          </cell>
          <cell r="L580">
            <v>123.06</v>
          </cell>
          <cell r="M580">
            <v>48</v>
          </cell>
          <cell r="N580">
            <v>57.9</v>
          </cell>
          <cell r="P580">
            <v>37.700000000000003</v>
          </cell>
          <cell r="S580">
            <v>36.6</v>
          </cell>
          <cell r="T580">
            <v>41.7</v>
          </cell>
          <cell r="U580">
            <v>1</v>
          </cell>
        </row>
        <row r="581">
          <cell r="B581" t="str">
            <v>Male</v>
          </cell>
          <cell r="F581">
            <v>0</v>
          </cell>
          <cell r="G581">
            <v>19.5</v>
          </cell>
          <cell r="H581">
            <v>2.2999999999999998</v>
          </cell>
          <cell r="I581">
            <v>73.8</v>
          </cell>
          <cell r="J581">
            <v>0</v>
          </cell>
          <cell r="K581">
            <v>9</v>
          </cell>
          <cell r="L581">
            <v>157.41</v>
          </cell>
          <cell r="M581">
            <v>47</v>
          </cell>
          <cell r="N581">
            <v>89.4</v>
          </cell>
          <cell r="P581">
            <v>23.8</v>
          </cell>
          <cell r="T581">
            <v>11</v>
          </cell>
          <cell r="U581">
            <v>2</v>
          </cell>
        </row>
        <row r="582">
          <cell r="B582" t="str">
            <v>Male</v>
          </cell>
          <cell r="F582">
            <v>6</v>
          </cell>
          <cell r="G582">
            <v>26.1</v>
          </cell>
          <cell r="H582">
            <v>6.9</v>
          </cell>
          <cell r="I582">
            <v>63.2</v>
          </cell>
          <cell r="J582">
            <v>4</v>
          </cell>
          <cell r="K582">
            <v>9</v>
          </cell>
          <cell r="L582">
            <v>89</v>
          </cell>
          <cell r="M582">
            <v>33</v>
          </cell>
          <cell r="N582">
            <v>15.9</v>
          </cell>
          <cell r="O582">
            <v>3.1</v>
          </cell>
          <cell r="P582">
            <v>11.7</v>
          </cell>
          <cell r="S582">
            <v>18.7</v>
          </cell>
          <cell r="T582">
            <v>27.2</v>
          </cell>
          <cell r="U582">
            <v>1</v>
          </cell>
        </row>
        <row r="583">
          <cell r="B583" t="str">
            <v>Female</v>
          </cell>
          <cell r="F583">
            <v>6</v>
          </cell>
          <cell r="G583">
            <v>11.4</v>
          </cell>
          <cell r="H583">
            <v>4.5</v>
          </cell>
          <cell r="I583">
            <v>73.2</v>
          </cell>
          <cell r="J583">
            <v>0</v>
          </cell>
          <cell r="K583">
            <v>3</v>
          </cell>
          <cell r="L583">
            <v>77.290000000000006</v>
          </cell>
          <cell r="M583">
            <v>54</v>
          </cell>
          <cell r="N583">
            <v>44.4</v>
          </cell>
          <cell r="O583">
            <v>6.5</v>
          </cell>
          <cell r="P583">
            <v>22.1</v>
          </cell>
          <cell r="S583">
            <v>16.899999999999999</v>
          </cell>
          <cell r="T583">
            <v>4.0999999999999996</v>
          </cell>
          <cell r="U583">
            <v>2</v>
          </cell>
        </row>
        <row r="584">
          <cell r="B584" t="str">
            <v>Male</v>
          </cell>
          <cell r="F584">
            <v>10</v>
          </cell>
          <cell r="G584">
            <v>38.6</v>
          </cell>
          <cell r="H584">
            <v>10.1</v>
          </cell>
          <cell r="I584">
            <v>36.200000000000003</v>
          </cell>
          <cell r="J584">
            <v>5</v>
          </cell>
          <cell r="K584">
            <v>12</v>
          </cell>
          <cell r="L584">
            <v>55.14</v>
          </cell>
          <cell r="M584">
            <v>37</v>
          </cell>
          <cell r="N584">
            <v>71.2</v>
          </cell>
          <cell r="P584">
            <v>31.2</v>
          </cell>
          <cell r="S584">
            <v>40.299999999999997</v>
          </cell>
          <cell r="T584">
            <v>32.799999999999997</v>
          </cell>
          <cell r="U584">
            <v>2</v>
          </cell>
        </row>
        <row r="585">
          <cell r="B585" t="str">
            <v>Male</v>
          </cell>
          <cell r="F585">
            <v>7</v>
          </cell>
          <cell r="G585">
            <v>33.6</v>
          </cell>
          <cell r="H585">
            <v>7.7</v>
          </cell>
          <cell r="I585">
            <v>60.5</v>
          </cell>
          <cell r="J585">
            <v>5</v>
          </cell>
          <cell r="K585">
            <v>12</v>
          </cell>
          <cell r="L585">
            <v>166.46</v>
          </cell>
          <cell r="M585">
            <v>34</v>
          </cell>
          <cell r="N585">
            <v>33.799999999999997</v>
          </cell>
          <cell r="O585">
            <v>10.3</v>
          </cell>
          <cell r="P585">
            <v>32.799999999999997</v>
          </cell>
          <cell r="S585">
            <v>28.5</v>
          </cell>
          <cell r="U585">
            <v>1</v>
          </cell>
        </row>
        <row r="586">
          <cell r="B586" t="str">
            <v>Male</v>
          </cell>
          <cell r="F586">
            <v>4</v>
          </cell>
          <cell r="G586">
            <v>18.100000000000001</v>
          </cell>
          <cell r="H586">
            <v>8.1</v>
          </cell>
          <cell r="I586">
            <v>74.900000000000006</v>
          </cell>
          <cell r="J586">
            <v>2</v>
          </cell>
          <cell r="K586">
            <v>13</v>
          </cell>
          <cell r="L586">
            <v>150.65</v>
          </cell>
          <cell r="M586">
            <v>16</v>
          </cell>
          <cell r="N586">
            <v>60.24</v>
          </cell>
          <cell r="O586">
            <v>1.6</v>
          </cell>
          <cell r="P586">
            <v>24.7</v>
          </cell>
          <cell r="S586">
            <v>38</v>
          </cell>
          <cell r="T586">
            <v>11.6</v>
          </cell>
          <cell r="U586">
            <v>2</v>
          </cell>
        </row>
        <row r="587">
          <cell r="B587" t="str">
            <v>Male</v>
          </cell>
          <cell r="F587">
            <v>9</v>
          </cell>
          <cell r="G587">
            <v>20.3</v>
          </cell>
          <cell r="H587">
            <v>6.3</v>
          </cell>
          <cell r="I587">
            <v>57.7</v>
          </cell>
          <cell r="J587">
            <v>3</v>
          </cell>
          <cell r="K587">
            <v>11</v>
          </cell>
          <cell r="L587">
            <v>128.44999999999999</v>
          </cell>
          <cell r="M587">
            <v>3</v>
          </cell>
          <cell r="N587">
            <v>14.3</v>
          </cell>
          <cell r="O587">
            <v>5.7</v>
          </cell>
          <cell r="P587">
            <v>6.8</v>
          </cell>
          <cell r="S587">
            <v>0</v>
          </cell>
          <cell r="T587">
            <v>9.3000000000000007</v>
          </cell>
          <cell r="U587">
            <v>2</v>
          </cell>
        </row>
        <row r="588">
          <cell r="B588" t="str">
            <v>Male</v>
          </cell>
          <cell r="F588">
            <v>16</v>
          </cell>
          <cell r="G588">
            <v>41.5</v>
          </cell>
          <cell r="H588">
            <v>13.6</v>
          </cell>
          <cell r="I588">
            <v>42.1</v>
          </cell>
          <cell r="J588">
            <v>13</v>
          </cell>
          <cell r="K588">
            <v>20.8</v>
          </cell>
          <cell r="L588">
            <v>135.52000000000001</v>
          </cell>
          <cell r="M588">
            <v>0</v>
          </cell>
          <cell r="N588">
            <v>100.8</v>
          </cell>
          <cell r="O588">
            <v>2.6</v>
          </cell>
          <cell r="P588">
            <v>30.1</v>
          </cell>
          <cell r="S588">
            <v>59.8</v>
          </cell>
          <cell r="T588">
            <v>30.9</v>
          </cell>
          <cell r="U588">
            <v>3</v>
          </cell>
        </row>
        <row r="589">
          <cell r="B589" t="str">
            <v>Female</v>
          </cell>
          <cell r="F589">
            <v>12</v>
          </cell>
          <cell r="G589">
            <v>39.700000000000003</v>
          </cell>
          <cell r="H589">
            <v>11.4</v>
          </cell>
          <cell r="I589">
            <v>42.1</v>
          </cell>
          <cell r="J589">
            <v>12</v>
          </cell>
          <cell r="K589" t="str">
            <v>31.200000000000003</v>
          </cell>
          <cell r="L589">
            <v>132.35</v>
          </cell>
          <cell r="M589">
            <v>19</v>
          </cell>
          <cell r="N589">
            <v>18.48</v>
          </cell>
          <cell r="O589">
            <v>7.3</v>
          </cell>
          <cell r="P589">
            <v>22.7</v>
          </cell>
          <cell r="S589">
            <v>57.1</v>
          </cell>
          <cell r="T589">
            <v>24.2</v>
          </cell>
          <cell r="U589">
            <v>2</v>
          </cell>
        </row>
        <row r="590">
          <cell r="B590" t="str">
            <v>Female</v>
          </cell>
          <cell r="F590">
            <v>18</v>
          </cell>
          <cell r="G590">
            <v>36.9</v>
          </cell>
          <cell r="H590">
            <v>10</v>
          </cell>
          <cell r="I590">
            <v>41.2</v>
          </cell>
          <cell r="J590">
            <v>7</v>
          </cell>
          <cell r="K590">
            <v>18.2</v>
          </cell>
          <cell r="L590">
            <v>146.01</v>
          </cell>
          <cell r="M590">
            <v>17</v>
          </cell>
          <cell r="N590">
            <v>11.04</v>
          </cell>
          <cell r="O590">
            <v>8.6</v>
          </cell>
          <cell r="P590">
            <v>49.3</v>
          </cell>
          <cell r="T590">
            <v>30.7</v>
          </cell>
          <cell r="U590">
            <v>5</v>
          </cell>
        </row>
        <row r="591">
          <cell r="B591" t="str">
            <v>Female</v>
          </cell>
          <cell r="F591">
            <v>26</v>
          </cell>
          <cell r="G591">
            <v>44.9</v>
          </cell>
          <cell r="H591">
            <v>11.3</v>
          </cell>
          <cell r="I591">
            <v>15.8</v>
          </cell>
          <cell r="J591">
            <v>4</v>
          </cell>
          <cell r="K591">
            <v>19</v>
          </cell>
          <cell r="L591">
            <v>130.97</v>
          </cell>
          <cell r="M591">
            <v>40</v>
          </cell>
          <cell r="N591">
            <v>21.8</v>
          </cell>
          <cell r="O591">
            <v>10.5</v>
          </cell>
          <cell r="P591">
            <v>32.799999999999997</v>
          </cell>
          <cell r="S591">
            <v>58.6</v>
          </cell>
          <cell r="T591">
            <v>33.9</v>
          </cell>
          <cell r="U591">
            <v>2</v>
          </cell>
        </row>
        <row r="592">
          <cell r="B592" t="str">
            <v>Female</v>
          </cell>
          <cell r="F592">
            <v>22</v>
          </cell>
          <cell r="G592">
            <v>33.200000000000003</v>
          </cell>
          <cell r="I592">
            <v>37.299999999999997</v>
          </cell>
          <cell r="J592">
            <v>7</v>
          </cell>
          <cell r="K592">
            <v>18</v>
          </cell>
          <cell r="L592">
            <v>98.61</v>
          </cell>
          <cell r="M592">
            <v>3</v>
          </cell>
          <cell r="N592">
            <v>17.600000000000001</v>
          </cell>
          <cell r="O592">
            <v>2.8</v>
          </cell>
          <cell r="P592">
            <v>29.6</v>
          </cell>
          <cell r="S592">
            <v>55.1</v>
          </cell>
          <cell r="T592">
            <v>31</v>
          </cell>
          <cell r="U592">
            <v>1</v>
          </cell>
        </row>
        <row r="593">
          <cell r="B593" t="str">
            <v>Female</v>
          </cell>
          <cell r="F593">
            <v>20</v>
          </cell>
          <cell r="G593">
            <v>24.9</v>
          </cell>
          <cell r="H593">
            <v>9.5</v>
          </cell>
          <cell r="I593">
            <v>39.9</v>
          </cell>
          <cell r="J593">
            <v>1</v>
          </cell>
          <cell r="K593">
            <v>14</v>
          </cell>
          <cell r="L593">
            <v>200.68</v>
          </cell>
          <cell r="M593">
            <v>4</v>
          </cell>
          <cell r="N593">
            <v>43.2</v>
          </cell>
          <cell r="O593">
            <v>10.8</v>
          </cell>
          <cell r="P593">
            <v>21.6</v>
          </cell>
          <cell r="S593">
            <v>51.9</v>
          </cell>
          <cell r="T593">
            <v>24.3</v>
          </cell>
          <cell r="U593">
            <v>3</v>
          </cell>
        </row>
        <row r="594">
          <cell r="B594" t="str">
            <v>Female</v>
          </cell>
          <cell r="F594">
            <v>13</v>
          </cell>
          <cell r="G594">
            <v>29.5</v>
          </cell>
          <cell r="H594">
            <v>9.1</v>
          </cell>
          <cell r="I594">
            <v>65.5</v>
          </cell>
          <cell r="J594">
            <v>7</v>
          </cell>
          <cell r="K594">
            <v>13</v>
          </cell>
          <cell r="L594">
            <v>53.65</v>
          </cell>
          <cell r="M594">
            <v>15</v>
          </cell>
          <cell r="N594">
            <v>21.7</v>
          </cell>
          <cell r="P594">
            <v>24.3</v>
          </cell>
          <cell r="S594">
            <v>44.4</v>
          </cell>
          <cell r="T594">
            <v>13</v>
          </cell>
          <cell r="U594">
            <v>5</v>
          </cell>
        </row>
        <row r="595">
          <cell r="B595" t="str">
            <v>Male</v>
          </cell>
          <cell r="F595">
            <v>2</v>
          </cell>
          <cell r="G595">
            <v>12</v>
          </cell>
          <cell r="H595">
            <v>5.5</v>
          </cell>
          <cell r="I595">
            <v>73</v>
          </cell>
          <cell r="J595">
            <v>1</v>
          </cell>
          <cell r="K595">
            <v>9</v>
          </cell>
          <cell r="L595">
            <v>191.55</v>
          </cell>
          <cell r="M595">
            <v>10</v>
          </cell>
          <cell r="N595">
            <v>27.5</v>
          </cell>
          <cell r="O595">
            <v>13.6</v>
          </cell>
          <cell r="P595">
            <v>0</v>
          </cell>
          <cell r="T595">
            <v>8.6</v>
          </cell>
          <cell r="U595">
            <v>2</v>
          </cell>
        </row>
        <row r="596">
          <cell r="B596" t="str">
            <v>Female</v>
          </cell>
          <cell r="F596">
            <v>12</v>
          </cell>
          <cell r="G596">
            <v>23.6</v>
          </cell>
          <cell r="H596">
            <v>6.3</v>
          </cell>
          <cell r="I596">
            <v>51.3</v>
          </cell>
          <cell r="J596">
            <v>1</v>
          </cell>
          <cell r="K596" t="str">
            <v>11.700000000000001</v>
          </cell>
          <cell r="L596">
            <v>86.27</v>
          </cell>
          <cell r="M596">
            <v>47</v>
          </cell>
          <cell r="N596">
            <v>25.92</v>
          </cell>
          <cell r="O596">
            <v>5.8</v>
          </cell>
          <cell r="P596">
            <v>15.6</v>
          </cell>
          <cell r="S596">
            <v>32.200000000000003</v>
          </cell>
          <cell r="T596">
            <v>11.8</v>
          </cell>
          <cell r="U596">
            <v>2</v>
          </cell>
        </row>
        <row r="597">
          <cell r="B597" t="str">
            <v>Male</v>
          </cell>
          <cell r="F597">
            <v>5</v>
          </cell>
          <cell r="G597">
            <v>17.399999999999999</v>
          </cell>
          <cell r="H597">
            <v>9.6</v>
          </cell>
          <cell r="I597">
            <v>77.3</v>
          </cell>
          <cell r="J597">
            <v>2</v>
          </cell>
          <cell r="K597">
            <v>7</v>
          </cell>
          <cell r="L597">
            <v>105.34</v>
          </cell>
          <cell r="M597">
            <v>6</v>
          </cell>
          <cell r="N597">
            <v>14.7</v>
          </cell>
          <cell r="O597">
            <v>4.9000000000000004</v>
          </cell>
          <cell r="P597">
            <v>7.6</v>
          </cell>
          <cell r="S597">
            <v>17.399999999999999</v>
          </cell>
          <cell r="T597">
            <v>7.8</v>
          </cell>
          <cell r="U597">
            <v>3</v>
          </cell>
        </row>
        <row r="598">
          <cell r="B598" t="str">
            <v>Female</v>
          </cell>
          <cell r="F598">
            <v>15</v>
          </cell>
          <cell r="G598">
            <v>22.6</v>
          </cell>
          <cell r="H598">
            <v>8</v>
          </cell>
          <cell r="I598">
            <v>56.4</v>
          </cell>
          <cell r="J598">
            <v>3</v>
          </cell>
          <cell r="K598">
            <v>13</v>
          </cell>
          <cell r="L598">
            <v>88.72</v>
          </cell>
          <cell r="M598">
            <v>33</v>
          </cell>
          <cell r="N598">
            <v>18.600000000000001</v>
          </cell>
          <cell r="O598">
            <v>1.7</v>
          </cell>
          <cell r="P598">
            <v>13.2</v>
          </cell>
          <cell r="S598">
            <v>24.7</v>
          </cell>
          <cell r="T598">
            <v>22.7</v>
          </cell>
          <cell r="U598">
            <v>2</v>
          </cell>
        </row>
        <row r="599">
          <cell r="B599" t="str">
            <v>Male</v>
          </cell>
          <cell r="F599">
            <v>17</v>
          </cell>
          <cell r="G599">
            <v>20.5</v>
          </cell>
          <cell r="H599">
            <v>11.2</v>
          </cell>
          <cell r="I599">
            <v>44.8</v>
          </cell>
          <cell r="J599">
            <v>2</v>
          </cell>
          <cell r="K599">
            <v>14</v>
          </cell>
          <cell r="L599">
            <v>126.89</v>
          </cell>
          <cell r="M599">
            <v>61</v>
          </cell>
          <cell r="N599">
            <v>86</v>
          </cell>
          <cell r="O599">
            <v>11.9</v>
          </cell>
          <cell r="P599">
            <v>13.6</v>
          </cell>
          <cell r="T599">
            <v>17.899999999999999</v>
          </cell>
          <cell r="U599">
            <v>1</v>
          </cell>
        </row>
        <row r="600">
          <cell r="B600" t="str">
            <v>Male</v>
          </cell>
          <cell r="F600">
            <v>12</v>
          </cell>
          <cell r="G600">
            <v>42.9</v>
          </cell>
          <cell r="H600">
            <v>10.1</v>
          </cell>
          <cell r="I600">
            <v>49.5</v>
          </cell>
          <cell r="J600">
            <v>8</v>
          </cell>
          <cell r="K600" t="str">
            <v>16.900000000000002</v>
          </cell>
          <cell r="L600">
            <v>115.24</v>
          </cell>
          <cell r="M600">
            <v>13</v>
          </cell>
          <cell r="N600">
            <v>81</v>
          </cell>
          <cell r="O600">
            <v>6.6</v>
          </cell>
          <cell r="P600">
            <v>29.1</v>
          </cell>
          <cell r="S600">
            <v>21.3</v>
          </cell>
          <cell r="T600">
            <v>33.200000000000003</v>
          </cell>
          <cell r="U600">
            <v>1</v>
          </cell>
        </row>
        <row r="601">
          <cell r="B601" t="str">
            <v>Male</v>
          </cell>
          <cell r="F601">
            <v>21</v>
          </cell>
          <cell r="G601">
            <v>31.2</v>
          </cell>
          <cell r="H601">
            <v>7.7</v>
          </cell>
          <cell r="I601">
            <v>56.3</v>
          </cell>
          <cell r="J601">
            <v>0</v>
          </cell>
          <cell r="K601">
            <v>18</v>
          </cell>
          <cell r="L601">
            <v>96.93</v>
          </cell>
          <cell r="M601">
            <v>6</v>
          </cell>
          <cell r="N601">
            <v>29.8</v>
          </cell>
          <cell r="O601">
            <v>1.8</v>
          </cell>
          <cell r="P601">
            <v>30.7</v>
          </cell>
          <cell r="T601">
            <v>14.7</v>
          </cell>
          <cell r="U601">
            <v>3</v>
          </cell>
        </row>
        <row r="602">
          <cell r="B602" t="str">
            <v>Female</v>
          </cell>
          <cell r="F602">
            <v>15</v>
          </cell>
          <cell r="G602">
            <v>39.6</v>
          </cell>
          <cell r="H602">
            <v>13.2</v>
          </cell>
          <cell r="I602">
            <v>43.6</v>
          </cell>
          <cell r="J602">
            <v>6</v>
          </cell>
          <cell r="K602">
            <v>17</v>
          </cell>
          <cell r="L602">
            <v>55.71</v>
          </cell>
          <cell r="M602">
            <v>29</v>
          </cell>
          <cell r="N602">
            <v>40.1</v>
          </cell>
          <cell r="O602">
            <v>2.9</v>
          </cell>
          <cell r="P602">
            <v>53.6</v>
          </cell>
          <cell r="S602">
            <v>62.1</v>
          </cell>
          <cell r="T602">
            <v>29.6</v>
          </cell>
          <cell r="U602">
            <v>5</v>
          </cell>
        </row>
        <row r="603">
          <cell r="B603" t="str">
            <v>Male</v>
          </cell>
          <cell r="F603">
            <v>21</v>
          </cell>
          <cell r="G603">
            <v>36</v>
          </cell>
          <cell r="H603">
            <v>9.6</v>
          </cell>
          <cell r="I603">
            <v>25.2</v>
          </cell>
          <cell r="J603">
            <v>4</v>
          </cell>
          <cell r="K603" t="str">
            <v>23.400000000000002</v>
          </cell>
          <cell r="L603">
            <v>95.17</v>
          </cell>
          <cell r="M603">
            <v>13</v>
          </cell>
          <cell r="P603">
            <v>22.1</v>
          </cell>
          <cell r="S603">
            <v>33.299999999999997</v>
          </cell>
          <cell r="T603">
            <v>33.200000000000003</v>
          </cell>
          <cell r="U603">
            <v>3</v>
          </cell>
        </row>
        <row r="604">
          <cell r="B604" t="str">
            <v>Male</v>
          </cell>
          <cell r="F604">
            <v>8</v>
          </cell>
          <cell r="G604">
            <v>28.5</v>
          </cell>
          <cell r="H604">
            <v>8.5</v>
          </cell>
          <cell r="I604">
            <v>76.2</v>
          </cell>
          <cell r="J604">
            <v>3</v>
          </cell>
          <cell r="K604">
            <v>12</v>
          </cell>
          <cell r="L604">
            <v>182.09</v>
          </cell>
          <cell r="M604">
            <v>83</v>
          </cell>
          <cell r="N604">
            <v>50</v>
          </cell>
          <cell r="O604">
            <v>5.2</v>
          </cell>
          <cell r="P604">
            <v>38.799999999999997</v>
          </cell>
          <cell r="S604">
            <v>28.3</v>
          </cell>
          <cell r="T604">
            <v>12.9</v>
          </cell>
          <cell r="U604">
            <v>2</v>
          </cell>
        </row>
        <row r="605">
          <cell r="B605" t="str">
            <v>Female</v>
          </cell>
          <cell r="F605">
            <v>3</v>
          </cell>
          <cell r="G605">
            <v>25.1</v>
          </cell>
          <cell r="H605">
            <v>11.2</v>
          </cell>
          <cell r="I605">
            <v>36.1</v>
          </cell>
          <cell r="J605">
            <v>5</v>
          </cell>
          <cell r="K605">
            <v>12</v>
          </cell>
          <cell r="L605">
            <v>47.69</v>
          </cell>
          <cell r="M605">
            <v>3</v>
          </cell>
          <cell r="N605">
            <v>72.599999999999994</v>
          </cell>
          <cell r="O605">
            <v>13.4</v>
          </cell>
          <cell r="S605">
            <v>17</v>
          </cell>
          <cell r="U605">
            <v>2</v>
          </cell>
        </row>
        <row r="606">
          <cell r="B606" t="str">
            <v>Male</v>
          </cell>
          <cell r="F606">
            <v>5</v>
          </cell>
          <cell r="G606">
            <v>21.1</v>
          </cell>
          <cell r="I606">
            <v>57.3</v>
          </cell>
          <cell r="K606">
            <v>9</v>
          </cell>
          <cell r="L606">
            <v>122.04</v>
          </cell>
          <cell r="M606">
            <v>51</v>
          </cell>
          <cell r="N606">
            <v>47.8</v>
          </cell>
          <cell r="O606">
            <v>2.2999999999999998</v>
          </cell>
          <cell r="S606">
            <v>22.8</v>
          </cell>
          <cell r="U606">
            <v>2</v>
          </cell>
        </row>
        <row r="607">
          <cell r="B607" t="str">
            <v>Female</v>
          </cell>
          <cell r="F607">
            <v>7</v>
          </cell>
          <cell r="G607">
            <v>17.5</v>
          </cell>
          <cell r="H607">
            <v>5.6</v>
          </cell>
          <cell r="I607">
            <v>56.8</v>
          </cell>
          <cell r="J607">
            <v>4</v>
          </cell>
          <cell r="K607" t="str">
            <v>7.800000000000001</v>
          </cell>
          <cell r="L607">
            <v>98.38</v>
          </cell>
          <cell r="M607">
            <v>16</v>
          </cell>
          <cell r="N607">
            <v>31.56</v>
          </cell>
          <cell r="O607">
            <v>4.5999999999999996</v>
          </cell>
          <cell r="P607">
            <v>21.5</v>
          </cell>
          <cell r="S607">
            <v>0</v>
          </cell>
          <cell r="T607">
            <v>11.6</v>
          </cell>
          <cell r="U607">
            <v>2</v>
          </cell>
        </row>
        <row r="608">
          <cell r="B608" t="str">
            <v>Female</v>
          </cell>
          <cell r="F608">
            <v>18</v>
          </cell>
          <cell r="G608">
            <v>36.799999999999997</v>
          </cell>
          <cell r="H608">
            <v>9.5</v>
          </cell>
          <cell r="I608">
            <v>52.6</v>
          </cell>
          <cell r="J608">
            <v>8</v>
          </cell>
          <cell r="K608">
            <v>11</v>
          </cell>
          <cell r="L608">
            <v>176.7</v>
          </cell>
          <cell r="M608">
            <v>27</v>
          </cell>
          <cell r="N608">
            <v>17.3</v>
          </cell>
          <cell r="O608">
            <v>1.7</v>
          </cell>
          <cell r="P608">
            <v>29.6</v>
          </cell>
          <cell r="S608">
            <v>38.5</v>
          </cell>
          <cell r="T608">
            <v>15.3</v>
          </cell>
          <cell r="U608">
            <v>2</v>
          </cell>
        </row>
        <row r="609">
          <cell r="B609" t="str">
            <v>Male</v>
          </cell>
          <cell r="F609">
            <v>30</v>
          </cell>
          <cell r="G609">
            <v>48.2</v>
          </cell>
          <cell r="H609">
            <v>18.5</v>
          </cell>
          <cell r="I609">
            <v>23.6</v>
          </cell>
          <cell r="J609">
            <v>12</v>
          </cell>
          <cell r="K609">
            <v>26</v>
          </cell>
          <cell r="L609">
            <v>158.97999999999999</v>
          </cell>
          <cell r="M609">
            <v>38</v>
          </cell>
          <cell r="N609">
            <v>36.799999999999997</v>
          </cell>
          <cell r="O609">
            <v>7.2</v>
          </cell>
          <cell r="P609">
            <v>46.4</v>
          </cell>
          <cell r="S609">
            <v>100</v>
          </cell>
          <cell r="T609">
            <v>44.7</v>
          </cell>
          <cell r="U609">
            <v>1</v>
          </cell>
        </row>
        <row r="610">
          <cell r="B610" t="str">
            <v>Male</v>
          </cell>
          <cell r="F610">
            <v>5</v>
          </cell>
          <cell r="H610">
            <v>1</v>
          </cell>
          <cell r="I610">
            <v>89.2</v>
          </cell>
          <cell r="J610">
            <v>1</v>
          </cell>
          <cell r="K610">
            <v>5</v>
          </cell>
          <cell r="L610">
            <v>166.4</v>
          </cell>
          <cell r="M610">
            <v>12</v>
          </cell>
          <cell r="N610">
            <v>18.600000000000001</v>
          </cell>
          <cell r="P610">
            <v>2.6</v>
          </cell>
          <cell r="S610">
            <v>8.4</v>
          </cell>
          <cell r="T610">
            <v>15.5</v>
          </cell>
          <cell r="U610">
            <v>4</v>
          </cell>
        </row>
        <row r="611">
          <cell r="B611" t="str">
            <v>Female</v>
          </cell>
          <cell r="F611">
            <v>24</v>
          </cell>
          <cell r="G611">
            <v>36.299999999999997</v>
          </cell>
          <cell r="H611">
            <v>9.1999999999999993</v>
          </cell>
          <cell r="I611">
            <v>53</v>
          </cell>
          <cell r="J611">
            <v>3</v>
          </cell>
          <cell r="K611">
            <v>18.2</v>
          </cell>
          <cell r="L611">
            <v>84.61</v>
          </cell>
          <cell r="M611">
            <v>62</v>
          </cell>
          <cell r="N611">
            <v>47.04</v>
          </cell>
          <cell r="O611">
            <v>13.9</v>
          </cell>
          <cell r="P611">
            <v>48.4</v>
          </cell>
          <cell r="S611">
            <v>37.1</v>
          </cell>
          <cell r="T611">
            <v>19.2</v>
          </cell>
          <cell r="U611">
            <v>2</v>
          </cell>
        </row>
        <row r="612">
          <cell r="B612" t="str">
            <v>Male</v>
          </cell>
          <cell r="F612">
            <v>33</v>
          </cell>
          <cell r="G612">
            <v>47.2</v>
          </cell>
          <cell r="H612">
            <v>11.7</v>
          </cell>
          <cell r="I612">
            <v>33.9</v>
          </cell>
          <cell r="J612">
            <v>7</v>
          </cell>
          <cell r="K612">
            <v>19.5</v>
          </cell>
          <cell r="L612">
            <v>103.48</v>
          </cell>
          <cell r="M612">
            <v>1</v>
          </cell>
          <cell r="N612">
            <v>42.6</v>
          </cell>
          <cell r="P612">
            <v>25.3</v>
          </cell>
          <cell r="S612">
            <v>44</v>
          </cell>
          <cell r="T612">
            <v>26.3</v>
          </cell>
          <cell r="U612">
            <v>1</v>
          </cell>
        </row>
        <row r="613">
          <cell r="B613" t="str">
            <v>Male</v>
          </cell>
          <cell r="F613">
            <v>22</v>
          </cell>
          <cell r="G613">
            <v>35.299999999999997</v>
          </cell>
          <cell r="H613">
            <v>10.199999999999999</v>
          </cell>
          <cell r="I613">
            <v>45.7</v>
          </cell>
          <cell r="J613">
            <v>5</v>
          </cell>
          <cell r="K613">
            <v>18</v>
          </cell>
          <cell r="L613">
            <v>118.94</v>
          </cell>
          <cell r="M613">
            <v>25</v>
          </cell>
          <cell r="N613">
            <v>30.4</v>
          </cell>
          <cell r="O613">
            <v>8</v>
          </cell>
          <cell r="P613">
            <v>6.7</v>
          </cell>
          <cell r="S613">
            <v>30.9</v>
          </cell>
          <cell r="T613">
            <v>29.9</v>
          </cell>
          <cell r="U613">
            <v>1</v>
          </cell>
        </row>
        <row r="614">
          <cell r="B614" t="str">
            <v>Female</v>
          </cell>
          <cell r="F614">
            <v>20</v>
          </cell>
          <cell r="G614">
            <v>25.4</v>
          </cell>
          <cell r="H614">
            <v>9.1</v>
          </cell>
          <cell r="I614">
            <v>52.3</v>
          </cell>
          <cell r="J614">
            <v>5</v>
          </cell>
          <cell r="K614">
            <v>41.6</v>
          </cell>
          <cell r="L614">
            <v>140.94999999999999</v>
          </cell>
          <cell r="N614">
            <v>27.96</v>
          </cell>
          <cell r="O614">
            <v>2.8</v>
          </cell>
          <cell r="P614">
            <v>36.299999999999997</v>
          </cell>
          <cell r="S614">
            <v>34.6</v>
          </cell>
          <cell r="T614">
            <v>24.6</v>
          </cell>
          <cell r="U614">
            <v>3</v>
          </cell>
        </row>
        <row r="615">
          <cell r="B615" t="str">
            <v>Male</v>
          </cell>
          <cell r="F615">
            <v>10</v>
          </cell>
          <cell r="G615">
            <v>37.299999999999997</v>
          </cell>
          <cell r="H615">
            <v>9</v>
          </cell>
          <cell r="I615">
            <v>46.1</v>
          </cell>
          <cell r="J615">
            <v>5</v>
          </cell>
          <cell r="K615">
            <v>16</v>
          </cell>
          <cell r="L615">
            <v>246.18</v>
          </cell>
          <cell r="M615">
            <v>5</v>
          </cell>
          <cell r="O615">
            <v>1.6</v>
          </cell>
          <cell r="P615">
            <v>47.3</v>
          </cell>
          <cell r="T615">
            <v>27.8</v>
          </cell>
          <cell r="U615">
            <v>4</v>
          </cell>
        </row>
        <row r="616">
          <cell r="B616" t="str">
            <v>Female</v>
          </cell>
          <cell r="F616">
            <v>23</v>
          </cell>
          <cell r="G616">
            <v>47.5</v>
          </cell>
          <cell r="I616">
            <v>28.2</v>
          </cell>
          <cell r="J616">
            <v>5</v>
          </cell>
          <cell r="K616">
            <v>44.2</v>
          </cell>
          <cell r="L616">
            <v>54.05</v>
          </cell>
          <cell r="M616">
            <v>0</v>
          </cell>
          <cell r="N616">
            <v>98.52</v>
          </cell>
          <cell r="O616">
            <v>6</v>
          </cell>
          <cell r="P616">
            <v>47.9</v>
          </cell>
          <cell r="S616">
            <v>63</v>
          </cell>
          <cell r="U616">
            <v>3</v>
          </cell>
        </row>
        <row r="617">
          <cell r="B617" t="str">
            <v>Female</v>
          </cell>
          <cell r="F617">
            <v>9</v>
          </cell>
          <cell r="G617">
            <v>21.7</v>
          </cell>
          <cell r="H617">
            <v>10.3</v>
          </cell>
          <cell r="I617">
            <v>50.4</v>
          </cell>
          <cell r="K617">
            <v>13</v>
          </cell>
          <cell r="L617">
            <v>126.01</v>
          </cell>
          <cell r="M617">
            <v>14</v>
          </cell>
          <cell r="N617">
            <v>84.24</v>
          </cell>
          <cell r="O617">
            <v>7.6</v>
          </cell>
          <cell r="P617">
            <v>7.9</v>
          </cell>
          <cell r="S617">
            <v>4.9000000000000004</v>
          </cell>
          <cell r="T617">
            <v>14.6</v>
          </cell>
          <cell r="U617">
            <v>4</v>
          </cell>
        </row>
        <row r="618">
          <cell r="B618" t="str">
            <v>Female</v>
          </cell>
          <cell r="F618">
            <v>19</v>
          </cell>
          <cell r="G618">
            <v>39.299999999999997</v>
          </cell>
          <cell r="H618">
            <v>10.199999999999999</v>
          </cell>
          <cell r="I618">
            <v>54.1</v>
          </cell>
          <cell r="J618">
            <v>3</v>
          </cell>
          <cell r="K618">
            <v>14</v>
          </cell>
          <cell r="L618">
            <v>94.66</v>
          </cell>
          <cell r="M618">
            <v>2</v>
          </cell>
          <cell r="O618">
            <v>7.3</v>
          </cell>
          <cell r="P618">
            <v>23.7</v>
          </cell>
          <cell r="S618">
            <v>43</v>
          </cell>
          <cell r="T618">
            <v>29.3</v>
          </cell>
          <cell r="U618">
            <v>1</v>
          </cell>
        </row>
        <row r="619">
          <cell r="B619" t="str">
            <v>Female</v>
          </cell>
          <cell r="F619">
            <v>25</v>
          </cell>
          <cell r="G619">
            <v>36.299999999999997</v>
          </cell>
          <cell r="H619">
            <v>14.5</v>
          </cell>
          <cell r="I619">
            <v>39.4</v>
          </cell>
          <cell r="J619">
            <v>2</v>
          </cell>
          <cell r="K619">
            <v>19</v>
          </cell>
          <cell r="L619">
            <v>194.58</v>
          </cell>
          <cell r="M619">
            <v>70</v>
          </cell>
          <cell r="N619">
            <v>54</v>
          </cell>
          <cell r="O619">
            <v>7.5</v>
          </cell>
          <cell r="P619">
            <v>40.799999999999997</v>
          </cell>
          <cell r="T619">
            <v>34.5</v>
          </cell>
          <cell r="U619">
            <v>2</v>
          </cell>
        </row>
        <row r="620">
          <cell r="B620" t="str">
            <v>Female</v>
          </cell>
          <cell r="F620">
            <v>5</v>
          </cell>
          <cell r="H620">
            <v>6.8</v>
          </cell>
          <cell r="I620">
            <v>67.599999999999994</v>
          </cell>
          <cell r="J620">
            <v>1</v>
          </cell>
          <cell r="K620">
            <v>3</v>
          </cell>
          <cell r="L620">
            <v>124.7</v>
          </cell>
          <cell r="M620">
            <v>48</v>
          </cell>
          <cell r="N620">
            <v>16.8</v>
          </cell>
          <cell r="O620">
            <v>16.7</v>
          </cell>
          <cell r="P620">
            <v>14.7</v>
          </cell>
          <cell r="S620">
            <v>19.899999999999999</v>
          </cell>
          <cell r="T620">
            <v>17.399999999999999</v>
          </cell>
          <cell r="U620">
            <v>5</v>
          </cell>
        </row>
        <row r="621">
          <cell r="B621" t="str">
            <v>Male</v>
          </cell>
          <cell r="F621">
            <v>2</v>
          </cell>
          <cell r="G621">
            <v>20.100000000000001</v>
          </cell>
          <cell r="H621">
            <v>5.5</v>
          </cell>
          <cell r="I621">
            <v>69.7</v>
          </cell>
          <cell r="J621">
            <v>2</v>
          </cell>
          <cell r="K621">
            <v>6</v>
          </cell>
          <cell r="L621">
            <v>50.25</v>
          </cell>
          <cell r="M621">
            <v>39</v>
          </cell>
          <cell r="N621">
            <v>51.6</v>
          </cell>
          <cell r="O621">
            <v>6.6</v>
          </cell>
          <cell r="P621">
            <v>16.8</v>
          </cell>
          <cell r="S621">
            <v>36.799999999999997</v>
          </cell>
          <cell r="T621">
            <v>12.5</v>
          </cell>
          <cell r="U621">
            <v>2</v>
          </cell>
        </row>
        <row r="622">
          <cell r="B622" t="str">
            <v>Female</v>
          </cell>
          <cell r="F622">
            <v>1</v>
          </cell>
          <cell r="G622">
            <v>17.2</v>
          </cell>
          <cell r="H622">
            <v>6.1</v>
          </cell>
          <cell r="I622">
            <v>65.099999999999994</v>
          </cell>
          <cell r="J622">
            <v>5</v>
          </cell>
          <cell r="K622">
            <v>10</v>
          </cell>
          <cell r="L622">
            <v>99.28</v>
          </cell>
          <cell r="M622">
            <v>61</v>
          </cell>
          <cell r="O622">
            <v>15.7</v>
          </cell>
          <cell r="P622">
            <v>10</v>
          </cell>
          <cell r="S622">
            <v>9</v>
          </cell>
          <cell r="T622">
            <v>11.5</v>
          </cell>
          <cell r="U622">
            <v>1</v>
          </cell>
        </row>
        <row r="623">
          <cell r="B623" t="str">
            <v>Female</v>
          </cell>
          <cell r="F623">
            <v>18</v>
          </cell>
          <cell r="G623">
            <v>30.6</v>
          </cell>
          <cell r="I623">
            <v>62.2</v>
          </cell>
          <cell r="J623">
            <v>5</v>
          </cell>
          <cell r="K623">
            <v>9</v>
          </cell>
          <cell r="L623">
            <v>139.21</v>
          </cell>
          <cell r="M623">
            <v>42</v>
          </cell>
          <cell r="N623">
            <v>42.9</v>
          </cell>
          <cell r="O623">
            <v>4.5999999999999996</v>
          </cell>
          <cell r="P623">
            <v>5.7</v>
          </cell>
          <cell r="S623">
            <v>39.4</v>
          </cell>
          <cell r="T623">
            <v>11</v>
          </cell>
          <cell r="U623">
            <v>5</v>
          </cell>
        </row>
        <row r="624">
          <cell r="B624" t="str">
            <v>Male</v>
          </cell>
          <cell r="F624">
            <v>7</v>
          </cell>
          <cell r="G624">
            <v>29.1</v>
          </cell>
          <cell r="H624">
            <v>11.7</v>
          </cell>
          <cell r="I624">
            <v>70.099999999999994</v>
          </cell>
          <cell r="J624">
            <v>8</v>
          </cell>
          <cell r="K624">
            <v>22</v>
          </cell>
          <cell r="L624">
            <v>136.91999999999999</v>
          </cell>
          <cell r="M624">
            <v>15</v>
          </cell>
          <cell r="N624">
            <v>50.4</v>
          </cell>
          <cell r="O624">
            <v>7.3</v>
          </cell>
          <cell r="P624">
            <v>19.7</v>
          </cell>
          <cell r="S624">
            <v>26</v>
          </cell>
          <cell r="T624">
            <v>20.9</v>
          </cell>
        </row>
        <row r="625">
          <cell r="B625" t="str">
            <v>Male</v>
          </cell>
          <cell r="F625">
            <v>2</v>
          </cell>
          <cell r="G625">
            <v>15.7</v>
          </cell>
          <cell r="H625">
            <v>5.2</v>
          </cell>
          <cell r="I625">
            <v>52.5</v>
          </cell>
          <cell r="J625">
            <v>6</v>
          </cell>
          <cell r="K625">
            <v>8</v>
          </cell>
          <cell r="L625">
            <v>95.94</v>
          </cell>
          <cell r="M625">
            <v>14</v>
          </cell>
          <cell r="N625">
            <v>58.6</v>
          </cell>
          <cell r="O625">
            <v>4.7</v>
          </cell>
          <cell r="P625">
            <v>18.600000000000001</v>
          </cell>
          <cell r="S625">
            <v>13.9</v>
          </cell>
          <cell r="T625">
            <v>7.7</v>
          </cell>
          <cell r="U625">
            <v>4</v>
          </cell>
        </row>
        <row r="626">
          <cell r="B626" t="str">
            <v>Female</v>
          </cell>
          <cell r="F626">
            <v>17</v>
          </cell>
          <cell r="G626">
            <v>35.4</v>
          </cell>
          <cell r="H626">
            <v>13.6</v>
          </cell>
          <cell r="I626">
            <v>49.5</v>
          </cell>
          <cell r="J626">
            <v>4</v>
          </cell>
          <cell r="K626">
            <v>19.5</v>
          </cell>
          <cell r="L626">
            <v>50.21</v>
          </cell>
          <cell r="M626">
            <v>39</v>
          </cell>
          <cell r="N626">
            <v>8.4</v>
          </cell>
          <cell r="O626">
            <v>2.6</v>
          </cell>
          <cell r="P626">
            <v>26.1</v>
          </cell>
          <cell r="S626">
            <v>12.9</v>
          </cell>
          <cell r="T626">
            <v>23.3</v>
          </cell>
          <cell r="U626">
            <v>3</v>
          </cell>
        </row>
        <row r="627">
          <cell r="B627" t="str">
            <v>Male</v>
          </cell>
          <cell r="F627">
            <v>13</v>
          </cell>
          <cell r="G627">
            <v>38.1</v>
          </cell>
          <cell r="H627">
            <v>7.4</v>
          </cell>
          <cell r="I627">
            <v>32.200000000000003</v>
          </cell>
          <cell r="J627">
            <v>5</v>
          </cell>
          <cell r="K627">
            <v>16</v>
          </cell>
          <cell r="L627">
            <v>163.03</v>
          </cell>
          <cell r="M627">
            <v>13</v>
          </cell>
          <cell r="N627">
            <v>51.5</v>
          </cell>
          <cell r="O627">
            <v>16.7</v>
          </cell>
          <cell r="P627">
            <v>4.9000000000000004</v>
          </cell>
          <cell r="S627">
            <v>57.7</v>
          </cell>
          <cell r="T627">
            <v>9.6</v>
          </cell>
        </row>
        <row r="628">
          <cell r="B628" t="str">
            <v>Female</v>
          </cell>
          <cell r="F628">
            <v>0</v>
          </cell>
          <cell r="G628">
            <v>14.6</v>
          </cell>
          <cell r="H628">
            <v>5.2</v>
          </cell>
          <cell r="I628">
            <v>92</v>
          </cell>
          <cell r="J628">
            <v>0</v>
          </cell>
          <cell r="K628">
            <v>2</v>
          </cell>
          <cell r="L628">
            <v>96.51</v>
          </cell>
          <cell r="M628">
            <v>31</v>
          </cell>
          <cell r="N628">
            <v>34.9</v>
          </cell>
          <cell r="O628">
            <v>5.5</v>
          </cell>
          <cell r="P628">
            <v>11.8</v>
          </cell>
          <cell r="T628">
            <v>0.2</v>
          </cell>
          <cell r="U628">
            <v>3</v>
          </cell>
        </row>
        <row r="629">
          <cell r="B629" t="str">
            <v>Female</v>
          </cell>
          <cell r="F629">
            <v>4</v>
          </cell>
          <cell r="G629">
            <v>15.7</v>
          </cell>
          <cell r="H629">
            <v>1</v>
          </cell>
          <cell r="I629">
            <v>84.7</v>
          </cell>
          <cell r="J629">
            <v>1</v>
          </cell>
          <cell r="K629">
            <v>11</v>
          </cell>
          <cell r="L629">
            <v>65.03</v>
          </cell>
          <cell r="M629">
            <v>22</v>
          </cell>
          <cell r="N629">
            <v>57.6</v>
          </cell>
          <cell r="P629">
            <v>13</v>
          </cell>
          <cell r="S629">
            <v>4.3</v>
          </cell>
          <cell r="T629">
            <v>9.6999999999999993</v>
          </cell>
          <cell r="U629">
            <v>4</v>
          </cell>
        </row>
        <row r="630">
          <cell r="B630" t="str">
            <v>Male</v>
          </cell>
          <cell r="F630">
            <v>14</v>
          </cell>
          <cell r="G630">
            <v>34.5</v>
          </cell>
          <cell r="H630">
            <v>10.3</v>
          </cell>
          <cell r="I630">
            <v>47</v>
          </cell>
          <cell r="J630">
            <v>3</v>
          </cell>
          <cell r="K630">
            <v>14</v>
          </cell>
          <cell r="L630">
            <v>196.41</v>
          </cell>
          <cell r="M630">
            <v>3</v>
          </cell>
          <cell r="N630">
            <v>22</v>
          </cell>
          <cell r="P630">
            <v>22.1</v>
          </cell>
          <cell r="S630">
            <v>42.9</v>
          </cell>
          <cell r="T630">
            <v>20.5</v>
          </cell>
          <cell r="U630">
            <v>2</v>
          </cell>
        </row>
        <row r="631">
          <cell r="B631" t="str">
            <v>Female</v>
          </cell>
          <cell r="F631">
            <v>7</v>
          </cell>
          <cell r="G631">
            <v>14.7</v>
          </cell>
          <cell r="H631">
            <v>9.3000000000000007</v>
          </cell>
          <cell r="I631">
            <v>65.5</v>
          </cell>
          <cell r="J631">
            <v>2</v>
          </cell>
          <cell r="K631">
            <v>8</v>
          </cell>
          <cell r="L631">
            <v>109.7</v>
          </cell>
          <cell r="M631">
            <v>23</v>
          </cell>
          <cell r="N631">
            <v>44.4</v>
          </cell>
          <cell r="O631">
            <v>3.1</v>
          </cell>
          <cell r="P631">
            <v>8.6</v>
          </cell>
          <cell r="S631">
            <v>16.100000000000001</v>
          </cell>
          <cell r="T631">
            <v>7.7</v>
          </cell>
          <cell r="U631">
            <v>2</v>
          </cell>
        </row>
        <row r="632">
          <cell r="B632" t="str">
            <v>Male</v>
          </cell>
          <cell r="F632">
            <v>6</v>
          </cell>
          <cell r="G632">
            <v>23.4</v>
          </cell>
          <cell r="H632">
            <v>9.3000000000000007</v>
          </cell>
          <cell r="I632">
            <v>71.900000000000006</v>
          </cell>
          <cell r="J632">
            <v>4</v>
          </cell>
          <cell r="K632">
            <v>6</v>
          </cell>
          <cell r="L632">
            <v>98.49</v>
          </cell>
          <cell r="M632">
            <v>27</v>
          </cell>
          <cell r="N632">
            <v>10.5</v>
          </cell>
          <cell r="O632">
            <v>2.9</v>
          </cell>
          <cell r="P632">
            <v>16.399999999999999</v>
          </cell>
          <cell r="S632">
            <v>23.7</v>
          </cell>
          <cell r="T632">
            <v>23.7</v>
          </cell>
          <cell r="U632">
            <v>2</v>
          </cell>
        </row>
        <row r="633">
          <cell r="B633" t="str">
            <v>Female</v>
          </cell>
          <cell r="F633">
            <v>0</v>
          </cell>
          <cell r="G633">
            <v>21.1</v>
          </cell>
          <cell r="H633">
            <v>5.8</v>
          </cell>
          <cell r="I633">
            <v>50.3</v>
          </cell>
          <cell r="J633">
            <v>0</v>
          </cell>
          <cell r="K633">
            <v>4</v>
          </cell>
          <cell r="L633">
            <v>156.81</v>
          </cell>
          <cell r="M633">
            <v>16</v>
          </cell>
          <cell r="N633">
            <v>44.5</v>
          </cell>
          <cell r="O633">
            <v>5.7</v>
          </cell>
          <cell r="T633">
            <v>4.0999999999999996</v>
          </cell>
          <cell r="U633">
            <v>4</v>
          </cell>
        </row>
        <row r="634">
          <cell r="B634" t="str">
            <v>Male</v>
          </cell>
          <cell r="F634">
            <v>0</v>
          </cell>
          <cell r="G634">
            <v>17.8</v>
          </cell>
          <cell r="H634">
            <v>5</v>
          </cell>
          <cell r="I634">
            <v>68.5</v>
          </cell>
          <cell r="J634">
            <v>0</v>
          </cell>
          <cell r="K634" t="str">
            <v>16.900000000000002</v>
          </cell>
          <cell r="L634">
            <v>194.75</v>
          </cell>
          <cell r="M634">
            <v>13</v>
          </cell>
          <cell r="N634" t="str">
            <v>63.35999999999999</v>
          </cell>
          <cell r="O634">
            <v>9.9</v>
          </cell>
          <cell r="P634">
            <v>4.5999999999999996</v>
          </cell>
          <cell r="S634">
            <v>7.3</v>
          </cell>
          <cell r="T634">
            <v>16.7</v>
          </cell>
          <cell r="U634">
            <v>2</v>
          </cell>
        </row>
        <row r="635">
          <cell r="B635" t="str">
            <v>Male</v>
          </cell>
          <cell r="F635">
            <v>5</v>
          </cell>
          <cell r="G635">
            <v>28.7</v>
          </cell>
          <cell r="H635">
            <v>10.3</v>
          </cell>
          <cell r="I635">
            <v>44.1</v>
          </cell>
          <cell r="J635">
            <v>5</v>
          </cell>
          <cell r="K635">
            <v>10</v>
          </cell>
          <cell r="L635">
            <v>152.65</v>
          </cell>
          <cell r="M635">
            <v>48</v>
          </cell>
          <cell r="N635">
            <v>27.3</v>
          </cell>
          <cell r="O635">
            <v>2.1</v>
          </cell>
          <cell r="S635">
            <v>32</v>
          </cell>
          <cell r="U635">
            <v>3</v>
          </cell>
        </row>
        <row r="636">
          <cell r="B636" t="str">
            <v>Other</v>
          </cell>
          <cell r="F636">
            <v>7</v>
          </cell>
          <cell r="G636">
            <v>17.600000000000001</v>
          </cell>
          <cell r="H636">
            <v>6.1</v>
          </cell>
          <cell r="I636">
            <v>65.5</v>
          </cell>
          <cell r="J636">
            <v>5</v>
          </cell>
          <cell r="K636">
            <v>19.5</v>
          </cell>
          <cell r="L636">
            <v>141.66999999999999</v>
          </cell>
          <cell r="M636">
            <v>5</v>
          </cell>
          <cell r="N636">
            <v>52.92</v>
          </cell>
          <cell r="P636">
            <v>14</v>
          </cell>
          <cell r="T636">
            <v>23.6</v>
          </cell>
          <cell r="U636">
            <v>1</v>
          </cell>
        </row>
        <row r="637">
          <cell r="B637" t="str">
            <v>Male</v>
          </cell>
          <cell r="F637">
            <v>9</v>
          </cell>
          <cell r="G637">
            <v>16.5</v>
          </cell>
          <cell r="H637">
            <v>7.6</v>
          </cell>
          <cell r="I637">
            <v>71.3</v>
          </cell>
          <cell r="J637">
            <v>2</v>
          </cell>
          <cell r="K637">
            <v>13</v>
          </cell>
          <cell r="L637">
            <v>165.1</v>
          </cell>
          <cell r="M637">
            <v>16</v>
          </cell>
          <cell r="N637">
            <v>30.8</v>
          </cell>
          <cell r="P637">
            <v>0.9</v>
          </cell>
          <cell r="S637">
            <v>3.8</v>
          </cell>
          <cell r="T637">
            <v>13.6</v>
          </cell>
          <cell r="U637">
            <v>2</v>
          </cell>
        </row>
        <row r="638">
          <cell r="B638" t="str">
            <v>Male</v>
          </cell>
          <cell r="F638">
            <v>14</v>
          </cell>
          <cell r="G638">
            <v>30.7</v>
          </cell>
          <cell r="H638">
            <v>11.7</v>
          </cell>
          <cell r="I638">
            <v>57.7</v>
          </cell>
          <cell r="J638">
            <v>9</v>
          </cell>
          <cell r="K638">
            <v>12</v>
          </cell>
          <cell r="L638">
            <v>67.83</v>
          </cell>
          <cell r="M638">
            <v>6</v>
          </cell>
          <cell r="N638">
            <v>47.5</v>
          </cell>
          <cell r="O638">
            <v>4.4000000000000004</v>
          </cell>
          <cell r="P638">
            <v>18.600000000000001</v>
          </cell>
          <cell r="T638">
            <v>35</v>
          </cell>
          <cell r="U638">
            <v>2</v>
          </cell>
        </row>
        <row r="639">
          <cell r="B639" t="str">
            <v>Male</v>
          </cell>
          <cell r="F639">
            <v>12</v>
          </cell>
          <cell r="G639">
            <v>35.6</v>
          </cell>
          <cell r="H639">
            <v>10.3</v>
          </cell>
          <cell r="I639">
            <v>52.3</v>
          </cell>
          <cell r="J639">
            <v>10</v>
          </cell>
          <cell r="K639">
            <v>16</v>
          </cell>
          <cell r="L639">
            <v>113.58</v>
          </cell>
          <cell r="M639">
            <v>160</v>
          </cell>
          <cell r="N639">
            <v>18.100000000000001</v>
          </cell>
          <cell r="O639">
            <v>1.6</v>
          </cell>
          <cell r="P639">
            <v>22.4</v>
          </cell>
          <cell r="S639">
            <v>41</v>
          </cell>
          <cell r="T639">
            <v>23.8</v>
          </cell>
          <cell r="U639">
            <v>4</v>
          </cell>
        </row>
        <row r="640">
          <cell r="B640" t="str">
            <v>Female</v>
          </cell>
          <cell r="F640">
            <v>4</v>
          </cell>
          <cell r="G640">
            <v>21.5</v>
          </cell>
          <cell r="H640">
            <v>3</v>
          </cell>
          <cell r="I640">
            <v>58.4</v>
          </cell>
          <cell r="J640">
            <v>3</v>
          </cell>
          <cell r="K640">
            <v>4</v>
          </cell>
          <cell r="L640">
            <v>78.5</v>
          </cell>
          <cell r="N640">
            <v>53.2</v>
          </cell>
          <cell r="O640">
            <v>3.9</v>
          </cell>
          <cell r="P640">
            <v>24.3</v>
          </cell>
          <cell r="S640">
            <v>27.9</v>
          </cell>
          <cell r="T640">
            <v>21.6</v>
          </cell>
          <cell r="U640">
            <v>1</v>
          </cell>
        </row>
        <row r="641">
          <cell r="B641" t="str">
            <v>Female</v>
          </cell>
          <cell r="F641">
            <v>0</v>
          </cell>
          <cell r="G641">
            <v>14.7</v>
          </cell>
          <cell r="H641">
            <v>8.1</v>
          </cell>
          <cell r="I641">
            <v>67.099999999999994</v>
          </cell>
          <cell r="J641">
            <v>4</v>
          </cell>
          <cell r="K641">
            <v>5</v>
          </cell>
          <cell r="L641">
            <v>92.49</v>
          </cell>
          <cell r="M641">
            <v>3</v>
          </cell>
          <cell r="N641">
            <v>27.9</v>
          </cell>
          <cell r="O641">
            <v>10.5</v>
          </cell>
          <cell r="P641">
            <v>12.6</v>
          </cell>
          <cell r="T641">
            <v>11.4</v>
          </cell>
          <cell r="U641">
            <v>1</v>
          </cell>
        </row>
        <row r="642">
          <cell r="B642" t="str">
            <v>Female</v>
          </cell>
          <cell r="F642">
            <v>2</v>
          </cell>
          <cell r="G642">
            <v>24.2</v>
          </cell>
          <cell r="H642">
            <v>8</v>
          </cell>
          <cell r="I642">
            <v>56</v>
          </cell>
          <cell r="J642">
            <v>2</v>
          </cell>
          <cell r="K642">
            <v>9</v>
          </cell>
          <cell r="L642">
            <v>144.62</v>
          </cell>
          <cell r="M642">
            <v>34</v>
          </cell>
          <cell r="N642">
            <v>20.3</v>
          </cell>
          <cell r="O642">
            <v>9.8000000000000007</v>
          </cell>
          <cell r="P642">
            <v>20</v>
          </cell>
          <cell r="S642">
            <v>33.6</v>
          </cell>
          <cell r="T642">
            <v>9.1999999999999993</v>
          </cell>
          <cell r="U642">
            <v>2</v>
          </cell>
        </row>
        <row r="643">
          <cell r="B643" t="str">
            <v>Male</v>
          </cell>
          <cell r="F643">
            <v>23</v>
          </cell>
          <cell r="G643">
            <v>40.1</v>
          </cell>
          <cell r="H643">
            <v>14.7</v>
          </cell>
          <cell r="I643">
            <v>54.9</v>
          </cell>
          <cell r="J643">
            <v>8</v>
          </cell>
          <cell r="K643">
            <v>14</v>
          </cell>
          <cell r="L643">
            <v>102.94</v>
          </cell>
          <cell r="M643">
            <v>52</v>
          </cell>
          <cell r="N643">
            <v>9.6</v>
          </cell>
          <cell r="O643">
            <v>5.2</v>
          </cell>
          <cell r="P643">
            <v>38.5</v>
          </cell>
          <cell r="U643">
            <v>2</v>
          </cell>
        </row>
        <row r="644">
          <cell r="B644" t="str">
            <v>Male</v>
          </cell>
          <cell r="F644">
            <v>15</v>
          </cell>
          <cell r="G644">
            <v>38.1</v>
          </cell>
          <cell r="H644">
            <v>10.7</v>
          </cell>
          <cell r="I644">
            <v>49.9</v>
          </cell>
          <cell r="J644">
            <v>7</v>
          </cell>
          <cell r="K644" t="str">
            <v>16.900000000000002</v>
          </cell>
          <cell r="L644">
            <v>134.26</v>
          </cell>
          <cell r="M644">
            <v>5</v>
          </cell>
          <cell r="N644">
            <v>49.8</v>
          </cell>
          <cell r="P644">
            <v>31.5</v>
          </cell>
          <cell r="S644">
            <v>39.799999999999997</v>
          </cell>
          <cell r="T644">
            <v>32.200000000000003</v>
          </cell>
          <cell r="U644">
            <v>3</v>
          </cell>
        </row>
        <row r="645">
          <cell r="B645" t="str">
            <v>Male</v>
          </cell>
          <cell r="F645">
            <v>5</v>
          </cell>
          <cell r="H645">
            <v>8.9</v>
          </cell>
          <cell r="I645">
            <v>68.5</v>
          </cell>
          <cell r="J645">
            <v>1</v>
          </cell>
          <cell r="K645">
            <v>6</v>
          </cell>
          <cell r="L645">
            <v>109</v>
          </cell>
          <cell r="M645">
            <v>34</v>
          </cell>
          <cell r="N645">
            <v>37.9</v>
          </cell>
          <cell r="O645">
            <v>3.1</v>
          </cell>
          <cell r="P645">
            <v>9.3000000000000007</v>
          </cell>
          <cell r="S645">
            <v>0</v>
          </cell>
          <cell r="T645">
            <v>12.9</v>
          </cell>
          <cell r="U645">
            <v>3</v>
          </cell>
        </row>
        <row r="646">
          <cell r="B646" t="str">
            <v>Male</v>
          </cell>
          <cell r="F646">
            <v>2</v>
          </cell>
          <cell r="G646">
            <v>38.200000000000003</v>
          </cell>
          <cell r="H646">
            <v>7</v>
          </cell>
          <cell r="I646">
            <v>46.7</v>
          </cell>
          <cell r="J646">
            <v>3</v>
          </cell>
          <cell r="K646">
            <v>11</v>
          </cell>
          <cell r="L646">
            <v>63.71</v>
          </cell>
          <cell r="M646">
            <v>31</v>
          </cell>
          <cell r="N646">
            <v>48.3</v>
          </cell>
          <cell r="O646">
            <v>3.1</v>
          </cell>
          <cell r="P646">
            <v>16</v>
          </cell>
          <cell r="S646">
            <v>36.299999999999997</v>
          </cell>
          <cell r="T646">
            <v>11.5</v>
          </cell>
          <cell r="U646">
            <v>2</v>
          </cell>
        </row>
        <row r="647">
          <cell r="B647" t="str">
            <v>Male</v>
          </cell>
          <cell r="F647">
            <v>21</v>
          </cell>
          <cell r="G647">
            <v>28.7</v>
          </cell>
          <cell r="H647">
            <v>8.3000000000000007</v>
          </cell>
          <cell r="I647">
            <v>38.200000000000003</v>
          </cell>
          <cell r="J647">
            <v>5</v>
          </cell>
          <cell r="K647">
            <v>12</v>
          </cell>
          <cell r="L647">
            <v>80.06</v>
          </cell>
          <cell r="M647">
            <v>14</v>
          </cell>
          <cell r="N647">
            <v>29.2</v>
          </cell>
          <cell r="O647">
            <v>7.2</v>
          </cell>
          <cell r="P647">
            <v>20.100000000000001</v>
          </cell>
          <cell r="S647">
            <v>20.3</v>
          </cell>
          <cell r="T647">
            <v>22.5</v>
          </cell>
          <cell r="U647">
            <v>1</v>
          </cell>
        </row>
        <row r="648">
          <cell r="B648" t="str">
            <v>Male</v>
          </cell>
          <cell r="F648">
            <v>11</v>
          </cell>
          <cell r="G648">
            <v>31.9</v>
          </cell>
          <cell r="I648">
            <v>52.2</v>
          </cell>
          <cell r="J648">
            <v>8</v>
          </cell>
          <cell r="K648">
            <v>21</v>
          </cell>
          <cell r="L648">
            <v>103.5</v>
          </cell>
          <cell r="M648">
            <v>28</v>
          </cell>
          <cell r="N648">
            <v>19.5</v>
          </cell>
          <cell r="O648">
            <v>3.5</v>
          </cell>
          <cell r="P648">
            <v>35.200000000000003</v>
          </cell>
          <cell r="S648">
            <v>55.8</v>
          </cell>
          <cell r="T648">
            <v>26.3</v>
          </cell>
          <cell r="U648">
            <v>5</v>
          </cell>
        </row>
        <row r="649">
          <cell r="B649" t="str">
            <v>Male</v>
          </cell>
          <cell r="F649">
            <v>11</v>
          </cell>
          <cell r="G649">
            <v>27</v>
          </cell>
          <cell r="H649">
            <v>8.5</v>
          </cell>
          <cell r="I649">
            <v>51.7</v>
          </cell>
          <cell r="K649">
            <v>12</v>
          </cell>
          <cell r="L649">
            <v>149.87</v>
          </cell>
          <cell r="M649">
            <v>2</v>
          </cell>
          <cell r="N649">
            <v>5</v>
          </cell>
          <cell r="O649">
            <v>2.8</v>
          </cell>
          <cell r="P649">
            <v>25.6</v>
          </cell>
          <cell r="S649">
            <v>57</v>
          </cell>
          <cell r="T649">
            <v>19.600000000000001</v>
          </cell>
          <cell r="U649">
            <v>3</v>
          </cell>
        </row>
        <row r="650">
          <cell r="B650" t="str">
            <v>Male</v>
          </cell>
          <cell r="F650">
            <v>11</v>
          </cell>
          <cell r="G650">
            <v>24.3</v>
          </cell>
          <cell r="H650">
            <v>8.5</v>
          </cell>
          <cell r="I650">
            <v>53.3</v>
          </cell>
          <cell r="J650">
            <v>4</v>
          </cell>
          <cell r="K650">
            <v>14</v>
          </cell>
          <cell r="L650">
            <v>152.35</v>
          </cell>
          <cell r="M650">
            <v>12</v>
          </cell>
          <cell r="N650">
            <v>45.9</v>
          </cell>
          <cell r="O650">
            <v>11.5</v>
          </cell>
          <cell r="P650">
            <v>24.6</v>
          </cell>
          <cell r="S650">
            <v>25.5</v>
          </cell>
          <cell r="T650">
            <v>21.7</v>
          </cell>
          <cell r="U650">
            <v>3</v>
          </cell>
        </row>
        <row r="651">
          <cell r="B651" t="str">
            <v>Female</v>
          </cell>
          <cell r="F651">
            <v>1</v>
          </cell>
          <cell r="G651">
            <v>11.8</v>
          </cell>
          <cell r="I651">
            <v>67.7</v>
          </cell>
          <cell r="J651">
            <v>2</v>
          </cell>
          <cell r="K651">
            <v>9</v>
          </cell>
          <cell r="L651">
            <v>93.8</v>
          </cell>
          <cell r="M651">
            <v>35</v>
          </cell>
          <cell r="N651">
            <v>32.700000000000003</v>
          </cell>
          <cell r="O651">
            <v>13.3</v>
          </cell>
          <cell r="P651">
            <v>15.8</v>
          </cell>
          <cell r="S651">
            <v>8.1999999999999993</v>
          </cell>
          <cell r="T651">
            <v>18</v>
          </cell>
        </row>
        <row r="652">
          <cell r="B652" t="str">
            <v>Female</v>
          </cell>
          <cell r="F652">
            <v>19</v>
          </cell>
          <cell r="G652">
            <v>30.1</v>
          </cell>
          <cell r="H652">
            <v>11.3</v>
          </cell>
          <cell r="I652">
            <v>49.9</v>
          </cell>
          <cell r="J652">
            <v>4</v>
          </cell>
          <cell r="K652">
            <v>12</v>
          </cell>
          <cell r="L652">
            <v>104.83</v>
          </cell>
          <cell r="M652">
            <v>18</v>
          </cell>
          <cell r="N652">
            <v>48.2</v>
          </cell>
          <cell r="O652">
            <v>7.8</v>
          </cell>
          <cell r="P652">
            <v>25.1</v>
          </cell>
          <cell r="S652">
            <v>53.1</v>
          </cell>
          <cell r="T652">
            <v>24.1</v>
          </cell>
          <cell r="U652">
            <v>2</v>
          </cell>
        </row>
        <row r="653">
          <cell r="B653" t="str">
            <v>Female</v>
          </cell>
          <cell r="F653">
            <v>21</v>
          </cell>
          <cell r="G653">
            <v>36.1</v>
          </cell>
          <cell r="H653">
            <v>15.2</v>
          </cell>
          <cell r="I653">
            <v>38.799999999999997</v>
          </cell>
          <cell r="K653">
            <v>16</v>
          </cell>
          <cell r="L653">
            <v>83.28</v>
          </cell>
          <cell r="M653">
            <v>5</v>
          </cell>
          <cell r="N653">
            <v>45</v>
          </cell>
          <cell r="O653">
            <v>1.8</v>
          </cell>
          <cell r="P653">
            <v>33.4</v>
          </cell>
          <cell r="S653">
            <v>22.6</v>
          </cell>
          <cell r="T653">
            <v>26.6</v>
          </cell>
          <cell r="U653">
            <v>1</v>
          </cell>
        </row>
        <row r="654">
          <cell r="B654" t="str">
            <v>Male</v>
          </cell>
          <cell r="F654">
            <v>11</v>
          </cell>
          <cell r="G654">
            <v>33.700000000000003</v>
          </cell>
          <cell r="H654">
            <v>12.6</v>
          </cell>
          <cell r="I654">
            <v>51.3</v>
          </cell>
          <cell r="K654">
            <v>14</v>
          </cell>
          <cell r="L654">
            <v>89.96</v>
          </cell>
          <cell r="M654">
            <v>2</v>
          </cell>
          <cell r="N654">
            <v>48.3</v>
          </cell>
          <cell r="O654">
            <v>4.5</v>
          </cell>
          <cell r="P654">
            <v>29.7</v>
          </cell>
          <cell r="S654">
            <v>35.5</v>
          </cell>
          <cell r="T654">
            <v>33.4</v>
          </cell>
          <cell r="U654">
            <v>2</v>
          </cell>
        </row>
        <row r="655">
          <cell r="B655" t="str">
            <v>Male</v>
          </cell>
          <cell r="F655">
            <v>26</v>
          </cell>
          <cell r="G655">
            <v>45.8</v>
          </cell>
          <cell r="H655">
            <v>12.8</v>
          </cell>
          <cell r="I655">
            <v>30.9</v>
          </cell>
          <cell r="J655">
            <v>10</v>
          </cell>
          <cell r="K655">
            <v>32.5</v>
          </cell>
          <cell r="L655">
            <v>190.22</v>
          </cell>
          <cell r="M655">
            <v>24</v>
          </cell>
          <cell r="N655">
            <v>34.92</v>
          </cell>
          <cell r="O655">
            <v>15.2</v>
          </cell>
          <cell r="P655">
            <v>35.9</v>
          </cell>
          <cell r="S655">
            <v>71.2</v>
          </cell>
          <cell r="T655">
            <v>35.5</v>
          </cell>
          <cell r="U655">
            <v>1</v>
          </cell>
        </row>
        <row r="656">
          <cell r="B656" t="str">
            <v>Male</v>
          </cell>
          <cell r="F656">
            <v>21</v>
          </cell>
          <cell r="G656">
            <v>33.799999999999997</v>
          </cell>
          <cell r="H656">
            <v>12.5</v>
          </cell>
          <cell r="I656">
            <v>35</v>
          </cell>
          <cell r="J656">
            <v>4</v>
          </cell>
          <cell r="K656">
            <v>20</v>
          </cell>
          <cell r="L656">
            <v>212.44</v>
          </cell>
          <cell r="M656">
            <v>43</v>
          </cell>
          <cell r="N656">
            <v>44.1</v>
          </cell>
          <cell r="O656">
            <v>8.9</v>
          </cell>
          <cell r="P656">
            <v>39.5</v>
          </cell>
          <cell r="S656">
            <v>50.3</v>
          </cell>
          <cell r="T656">
            <v>30.7</v>
          </cell>
          <cell r="U656">
            <v>1</v>
          </cell>
        </row>
        <row r="657">
          <cell r="B657" t="str">
            <v>Male</v>
          </cell>
          <cell r="F657">
            <v>7</v>
          </cell>
          <cell r="H657">
            <v>4</v>
          </cell>
          <cell r="I657">
            <v>64.599999999999994</v>
          </cell>
          <cell r="J657">
            <v>2</v>
          </cell>
          <cell r="K657">
            <v>3</v>
          </cell>
          <cell r="L657">
            <v>102.83</v>
          </cell>
          <cell r="M657">
            <v>57</v>
          </cell>
          <cell r="N657">
            <v>53.8</v>
          </cell>
          <cell r="O657">
            <v>1.2</v>
          </cell>
          <cell r="P657">
            <v>0</v>
          </cell>
          <cell r="S657">
            <v>17</v>
          </cell>
          <cell r="T657">
            <v>9.8000000000000007</v>
          </cell>
        </row>
        <row r="658">
          <cell r="B658" t="str">
            <v>Male</v>
          </cell>
          <cell r="F658">
            <v>0</v>
          </cell>
          <cell r="G658">
            <v>10.199999999999999</v>
          </cell>
          <cell r="I658">
            <v>80.900000000000006</v>
          </cell>
          <cell r="J658">
            <v>1</v>
          </cell>
          <cell r="K658">
            <v>6</v>
          </cell>
          <cell r="L658">
            <v>106.73</v>
          </cell>
          <cell r="M658">
            <v>20</v>
          </cell>
          <cell r="N658">
            <v>15.3</v>
          </cell>
          <cell r="O658">
            <v>2</v>
          </cell>
          <cell r="S658">
            <v>7.4</v>
          </cell>
          <cell r="T658">
            <v>2.2999999999999998</v>
          </cell>
          <cell r="U658">
            <v>1</v>
          </cell>
        </row>
        <row r="659">
          <cell r="B659" t="str">
            <v>Female</v>
          </cell>
          <cell r="F659">
            <v>0</v>
          </cell>
          <cell r="G659">
            <v>20.100000000000001</v>
          </cell>
          <cell r="H659">
            <v>7</v>
          </cell>
          <cell r="I659">
            <v>55.9</v>
          </cell>
          <cell r="J659">
            <v>1</v>
          </cell>
          <cell r="K659">
            <v>3</v>
          </cell>
          <cell r="L659">
            <v>100.89</v>
          </cell>
          <cell r="M659">
            <v>88</v>
          </cell>
          <cell r="N659">
            <v>65.2</v>
          </cell>
          <cell r="O659">
            <v>5.9</v>
          </cell>
          <cell r="S659">
            <v>0.6</v>
          </cell>
          <cell r="T659">
            <v>13.1</v>
          </cell>
          <cell r="U659">
            <v>5</v>
          </cell>
        </row>
        <row r="660">
          <cell r="B660" t="str">
            <v>Male</v>
          </cell>
          <cell r="F660">
            <v>3</v>
          </cell>
          <cell r="G660">
            <v>24.1</v>
          </cell>
          <cell r="H660">
            <v>3.5</v>
          </cell>
          <cell r="I660">
            <v>57</v>
          </cell>
          <cell r="J660">
            <v>5</v>
          </cell>
          <cell r="K660">
            <v>13</v>
          </cell>
          <cell r="L660">
            <v>109.53</v>
          </cell>
          <cell r="N660">
            <v>71.400000000000006</v>
          </cell>
          <cell r="O660">
            <v>9.1999999999999993</v>
          </cell>
          <cell r="S660">
            <v>0</v>
          </cell>
          <cell r="U660">
            <v>3</v>
          </cell>
        </row>
        <row r="661">
          <cell r="B661" t="str">
            <v>Male</v>
          </cell>
          <cell r="F661">
            <v>12</v>
          </cell>
          <cell r="G661">
            <v>21.1</v>
          </cell>
          <cell r="I661">
            <v>65.8</v>
          </cell>
          <cell r="J661">
            <v>2</v>
          </cell>
          <cell r="K661">
            <v>9.1</v>
          </cell>
          <cell r="L661">
            <v>95.5</v>
          </cell>
          <cell r="M661">
            <v>1</v>
          </cell>
          <cell r="N661">
            <v>30.72</v>
          </cell>
          <cell r="O661">
            <v>2.2999999999999998</v>
          </cell>
          <cell r="P661">
            <v>3.1</v>
          </cell>
          <cell r="S661">
            <v>0.4</v>
          </cell>
          <cell r="T661">
            <v>17.2</v>
          </cell>
          <cell r="U661">
            <v>4</v>
          </cell>
        </row>
        <row r="662">
          <cell r="B662" t="str">
            <v>Female</v>
          </cell>
          <cell r="F662">
            <v>14</v>
          </cell>
          <cell r="G662">
            <v>35.1</v>
          </cell>
          <cell r="H662">
            <v>10.8</v>
          </cell>
          <cell r="I662">
            <v>44.6</v>
          </cell>
          <cell r="J662">
            <v>5</v>
          </cell>
          <cell r="K662">
            <v>12</v>
          </cell>
          <cell r="L662">
            <v>67.81</v>
          </cell>
          <cell r="N662">
            <v>68.599999999999994</v>
          </cell>
          <cell r="P662">
            <v>35.700000000000003</v>
          </cell>
          <cell r="S662">
            <v>11</v>
          </cell>
          <cell r="T662">
            <v>17.7</v>
          </cell>
          <cell r="U662">
            <v>4</v>
          </cell>
        </row>
        <row r="663">
          <cell r="B663" t="str">
            <v>Male</v>
          </cell>
          <cell r="F663">
            <v>0</v>
          </cell>
          <cell r="G663">
            <v>15.1</v>
          </cell>
          <cell r="H663">
            <v>8.4</v>
          </cell>
          <cell r="I663">
            <v>72.8</v>
          </cell>
          <cell r="J663">
            <v>2</v>
          </cell>
          <cell r="K663">
            <v>10</v>
          </cell>
          <cell r="L663">
            <v>195.26</v>
          </cell>
          <cell r="M663">
            <v>35</v>
          </cell>
          <cell r="N663">
            <v>66.5</v>
          </cell>
          <cell r="O663">
            <v>6.2</v>
          </cell>
          <cell r="P663">
            <v>9</v>
          </cell>
          <cell r="S663">
            <v>4.8</v>
          </cell>
          <cell r="T663">
            <v>16.3</v>
          </cell>
          <cell r="U663">
            <v>2</v>
          </cell>
        </row>
        <row r="664">
          <cell r="B664" t="str">
            <v>Female</v>
          </cell>
          <cell r="F664">
            <v>2</v>
          </cell>
          <cell r="G664">
            <v>16.8</v>
          </cell>
          <cell r="H664">
            <v>6.6</v>
          </cell>
          <cell r="I664">
            <v>78</v>
          </cell>
          <cell r="J664">
            <v>2</v>
          </cell>
          <cell r="K664">
            <v>7</v>
          </cell>
          <cell r="L664">
            <v>79.290000000000006</v>
          </cell>
          <cell r="M664">
            <v>11</v>
          </cell>
          <cell r="N664">
            <v>16.5</v>
          </cell>
          <cell r="O664">
            <v>16.3</v>
          </cell>
          <cell r="P664">
            <v>5.0999999999999996</v>
          </cell>
          <cell r="S664">
            <v>17.100000000000001</v>
          </cell>
          <cell r="T664">
            <v>22.5</v>
          </cell>
          <cell r="U664">
            <v>3</v>
          </cell>
        </row>
        <row r="665">
          <cell r="B665" t="str">
            <v>Male</v>
          </cell>
          <cell r="F665">
            <v>0</v>
          </cell>
          <cell r="G665">
            <v>24.8</v>
          </cell>
          <cell r="H665">
            <v>3.8</v>
          </cell>
          <cell r="I665">
            <v>69.5</v>
          </cell>
          <cell r="J665">
            <v>5</v>
          </cell>
          <cell r="K665">
            <v>14</v>
          </cell>
          <cell r="L665">
            <v>60.6</v>
          </cell>
          <cell r="M665">
            <v>79</v>
          </cell>
          <cell r="N665">
            <v>37</v>
          </cell>
          <cell r="O665">
            <v>11</v>
          </cell>
          <cell r="P665">
            <v>10</v>
          </cell>
          <cell r="S665">
            <v>0</v>
          </cell>
          <cell r="T665">
            <v>5.6</v>
          </cell>
          <cell r="U665">
            <v>1</v>
          </cell>
        </row>
        <row r="666">
          <cell r="B666" t="str">
            <v>Female</v>
          </cell>
          <cell r="F666">
            <v>11</v>
          </cell>
          <cell r="G666">
            <v>16.8</v>
          </cell>
          <cell r="H666">
            <v>9.5</v>
          </cell>
          <cell r="I666">
            <v>43.5</v>
          </cell>
          <cell r="J666">
            <v>5</v>
          </cell>
          <cell r="K666">
            <v>9</v>
          </cell>
          <cell r="L666">
            <v>102.77</v>
          </cell>
          <cell r="M666">
            <v>2</v>
          </cell>
          <cell r="N666">
            <v>81.2</v>
          </cell>
          <cell r="O666">
            <v>1.2</v>
          </cell>
          <cell r="P666">
            <v>4</v>
          </cell>
          <cell r="S666">
            <v>43.5</v>
          </cell>
          <cell r="U666">
            <v>4</v>
          </cell>
        </row>
        <row r="667">
          <cell r="B667" t="str">
            <v>Female</v>
          </cell>
          <cell r="F667">
            <v>27</v>
          </cell>
          <cell r="G667">
            <v>44.5</v>
          </cell>
          <cell r="H667">
            <v>8.5</v>
          </cell>
          <cell r="I667">
            <v>39.200000000000003</v>
          </cell>
          <cell r="J667">
            <v>7</v>
          </cell>
          <cell r="K667">
            <v>17</v>
          </cell>
          <cell r="L667">
            <v>152.80000000000001</v>
          </cell>
          <cell r="M667">
            <v>41</v>
          </cell>
          <cell r="N667">
            <v>22.4</v>
          </cell>
          <cell r="O667">
            <v>3.6</v>
          </cell>
          <cell r="P667">
            <v>21.1</v>
          </cell>
          <cell r="S667">
            <v>35.200000000000003</v>
          </cell>
          <cell r="T667">
            <v>26.6</v>
          </cell>
          <cell r="U667">
            <v>2</v>
          </cell>
        </row>
        <row r="668">
          <cell r="B668" t="str">
            <v>Female</v>
          </cell>
          <cell r="F668">
            <v>19</v>
          </cell>
          <cell r="G668">
            <v>35.4</v>
          </cell>
          <cell r="H668">
            <v>12.5</v>
          </cell>
          <cell r="I668">
            <v>39.700000000000003</v>
          </cell>
          <cell r="J668">
            <v>3</v>
          </cell>
          <cell r="K668">
            <v>11</v>
          </cell>
          <cell r="L668">
            <v>119.2</v>
          </cell>
          <cell r="M668">
            <v>31</v>
          </cell>
          <cell r="O668">
            <v>3</v>
          </cell>
          <cell r="P668">
            <v>44.2</v>
          </cell>
          <cell r="S668">
            <v>42.6</v>
          </cell>
          <cell r="T668">
            <v>27</v>
          </cell>
        </row>
        <row r="669">
          <cell r="B669" t="str">
            <v>Female</v>
          </cell>
          <cell r="F669">
            <v>9</v>
          </cell>
          <cell r="G669">
            <v>21.8</v>
          </cell>
          <cell r="H669">
            <v>6</v>
          </cell>
          <cell r="I669">
            <v>71.5</v>
          </cell>
          <cell r="J669">
            <v>2</v>
          </cell>
          <cell r="K669">
            <v>7</v>
          </cell>
          <cell r="L669">
            <v>74.89</v>
          </cell>
          <cell r="M669">
            <v>24</v>
          </cell>
          <cell r="N669">
            <v>38.200000000000003</v>
          </cell>
          <cell r="P669">
            <v>23.2</v>
          </cell>
          <cell r="S669">
            <v>3.7</v>
          </cell>
          <cell r="T669">
            <v>18.5</v>
          </cell>
          <cell r="U669">
            <v>2</v>
          </cell>
        </row>
        <row r="670">
          <cell r="B670" t="str">
            <v>Female</v>
          </cell>
          <cell r="F670">
            <v>5</v>
          </cell>
          <cell r="G670">
            <v>19</v>
          </cell>
          <cell r="I670">
            <v>90.5</v>
          </cell>
          <cell r="J670">
            <v>1</v>
          </cell>
          <cell r="K670">
            <v>11</v>
          </cell>
          <cell r="L670">
            <v>72.180000000000007</v>
          </cell>
          <cell r="N670">
            <v>24.9</v>
          </cell>
          <cell r="O670">
            <v>1.6</v>
          </cell>
          <cell r="S670">
            <v>9.6999999999999993</v>
          </cell>
          <cell r="T670">
            <v>6.1</v>
          </cell>
          <cell r="U670">
            <v>2</v>
          </cell>
        </row>
        <row r="671">
          <cell r="B671" t="str">
            <v>Female</v>
          </cell>
          <cell r="F671">
            <v>18</v>
          </cell>
          <cell r="G671">
            <v>31.3</v>
          </cell>
          <cell r="H671">
            <v>13.6</v>
          </cell>
          <cell r="I671">
            <v>31.7</v>
          </cell>
          <cell r="J671">
            <v>10</v>
          </cell>
          <cell r="K671">
            <v>14</v>
          </cell>
          <cell r="L671">
            <v>196.56</v>
          </cell>
          <cell r="M671">
            <v>45</v>
          </cell>
          <cell r="N671">
            <v>41.9</v>
          </cell>
          <cell r="O671">
            <v>11.1</v>
          </cell>
          <cell r="P671">
            <v>34.5</v>
          </cell>
          <cell r="S671">
            <v>43</v>
          </cell>
          <cell r="U671">
            <v>3</v>
          </cell>
        </row>
        <row r="672">
          <cell r="B672" t="str">
            <v>Male</v>
          </cell>
          <cell r="F672">
            <v>6</v>
          </cell>
          <cell r="G672">
            <v>23.2</v>
          </cell>
          <cell r="H672">
            <v>5.4</v>
          </cell>
          <cell r="I672">
            <v>57.5</v>
          </cell>
          <cell r="J672">
            <v>2</v>
          </cell>
          <cell r="K672">
            <v>9.1</v>
          </cell>
          <cell r="L672">
            <v>71.06</v>
          </cell>
          <cell r="O672">
            <v>6.7</v>
          </cell>
          <cell r="P672">
            <v>16.100000000000001</v>
          </cell>
          <cell r="S672">
            <v>36</v>
          </cell>
          <cell r="T672">
            <v>14.8</v>
          </cell>
          <cell r="U672">
            <v>1</v>
          </cell>
        </row>
        <row r="673">
          <cell r="B673" t="str">
            <v>Male</v>
          </cell>
          <cell r="F673">
            <v>21</v>
          </cell>
          <cell r="G673">
            <v>29</v>
          </cell>
          <cell r="H673">
            <v>10.1</v>
          </cell>
          <cell r="I673">
            <v>72.2</v>
          </cell>
          <cell r="K673">
            <v>17</v>
          </cell>
          <cell r="L673">
            <v>168.53</v>
          </cell>
          <cell r="N673">
            <v>66.599999999999994</v>
          </cell>
          <cell r="O673">
            <v>10.6</v>
          </cell>
          <cell r="P673">
            <v>24.8</v>
          </cell>
          <cell r="S673">
            <v>24.2</v>
          </cell>
          <cell r="U673">
            <v>5</v>
          </cell>
        </row>
        <row r="674">
          <cell r="B674" t="str">
            <v>Male</v>
          </cell>
          <cell r="F674">
            <v>15</v>
          </cell>
          <cell r="G674">
            <v>26.6</v>
          </cell>
          <cell r="H674">
            <v>9.8000000000000007</v>
          </cell>
          <cell r="I674">
            <v>62.3</v>
          </cell>
          <cell r="J674">
            <v>2</v>
          </cell>
          <cell r="K674">
            <v>16</v>
          </cell>
          <cell r="L674">
            <v>58.77</v>
          </cell>
          <cell r="M674">
            <v>12</v>
          </cell>
          <cell r="N674">
            <v>44.7</v>
          </cell>
          <cell r="P674">
            <v>2.9</v>
          </cell>
          <cell r="S674">
            <v>27.2</v>
          </cell>
          <cell r="T674">
            <v>24.4</v>
          </cell>
          <cell r="U674">
            <v>1</v>
          </cell>
        </row>
        <row r="675">
          <cell r="B675" t="str">
            <v>Male</v>
          </cell>
          <cell r="F675">
            <v>10</v>
          </cell>
          <cell r="G675">
            <v>42.5</v>
          </cell>
          <cell r="H675">
            <v>15.9</v>
          </cell>
          <cell r="I675">
            <v>46.1</v>
          </cell>
          <cell r="J675">
            <v>7</v>
          </cell>
          <cell r="K675">
            <v>22.1</v>
          </cell>
          <cell r="L675">
            <v>93.7</v>
          </cell>
          <cell r="M675">
            <v>4</v>
          </cell>
          <cell r="N675">
            <v>69.599999999999994</v>
          </cell>
          <cell r="O675">
            <v>5.8</v>
          </cell>
          <cell r="P675">
            <v>40.5</v>
          </cell>
          <cell r="S675">
            <v>66.400000000000006</v>
          </cell>
          <cell r="T675">
            <v>36.5</v>
          </cell>
          <cell r="U675">
            <v>5</v>
          </cell>
        </row>
        <row r="676">
          <cell r="B676" t="str">
            <v>Female</v>
          </cell>
          <cell r="F676">
            <v>8</v>
          </cell>
          <cell r="G676">
            <v>26</v>
          </cell>
          <cell r="H676">
            <v>5.2</v>
          </cell>
          <cell r="I676">
            <v>52.7</v>
          </cell>
          <cell r="J676">
            <v>3</v>
          </cell>
          <cell r="K676">
            <v>6</v>
          </cell>
          <cell r="L676">
            <v>197.15</v>
          </cell>
          <cell r="M676">
            <v>36</v>
          </cell>
          <cell r="N676">
            <v>51.1</v>
          </cell>
          <cell r="O676">
            <v>2.7</v>
          </cell>
          <cell r="P676">
            <v>0</v>
          </cell>
          <cell r="S676">
            <v>34.9</v>
          </cell>
          <cell r="T676">
            <v>12.9</v>
          </cell>
          <cell r="U676">
            <v>3</v>
          </cell>
        </row>
        <row r="677">
          <cell r="B677" t="str">
            <v>Male</v>
          </cell>
          <cell r="F677">
            <v>0</v>
          </cell>
          <cell r="G677">
            <v>31.1</v>
          </cell>
          <cell r="H677">
            <v>11.3</v>
          </cell>
          <cell r="I677">
            <v>71.8</v>
          </cell>
          <cell r="J677">
            <v>2</v>
          </cell>
          <cell r="K677">
            <v>8</v>
          </cell>
          <cell r="L677">
            <v>103.64</v>
          </cell>
          <cell r="M677">
            <v>19</v>
          </cell>
          <cell r="N677">
            <v>61.5</v>
          </cell>
          <cell r="O677">
            <v>1</v>
          </cell>
          <cell r="P677">
            <v>7.3</v>
          </cell>
          <cell r="S677">
            <v>19.600000000000001</v>
          </cell>
          <cell r="T677">
            <v>17.600000000000001</v>
          </cell>
          <cell r="U677">
            <v>2</v>
          </cell>
        </row>
        <row r="678">
          <cell r="B678" t="str">
            <v>Female</v>
          </cell>
          <cell r="F678">
            <v>12</v>
          </cell>
          <cell r="G678">
            <v>23.9</v>
          </cell>
          <cell r="H678">
            <v>6</v>
          </cell>
          <cell r="I678">
            <v>70.5</v>
          </cell>
          <cell r="J678">
            <v>1</v>
          </cell>
          <cell r="K678">
            <v>9</v>
          </cell>
          <cell r="L678">
            <v>91.68</v>
          </cell>
          <cell r="M678">
            <v>52</v>
          </cell>
          <cell r="N678">
            <v>5.8</v>
          </cell>
          <cell r="P678">
            <v>14.8</v>
          </cell>
          <cell r="S678">
            <v>15.7</v>
          </cell>
          <cell r="T678">
            <v>10</v>
          </cell>
          <cell r="U678">
            <v>1</v>
          </cell>
        </row>
        <row r="679">
          <cell r="B679" t="str">
            <v>Male</v>
          </cell>
          <cell r="F679">
            <v>6</v>
          </cell>
          <cell r="G679">
            <v>24.6</v>
          </cell>
          <cell r="I679">
            <v>47</v>
          </cell>
          <cell r="J679">
            <v>1</v>
          </cell>
          <cell r="K679">
            <v>9</v>
          </cell>
          <cell r="L679">
            <v>85.1</v>
          </cell>
          <cell r="M679">
            <v>43</v>
          </cell>
          <cell r="O679">
            <v>6.2</v>
          </cell>
          <cell r="P679">
            <v>31.5</v>
          </cell>
          <cell r="S679">
            <v>24.3</v>
          </cell>
          <cell r="T679">
            <v>9.8000000000000007</v>
          </cell>
          <cell r="U679">
            <v>2</v>
          </cell>
        </row>
        <row r="680">
          <cell r="B680" t="str">
            <v>Female</v>
          </cell>
          <cell r="F680">
            <v>9</v>
          </cell>
          <cell r="G680">
            <v>10.199999999999999</v>
          </cell>
          <cell r="H680">
            <v>2.2999999999999998</v>
          </cell>
          <cell r="I680">
            <v>69.900000000000006</v>
          </cell>
          <cell r="J680">
            <v>1</v>
          </cell>
          <cell r="K680">
            <v>5</v>
          </cell>
          <cell r="L680">
            <v>96.32</v>
          </cell>
          <cell r="M680">
            <v>9</v>
          </cell>
          <cell r="N680">
            <v>55.6</v>
          </cell>
          <cell r="O680">
            <v>2.2999999999999998</v>
          </cell>
          <cell r="P680">
            <v>0</v>
          </cell>
          <cell r="S680">
            <v>0</v>
          </cell>
          <cell r="T680">
            <v>10.4</v>
          </cell>
          <cell r="U680">
            <v>3</v>
          </cell>
        </row>
        <row r="681">
          <cell r="B681" t="str">
            <v>Male</v>
          </cell>
          <cell r="F681">
            <v>20</v>
          </cell>
          <cell r="G681">
            <v>42.1</v>
          </cell>
          <cell r="H681">
            <v>10.8</v>
          </cell>
          <cell r="I681">
            <v>34.200000000000003</v>
          </cell>
          <cell r="J681">
            <v>7</v>
          </cell>
          <cell r="K681">
            <v>19</v>
          </cell>
          <cell r="L681">
            <v>138.84</v>
          </cell>
          <cell r="M681">
            <v>2</v>
          </cell>
          <cell r="N681">
            <v>25.8</v>
          </cell>
          <cell r="O681">
            <v>7.3</v>
          </cell>
          <cell r="P681">
            <v>29.9</v>
          </cell>
          <cell r="S681">
            <v>67.599999999999994</v>
          </cell>
          <cell r="U681">
            <v>3</v>
          </cell>
        </row>
        <row r="682">
          <cell r="B682" t="str">
            <v>Female</v>
          </cell>
          <cell r="F682">
            <v>6</v>
          </cell>
          <cell r="H682">
            <v>5</v>
          </cell>
          <cell r="I682">
            <v>62.6</v>
          </cell>
          <cell r="J682">
            <v>4</v>
          </cell>
          <cell r="K682">
            <v>9</v>
          </cell>
          <cell r="L682">
            <v>105.92</v>
          </cell>
          <cell r="M682">
            <v>4</v>
          </cell>
          <cell r="N682">
            <v>27.6</v>
          </cell>
          <cell r="O682">
            <v>8.1</v>
          </cell>
          <cell r="P682">
            <v>4</v>
          </cell>
          <cell r="S682">
            <v>0</v>
          </cell>
          <cell r="T682">
            <v>9.3000000000000007</v>
          </cell>
          <cell r="U682">
            <v>3</v>
          </cell>
        </row>
        <row r="683">
          <cell r="B683" t="str">
            <v>Male</v>
          </cell>
          <cell r="F683">
            <v>7</v>
          </cell>
          <cell r="H683">
            <v>7.3</v>
          </cell>
          <cell r="I683">
            <v>71</v>
          </cell>
          <cell r="K683">
            <v>11</v>
          </cell>
          <cell r="L683">
            <v>158.35</v>
          </cell>
          <cell r="M683">
            <v>25</v>
          </cell>
          <cell r="N683">
            <v>46.5</v>
          </cell>
          <cell r="O683">
            <v>18.399999999999999</v>
          </cell>
          <cell r="S683">
            <v>0</v>
          </cell>
          <cell r="T683">
            <v>12.7</v>
          </cell>
          <cell r="U683">
            <v>2</v>
          </cell>
        </row>
        <row r="684">
          <cell r="B684" t="str">
            <v>Female</v>
          </cell>
          <cell r="F684">
            <v>28</v>
          </cell>
          <cell r="G684">
            <v>41</v>
          </cell>
          <cell r="H684">
            <v>15.2</v>
          </cell>
          <cell r="I684">
            <v>44.6</v>
          </cell>
          <cell r="J684">
            <v>9</v>
          </cell>
          <cell r="K684">
            <v>19</v>
          </cell>
          <cell r="L684">
            <v>194.03</v>
          </cell>
          <cell r="M684">
            <v>35</v>
          </cell>
          <cell r="N684">
            <v>25.8</v>
          </cell>
          <cell r="O684">
            <v>4.4000000000000004</v>
          </cell>
          <cell r="P684">
            <v>27.8</v>
          </cell>
          <cell r="S684">
            <v>66.3</v>
          </cell>
          <cell r="T684">
            <v>33.200000000000003</v>
          </cell>
          <cell r="U684">
            <v>3</v>
          </cell>
        </row>
        <row r="685">
          <cell r="B685" t="str">
            <v>Female</v>
          </cell>
          <cell r="F685">
            <v>7</v>
          </cell>
          <cell r="G685">
            <v>20.9</v>
          </cell>
          <cell r="H685">
            <v>8.3000000000000007</v>
          </cell>
          <cell r="I685">
            <v>69.2</v>
          </cell>
          <cell r="J685">
            <v>2</v>
          </cell>
          <cell r="K685">
            <v>11</v>
          </cell>
          <cell r="L685">
            <v>140.04</v>
          </cell>
          <cell r="M685">
            <v>2</v>
          </cell>
          <cell r="N685">
            <v>18.5</v>
          </cell>
          <cell r="O685">
            <v>0.2</v>
          </cell>
          <cell r="P685">
            <v>5.0999999999999996</v>
          </cell>
          <cell r="T685">
            <v>13.6</v>
          </cell>
          <cell r="U685">
            <v>2</v>
          </cell>
        </row>
        <row r="686">
          <cell r="B686" t="str">
            <v>Female</v>
          </cell>
          <cell r="F686">
            <v>7</v>
          </cell>
          <cell r="G686">
            <v>13.3</v>
          </cell>
          <cell r="H686">
            <v>8.6999999999999993</v>
          </cell>
          <cell r="I686">
            <v>65.400000000000006</v>
          </cell>
          <cell r="J686">
            <v>5</v>
          </cell>
          <cell r="K686">
            <v>6.5</v>
          </cell>
          <cell r="L686">
            <v>66.900000000000006</v>
          </cell>
          <cell r="M686">
            <v>8</v>
          </cell>
          <cell r="N686">
            <v>60.48</v>
          </cell>
          <cell r="O686">
            <v>7.5</v>
          </cell>
          <cell r="P686">
            <v>12</v>
          </cell>
          <cell r="S686">
            <v>24.2</v>
          </cell>
          <cell r="T686">
            <v>12.4</v>
          </cell>
          <cell r="U686">
            <v>2</v>
          </cell>
        </row>
        <row r="687">
          <cell r="B687" t="str">
            <v>Female</v>
          </cell>
          <cell r="F687">
            <v>3</v>
          </cell>
          <cell r="G687">
            <v>28.4</v>
          </cell>
          <cell r="H687">
            <v>6.6</v>
          </cell>
          <cell r="I687">
            <v>70</v>
          </cell>
          <cell r="K687">
            <v>20.8</v>
          </cell>
          <cell r="L687">
            <v>105.82</v>
          </cell>
          <cell r="M687">
            <v>30</v>
          </cell>
          <cell r="N687" t="str">
            <v>57.35999999999999</v>
          </cell>
          <cell r="O687">
            <v>4</v>
          </cell>
          <cell r="P687">
            <v>27.6</v>
          </cell>
          <cell r="T687">
            <v>15.8</v>
          </cell>
          <cell r="U687">
            <v>2</v>
          </cell>
        </row>
        <row r="688">
          <cell r="B688" t="str">
            <v>Female</v>
          </cell>
          <cell r="F688">
            <v>15</v>
          </cell>
          <cell r="G688">
            <v>32.9</v>
          </cell>
          <cell r="H688">
            <v>11.7</v>
          </cell>
          <cell r="I688">
            <v>31.4</v>
          </cell>
          <cell r="J688">
            <v>6</v>
          </cell>
          <cell r="K688">
            <v>14</v>
          </cell>
          <cell r="L688">
            <v>151.36000000000001</v>
          </cell>
          <cell r="N688">
            <v>24.2</v>
          </cell>
          <cell r="O688">
            <v>19.2</v>
          </cell>
          <cell r="P688">
            <v>28.5</v>
          </cell>
          <cell r="S688">
            <v>42.4</v>
          </cell>
          <cell r="T688">
            <v>33.299999999999997</v>
          </cell>
          <cell r="U688">
            <v>3</v>
          </cell>
        </row>
        <row r="689">
          <cell r="B689" t="str">
            <v>Male</v>
          </cell>
          <cell r="F689">
            <v>0</v>
          </cell>
          <cell r="G689">
            <v>14.4</v>
          </cell>
          <cell r="H689">
            <v>3.7</v>
          </cell>
          <cell r="I689">
            <v>76.5</v>
          </cell>
          <cell r="J689">
            <v>2</v>
          </cell>
          <cell r="K689">
            <v>5</v>
          </cell>
          <cell r="L689">
            <v>101.11</v>
          </cell>
          <cell r="M689">
            <v>43</v>
          </cell>
          <cell r="O689">
            <v>1</v>
          </cell>
          <cell r="P689">
            <v>9.9</v>
          </cell>
          <cell r="S689">
            <v>0</v>
          </cell>
          <cell r="T689">
            <v>12.7</v>
          </cell>
          <cell r="U689">
            <v>5</v>
          </cell>
        </row>
        <row r="690">
          <cell r="B690" t="str">
            <v>Male</v>
          </cell>
          <cell r="F690">
            <v>14</v>
          </cell>
          <cell r="H690">
            <v>8.1999999999999993</v>
          </cell>
          <cell r="I690">
            <v>63.2</v>
          </cell>
          <cell r="J690">
            <v>0</v>
          </cell>
          <cell r="K690">
            <v>13</v>
          </cell>
          <cell r="L690">
            <v>122.45</v>
          </cell>
          <cell r="M690">
            <v>39</v>
          </cell>
          <cell r="N690">
            <v>69.599999999999994</v>
          </cell>
          <cell r="O690">
            <v>5.6</v>
          </cell>
          <cell r="P690">
            <v>19.8</v>
          </cell>
          <cell r="S690">
            <v>38.4</v>
          </cell>
          <cell r="T690">
            <v>19.899999999999999</v>
          </cell>
          <cell r="U690">
            <v>1</v>
          </cell>
        </row>
        <row r="691">
          <cell r="B691" t="str">
            <v>Male</v>
          </cell>
          <cell r="F691">
            <v>13</v>
          </cell>
          <cell r="G691">
            <v>30.2</v>
          </cell>
          <cell r="H691">
            <v>11.3</v>
          </cell>
          <cell r="I691">
            <v>50.9</v>
          </cell>
          <cell r="J691">
            <v>2</v>
          </cell>
          <cell r="K691">
            <v>10</v>
          </cell>
          <cell r="L691">
            <v>115.59</v>
          </cell>
          <cell r="M691">
            <v>60</v>
          </cell>
          <cell r="N691">
            <v>55.8</v>
          </cell>
          <cell r="O691">
            <v>3.8</v>
          </cell>
          <cell r="P691">
            <v>0</v>
          </cell>
          <cell r="T691">
            <v>22.8</v>
          </cell>
          <cell r="U691">
            <v>2</v>
          </cell>
        </row>
        <row r="692">
          <cell r="B692" t="str">
            <v>Female</v>
          </cell>
          <cell r="F692">
            <v>4</v>
          </cell>
          <cell r="G692">
            <v>28.8</v>
          </cell>
          <cell r="I692">
            <v>61.4</v>
          </cell>
          <cell r="J692">
            <v>3</v>
          </cell>
          <cell r="K692">
            <v>9</v>
          </cell>
          <cell r="L692">
            <v>99.34</v>
          </cell>
          <cell r="M692">
            <v>2</v>
          </cell>
          <cell r="N692">
            <v>43.7</v>
          </cell>
          <cell r="O692">
            <v>5.7</v>
          </cell>
          <cell r="P692">
            <v>10.6</v>
          </cell>
          <cell r="S692">
            <v>0.5</v>
          </cell>
          <cell r="T692">
            <v>15.3</v>
          </cell>
          <cell r="U692">
            <v>3</v>
          </cell>
        </row>
        <row r="693">
          <cell r="B693" t="str">
            <v>Male</v>
          </cell>
          <cell r="F693">
            <v>5</v>
          </cell>
          <cell r="G693">
            <v>26.6</v>
          </cell>
          <cell r="H693">
            <v>6.6</v>
          </cell>
          <cell r="I693">
            <v>55.4</v>
          </cell>
          <cell r="J693">
            <v>5</v>
          </cell>
          <cell r="K693">
            <v>7</v>
          </cell>
          <cell r="L693">
            <v>117.4</v>
          </cell>
          <cell r="M693">
            <v>8</v>
          </cell>
          <cell r="N693">
            <v>44.7</v>
          </cell>
          <cell r="O693">
            <v>0.8</v>
          </cell>
          <cell r="S693">
            <v>46.1</v>
          </cell>
          <cell r="T693">
            <v>11.9</v>
          </cell>
          <cell r="U693">
            <v>1</v>
          </cell>
        </row>
        <row r="694">
          <cell r="B694" t="str">
            <v>Male</v>
          </cell>
          <cell r="F694">
            <v>15</v>
          </cell>
          <cell r="G694">
            <v>42.1</v>
          </cell>
          <cell r="H694">
            <v>12.4</v>
          </cell>
          <cell r="I694">
            <v>37.700000000000003</v>
          </cell>
          <cell r="J694">
            <v>9</v>
          </cell>
          <cell r="K694">
            <v>19.5</v>
          </cell>
          <cell r="L694">
            <v>65.25</v>
          </cell>
          <cell r="M694">
            <v>24</v>
          </cell>
          <cell r="N694">
            <v>41.76</v>
          </cell>
          <cell r="O694">
            <v>13.9</v>
          </cell>
          <cell r="P694">
            <v>13.9</v>
          </cell>
          <cell r="T694">
            <v>23.1</v>
          </cell>
          <cell r="U694">
            <v>1</v>
          </cell>
        </row>
        <row r="695">
          <cell r="B695" t="str">
            <v>Female</v>
          </cell>
          <cell r="F695">
            <v>11</v>
          </cell>
          <cell r="G695">
            <v>30.5</v>
          </cell>
          <cell r="H695">
            <v>10.199999999999999</v>
          </cell>
          <cell r="I695">
            <v>58.4</v>
          </cell>
          <cell r="J695">
            <v>4</v>
          </cell>
          <cell r="K695" t="str">
            <v>23.400000000000002</v>
          </cell>
          <cell r="L695">
            <v>111.64</v>
          </cell>
          <cell r="M695">
            <v>1</v>
          </cell>
          <cell r="N695" t="str">
            <v>75.47999999999999</v>
          </cell>
          <cell r="O695">
            <v>7.5</v>
          </cell>
          <cell r="P695">
            <v>29.1</v>
          </cell>
          <cell r="S695">
            <v>25.5</v>
          </cell>
          <cell r="T695">
            <v>20.5</v>
          </cell>
          <cell r="U695">
            <v>1</v>
          </cell>
        </row>
        <row r="696">
          <cell r="B696" t="str">
            <v>Female</v>
          </cell>
          <cell r="F696">
            <v>14</v>
          </cell>
          <cell r="G696">
            <v>33.1</v>
          </cell>
          <cell r="H696">
            <v>12.7</v>
          </cell>
          <cell r="I696">
            <v>44.6</v>
          </cell>
          <cell r="J696">
            <v>6</v>
          </cell>
          <cell r="K696">
            <v>15</v>
          </cell>
          <cell r="L696">
            <v>67.33</v>
          </cell>
          <cell r="M696">
            <v>73</v>
          </cell>
          <cell r="N696">
            <v>45.2</v>
          </cell>
          <cell r="O696">
            <v>3.7</v>
          </cell>
          <cell r="P696">
            <v>15.3</v>
          </cell>
          <cell r="S696">
            <v>36.9</v>
          </cell>
          <cell r="T696">
            <v>25</v>
          </cell>
          <cell r="U696">
            <v>2</v>
          </cell>
        </row>
        <row r="697">
          <cell r="B697" t="str">
            <v>Female</v>
          </cell>
          <cell r="F697">
            <v>9</v>
          </cell>
          <cell r="G697">
            <v>26.8</v>
          </cell>
          <cell r="H697">
            <v>6.7</v>
          </cell>
          <cell r="I697">
            <v>57.3</v>
          </cell>
          <cell r="J697">
            <v>7</v>
          </cell>
          <cell r="K697">
            <v>16</v>
          </cell>
          <cell r="L697">
            <v>152.44999999999999</v>
          </cell>
          <cell r="M697">
            <v>3</v>
          </cell>
          <cell r="N697">
            <v>8.9</v>
          </cell>
          <cell r="O697">
            <v>4.8</v>
          </cell>
          <cell r="P697">
            <v>18</v>
          </cell>
          <cell r="S697">
            <v>26.7</v>
          </cell>
          <cell r="T697">
            <v>19</v>
          </cell>
          <cell r="U697">
            <v>4</v>
          </cell>
        </row>
        <row r="698">
          <cell r="B698" t="str">
            <v>Male</v>
          </cell>
          <cell r="F698">
            <v>9</v>
          </cell>
          <cell r="G698">
            <v>32</v>
          </cell>
          <cell r="I698">
            <v>51.3</v>
          </cell>
          <cell r="J698">
            <v>4</v>
          </cell>
          <cell r="K698">
            <v>9.1</v>
          </cell>
          <cell r="L698">
            <v>305.52999999999997</v>
          </cell>
          <cell r="M698">
            <v>1</v>
          </cell>
          <cell r="N698" t="str">
            <v>64.55999999999999</v>
          </cell>
          <cell r="O698">
            <v>6.8</v>
          </cell>
          <cell r="P698">
            <v>26.3</v>
          </cell>
          <cell r="T698">
            <v>7.9</v>
          </cell>
          <cell r="U698">
            <v>4</v>
          </cell>
        </row>
        <row r="699">
          <cell r="B699" t="str">
            <v>Female</v>
          </cell>
          <cell r="F699">
            <v>21</v>
          </cell>
          <cell r="G699">
            <v>45.2</v>
          </cell>
          <cell r="H699">
            <v>14</v>
          </cell>
          <cell r="I699">
            <v>34.4</v>
          </cell>
          <cell r="J699">
            <v>13</v>
          </cell>
          <cell r="K699">
            <v>19</v>
          </cell>
          <cell r="L699">
            <v>203.04</v>
          </cell>
          <cell r="M699">
            <v>10</v>
          </cell>
          <cell r="O699">
            <v>3</v>
          </cell>
          <cell r="P699">
            <v>29.1</v>
          </cell>
          <cell r="S699">
            <v>46.2</v>
          </cell>
          <cell r="T699">
            <v>40.1</v>
          </cell>
          <cell r="U699">
            <v>3</v>
          </cell>
        </row>
        <row r="700">
          <cell r="B700" t="str">
            <v>Female</v>
          </cell>
          <cell r="F700">
            <v>11</v>
          </cell>
          <cell r="G700">
            <v>14.5</v>
          </cell>
          <cell r="H700">
            <v>4.9000000000000004</v>
          </cell>
          <cell r="I700">
            <v>59.9</v>
          </cell>
          <cell r="J700">
            <v>1</v>
          </cell>
          <cell r="K700">
            <v>4</v>
          </cell>
          <cell r="L700">
            <v>97.02</v>
          </cell>
          <cell r="N700">
            <v>57.6</v>
          </cell>
          <cell r="O700">
            <v>1.4</v>
          </cell>
          <cell r="P700">
            <v>13.5</v>
          </cell>
          <cell r="S700">
            <v>0</v>
          </cell>
          <cell r="T700">
            <v>0</v>
          </cell>
          <cell r="U700">
            <v>2</v>
          </cell>
        </row>
        <row r="701">
          <cell r="B701" t="str">
            <v>Female</v>
          </cell>
          <cell r="F701">
            <v>5</v>
          </cell>
          <cell r="H701">
            <v>12.4</v>
          </cell>
          <cell r="I701">
            <v>65.8</v>
          </cell>
          <cell r="J701">
            <v>11</v>
          </cell>
          <cell r="K701">
            <v>17</v>
          </cell>
          <cell r="L701">
            <v>101.91</v>
          </cell>
          <cell r="M701">
            <v>4</v>
          </cell>
          <cell r="N701">
            <v>45.9</v>
          </cell>
          <cell r="O701">
            <v>1.9</v>
          </cell>
          <cell r="P701">
            <v>43.9</v>
          </cell>
          <cell r="S701">
            <v>46.5</v>
          </cell>
          <cell r="U701">
            <v>1</v>
          </cell>
        </row>
        <row r="702">
          <cell r="B702" t="str">
            <v>Female</v>
          </cell>
          <cell r="F702">
            <v>17</v>
          </cell>
          <cell r="G702">
            <v>38.700000000000003</v>
          </cell>
          <cell r="H702">
            <v>11.6</v>
          </cell>
          <cell r="I702">
            <v>30.9</v>
          </cell>
          <cell r="J702">
            <v>4</v>
          </cell>
          <cell r="K702">
            <v>18</v>
          </cell>
          <cell r="L702">
            <v>96.29</v>
          </cell>
          <cell r="M702">
            <v>25</v>
          </cell>
          <cell r="N702">
            <v>16.7</v>
          </cell>
          <cell r="O702">
            <v>2.7</v>
          </cell>
          <cell r="P702">
            <v>43.7</v>
          </cell>
          <cell r="S702">
            <v>74.400000000000006</v>
          </cell>
          <cell r="T702">
            <v>39</v>
          </cell>
          <cell r="U702">
            <v>2</v>
          </cell>
        </row>
        <row r="703">
          <cell r="B703" t="str">
            <v>Male</v>
          </cell>
          <cell r="F703">
            <v>17</v>
          </cell>
          <cell r="G703">
            <v>38.5</v>
          </cell>
          <cell r="H703">
            <v>12.9</v>
          </cell>
          <cell r="I703">
            <v>51.2</v>
          </cell>
          <cell r="K703">
            <v>22.1</v>
          </cell>
          <cell r="L703">
            <v>102.42</v>
          </cell>
          <cell r="M703">
            <v>8</v>
          </cell>
          <cell r="N703" t="str">
            <v>25.439999999999998</v>
          </cell>
          <cell r="O703">
            <v>3.8</v>
          </cell>
          <cell r="P703">
            <v>22.7</v>
          </cell>
          <cell r="S703">
            <v>24.9</v>
          </cell>
          <cell r="T703">
            <v>24.8</v>
          </cell>
          <cell r="U703">
            <v>4</v>
          </cell>
        </row>
        <row r="704">
          <cell r="B704" t="str">
            <v>Female</v>
          </cell>
          <cell r="F704">
            <v>18</v>
          </cell>
          <cell r="G704">
            <v>33.9</v>
          </cell>
          <cell r="H704">
            <v>13.2</v>
          </cell>
          <cell r="I704">
            <v>48.5</v>
          </cell>
          <cell r="J704">
            <v>4</v>
          </cell>
          <cell r="K704">
            <v>15</v>
          </cell>
          <cell r="L704">
            <v>142.26</v>
          </cell>
          <cell r="N704">
            <v>29.8</v>
          </cell>
          <cell r="P704">
            <v>28.6</v>
          </cell>
          <cell r="T704">
            <v>23.6</v>
          </cell>
          <cell r="U704">
            <v>1</v>
          </cell>
        </row>
        <row r="705">
          <cell r="B705" t="str">
            <v>Female</v>
          </cell>
          <cell r="F705">
            <v>19</v>
          </cell>
          <cell r="G705">
            <v>29</v>
          </cell>
          <cell r="I705">
            <v>42.5</v>
          </cell>
          <cell r="J705">
            <v>6</v>
          </cell>
          <cell r="K705" t="str">
            <v>11.700000000000001</v>
          </cell>
          <cell r="L705">
            <v>106.94</v>
          </cell>
          <cell r="M705">
            <v>14</v>
          </cell>
          <cell r="N705">
            <v>24.84</v>
          </cell>
          <cell r="P705">
            <v>0</v>
          </cell>
          <cell r="S705">
            <v>0.2</v>
          </cell>
          <cell r="T705">
            <v>14</v>
          </cell>
        </row>
        <row r="706">
          <cell r="B706" t="str">
            <v>Female</v>
          </cell>
          <cell r="F706">
            <v>11</v>
          </cell>
          <cell r="G706">
            <v>17.2</v>
          </cell>
          <cell r="H706">
            <v>3.3</v>
          </cell>
          <cell r="I706">
            <v>57.3</v>
          </cell>
          <cell r="J706">
            <v>5</v>
          </cell>
          <cell r="K706">
            <v>14</v>
          </cell>
          <cell r="L706">
            <v>195.91</v>
          </cell>
          <cell r="M706">
            <v>61</v>
          </cell>
          <cell r="N706">
            <v>31.8</v>
          </cell>
          <cell r="O706">
            <v>10.3</v>
          </cell>
          <cell r="P706">
            <v>29.7</v>
          </cell>
          <cell r="T706">
            <v>25.9</v>
          </cell>
          <cell r="U706">
            <v>2</v>
          </cell>
        </row>
        <row r="707">
          <cell r="B707" t="str">
            <v>Female</v>
          </cell>
          <cell r="F707">
            <v>0</v>
          </cell>
          <cell r="G707">
            <v>10.7</v>
          </cell>
          <cell r="H707">
            <v>4.3</v>
          </cell>
          <cell r="I707">
            <v>76.7</v>
          </cell>
          <cell r="J707">
            <v>2</v>
          </cell>
          <cell r="K707">
            <v>3</v>
          </cell>
          <cell r="L707">
            <v>103.01</v>
          </cell>
          <cell r="M707">
            <v>2</v>
          </cell>
          <cell r="N707">
            <v>21.2</v>
          </cell>
          <cell r="P707">
            <v>13.5</v>
          </cell>
          <cell r="S707">
            <v>28.4</v>
          </cell>
          <cell r="T707">
            <v>3.3</v>
          </cell>
          <cell r="U707">
            <v>2</v>
          </cell>
        </row>
        <row r="708">
          <cell r="B708" t="str">
            <v>Female</v>
          </cell>
          <cell r="F708">
            <v>13</v>
          </cell>
          <cell r="G708">
            <v>35.799999999999997</v>
          </cell>
          <cell r="H708">
            <v>7.7</v>
          </cell>
          <cell r="I708">
            <v>62.9</v>
          </cell>
          <cell r="J708">
            <v>5</v>
          </cell>
          <cell r="K708">
            <v>11</v>
          </cell>
          <cell r="L708">
            <v>158.91</v>
          </cell>
          <cell r="M708">
            <v>10</v>
          </cell>
          <cell r="N708">
            <v>33.200000000000003</v>
          </cell>
          <cell r="O708">
            <v>7.9</v>
          </cell>
          <cell r="P708">
            <v>24.7</v>
          </cell>
          <cell r="S708">
            <v>32.200000000000003</v>
          </cell>
          <cell r="T708">
            <v>23.4</v>
          </cell>
          <cell r="U708">
            <v>3</v>
          </cell>
        </row>
        <row r="709">
          <cell r="B709" t="str">
            <v>Female</v>
          </cell>
          <cell r="F709">
            <v>8</v>
          </cell>
          <cell r="G709">
            <v>12.7</v>
          </cell>
          <cell r="I709">
            <v>55.7</v>
          </cell>
          <cell r="J709">
            <v>0</v>
          </cell>
          <cell r="K709">
            <v>6</v>
          </cell>
          <cell r="L709">
            <v>178.18</v>
          </cell>
          <cell r="M709">
            <v>18</v>
          </cell>
          <cell r="N709">
            <v>85.6</v>
          </cell>
          <cell r="O709">
            <v>3.2</v>
          </cell>
          <cell r="P709">
            <v>18</v>
          </cell>
          <cell r="S709">
            <v>37.200000000000003</v>
          </cell>
          <cell r="T709">
            <v>17.100000000000001</v>
          </cell>
          <cell r="U709">
            <v>4</v>
          </cell>
        </row>
        <row r="710">
          <cell r="B710" t="str">
            <v>Male</v>
          </cell>
          <cell r="F710">
            <v>17</v>
          </cell>
          <cell r="G710">
            <v>26.7</v>
          </cell>
          <cell r="H710">
            <v>7.1</v>
          </cell>
          <cell r="I710">
            <v>61.1</v>
          </cell>
          <cell r="J710">
            <v>2</v>
          </cell>
          <cell r="K710">
            <v>8</v>
          </cell>
          <cell r="L710">
            <v>102.92</v>
          </cell>
          <cell r="M710">
            <v>26</v>
          </cell>
          <cell r="N710">
            <v>51.9</v>
          </cell>
          <cell r="P710">
            <v>11.6</v>
          </cell>
          <cell r="S710">
            <v>5.3</v>
          </cell>
          <cell r="T710">
            <v>16.3</v>
          </cell>
          <cell r="U710">
            <v>2</v>
          </cell>
        </row>
        <row r="711">
          <cell r="B711" t="str">
            <v>Female</v>
          </cell>
          <cell r="F711">
            <v>13</v>
          </cell>
          <cell r="G711">
            <v>23.9</v>
          </cell>
          <cell r="H711">
            <v>9</v>
          </cell>
          <cell r="I711">
            <v>53.2</v>
          </cell>
          <cell r="J711">
            <v>5</v>
          </cell>
          <cell r="K711">
            <v>17</v>
          </cell>
          <cell r="L711">
            <v>53.13</v>
          </cell>
          <cell r="M711">
            <v>7</v>
          </cell>
          <cell r="N711">
            <v>31.8</v>
          </cell>
          <cell r="O711">
            <v>9.1999999999999993</v>
          </cell>
          <cell r="P711">
            <v>0.5</v>
          </cell>
          <cell r="S711">
            <v>12.2</v>
          </cell>
          <cell r="T711">
            <v>17.600000000000001</v>
          </cell>
          <cell r="U711">
            <v>3</v>
          </cell>
        </row>
        <row r="712">
          <cell r="B712" t="str">
            <v>Male</v>
          </cell>
          <cell r="F712">
            <v>13</v>
          </cell>
          <cell r="H712">
            <v>5.4</v>
          </cell>
          <cell r="I712">
            <v>65.900000000000006</v>
          </cell>
          <cell r="J712">
            <v>1</v>
          </cell>
          <cell r="K712">
            <v>5</v>
          </cell>
          <cell r="L712">
            <v>85.71</v>
          </cell>
          <cell r="N712">
            <v>34</v>
          </cell>
          <cell r="O712">
            <v>1.1000000000000001</v>
          </cell>
          <cell r="P712">
            <v>0</v>
          </cell>
          <cell r="S712">
            <v>18.600000000000001</v>
          </cell>
          <cell r="T712">
            <v>12</v>
          </cell>
          <cell r="U712">
            <v>3</v>
          </cell>
        </row>
        <row r="713">
          <cell r="B713" t="str">
            <v>Male</v>
          </cell>
          <cell r="F713">
            <v>16</v>
          </cell>
          <cell r="H713">
            <v>8.4</v>
          </cell>
          <cell r="I713">
            <v>66.099999999999994</v>
          </cell>
          <cell r="J713">
            <v>4</v>
          </cell>
          <cell r="K713">
            <v>10</v>
          </cell>
          <cell r="L713">
            <v>103.24</v>
          </cell>
          <cell r="M713">
            <v>39</v>
          </cell>
          <cell r="N713">
            <v>32.9</v>
          </cell>
          <cell r="O713">
            <v>4</v>
          </cell>
          <cell r="P713">
            <v>29</v>
          </cell>
          <cell r="T713">
            <v>20.3</v>
          </cell>
          <cell r="U713">
            <v>2</v>
          </cell>
        </row>
        <row r="714">
          <cell r="B714" t="str">
            <v>Female</v>
          </cell>
          <cell r="F714">
            <v>14</v>
          </cell>
          <cell r="G714">
            <v>29.2</v>
          </cell>
          <cell r="H714">
            <v>11</v>
          </cell>
          <cell r="I714">
            <v>55.3</v>
          </cell>
          <cell r="J714">
            <v>9</v>
          </cell>
          <cell r="K714">
            <v>11</v>
          </cell>
          <cell r="L714">
            <v>157.43</v>
          </cell>
          <cell r="M714">
            <v>60</v>
          </cell>
          <cell r="N714">
            <v>29.5</v>
          </cell>
          <cell r="O714">
            <v>9.9</v>
          </cell>
          <cell r="P714">
            <v>0.2</v>
          </cell>
          <cell r="S714">
            <v>21.9</v>
          </cell>
          <cell r="T714">
            <v>21.4</v>
          </cell>
          <cell r="U714">
            <v>2</v>
          </cell>
        </row>
        <row r="715">
          <cell r="B715" t="str">
            <v>Male</v>
          </cell>
          <cell r="F715">
            <v>4</v>
          </cell>
          <cell r="G715">
            <v>16.8</v>
          </cell>
          <cell r="H715">
            <v>4.5999999999999996</v>
          </cell>
          <cell r="I715">
            <v>88</v>
          </cell>
          <cell r="J715">
            <v>1</v>
          </cell>
          <cell r="K715">
            <v>7</v>
          </cell>
          <cell r="L715">
            <v>101.49</v>
          </cell>
          <cell r="M715">
            <v>31</v>
          </cell>
          <cell r="N715">
            <v>2.9</v>
          </cell>
          <cell r="O715">
            <v>3.5</v>
          </cell>
          <cell r="P715">
            <v>0</v>
          </cell>
          <cell r="S715">
            <v>14.4</v>
          </cell>
          <cell r="T715">
            <v>28.7</v>
          </cell>
          <cell r="U715">
            <v>4</v>
          </cell>
        </row>
        <row r="716">
          <cell r="B716" t="str">
            <v>Male</v>
          </cell>
          <cell r="F716">
            <v>9</v>
          </cell>
          <cell r="H716">
            <v>9.9</v>
          </cell>
          <cell r="I716">
            <v>67</v>
          </cell>
          <cell r="J716">
            <v>3</v>
          </cell>
          <cell r="K716">
            <v>9</v>
          </cell>
          <cell r="L716">
            <v>54.57</v>
          </cell>
          <cell r="M716">
            <v>47</v>
          </cell>
          <cell r="N716">
            <v>27.3</v>
          </cell>
          <cell r="O716">
            <v>6.6</v>
          </cell>
          <cell r="P716">
            <v>30.3</v>
          </cell>
          <cell r="S716">
            <v>22.3</v>
          </cell>
          <cell r="T716">
            <v>11.9</v>
          </cell>
          <cell r="U716">
            <v>3</v>
          </cell>
        </row>
        <row r="717">
          <cell r="B717" t="str">
            <v>Female</v>
          </cell>
          <cell r="F717">
            <v>25</v>
          </cell>
          <cell r="G717">
            <v>37.200000000000003</v>
          </cell>
          <cell r="H717">
            <v>13.8</v>
          </cell>
          <cell r="I717">
            <v>35.200000000000003</v>
          </cell>
          <cell r="J717">
            <v>5</v>
          </cell>
          <cell r="K717">
            <v>17</v>
          </cell>
          <cell r="L717">
            <v>41.85</v>
          </cell>
          <cell r="M717">
            <v>6</v>
          </cell>
          <cell r="N717">
            <v>6.4</v>
          </cell>
          <cell r="O717">
            <v>2.1</v>
          </cell>
          <cell r="P717">
            <v>27.3</v>
          </cell>
          <cell r="S717">
            <v>47.4</v>
          </cell>
          <cell r="T717">
            <v>23.3</v>
          </cell>
          <cell r="U717">
            <v>4</v>
          </cell>
        </row>
        <row r="718">
          <cell r="B718" t="str">
            <v>Male</v>
          </cell>
          <cell r="F718">
            <v>4</v>
          </cell>
          <cell r="G718">
            <v>19.899999999999999</v>
          </cell>
          <cell r="H718">
            <v>4.7</v>
          </cell>
          <cell r="I718">
            <v>59.4</v>
          </cell>
          <cell r="K718">
            <v>9</v>
          </cell>
          <cell r="L718">
            <v>128.12</v>
          </cell>
          <cell r="M718">
            <v>2</v>
          </cell>
          <cell r="O718">
            <v>2.8</v>
          </cell>
          <cell r="P718">
            <v>24.2</v>
          </cell>
          <cell r="S718">
            <v>48.3</v>
          </cell>
          <cell r="T718">
            <v>24.8</v>
          </cell>
          <cell r="U718">
            <v>1</v>
          </cell>
        </row>
        <row r="719">
          <cell r="B719" t="str">
            <v>Male</v>
          </cell>
          <cell r="F719">
            <v>15</v>
          </cell>
          <cell r="G719">
            <v>18.399999999999999</v>
          </cell>
          <cell r="H719">
            <v>10.6</v>
          </cell>
          <cell r="I719">
            <v>47.2</v>
          </cell>
          <cell r="J719">
            <v>5</v>
          </cell>
          <cell r="K719">
            <v>8</v>
          </cell>
          <cell r="L719">
            <v>87.04</v>
          </cell>
          <cell r="M719">
            <v>26</v>
          </cell>
          <cell r="N719">
            <v>64.3</v>
          </cell>
          <cell r="O719">
            <v>3.5</v>
          </cell>
          <cell r="P719">
            <v>34.799999999999997</v>
          </cell>
          <cell r="T719">
            <v>8.1</v>
          </cell>
          <cell r="U719">
            <v>2</v>
          </cell>
        </row>
        <row r="720">
          <cell r="B720" t="str">
            <v>Female</v>
          </cell>
          <cell r="F720">
            <v>0</v>
          </cell>
          <cell r="H720">
            <v>1.8</v>
          </cell>
          <cell r="I720">
            <v>77.099999999999994</v>
          </cell>
          <cell r="J720">
            <v>0</v>
          </cell>
          <cell r="K720">
            <v>2.6</v>
          </cell>
          <cell r="L720">
            <v>72.47</v>
          </cell>
          <cell r="M720">
            <v>1</v>
          </cell>
          <cell r="N720" t="str">
            <v>21.479999999999997</v>
          </cell>
          <cell r="O720">
            <v>5.0999999999999996</v>
          </cell>
          <cell r="P720">
            <v>11.8</v>
          </cell>
          <cell r="S720">
            <v>0</v>
          </cell>
          <cell r="T720">
            <v>0.2</v>
          </cell>
          <cell r="U720">
            <v>2</v>
          </cell>
        </row>
        <row r="721">
          <cell r="B721" t="str">
            <v>Female</v>
          </cell>
          <cell r="F721">
            <v>16</v>
          </cell>
          <cell r="G721">
            <v>20.6</v>
          </cell>
          <cell r="H721">
            <v>7.3</v>
          </cell>
          <cell r="I721">
            <v>66.8</v>
          </cell>
          <cell r="J721">
            <v>6</v>
          </cell>
          <cell r="K721">
            <v>10</v>
          </cell>
          <cell r="L721">
            <v>131.9</v>
          </cell>
          <cell r="M721">
            <v>17</v>
          </cell>
          <cell r="N721">
            <v>70</v>
          </cell>
          <cell r="O721">
            <v>13.3</v>
          </cell>
          <cell r="P721">
            <v>11.8</v>
          </cell>
          <cell r="S721">
            <v>0</v>
          </cell>
          <cell r="T721">
            <v>6.2</v>
          </cell>
          <cell r="U721">
            <v>4</v>
          </cell>
        </row>
        <row r="722">
          <cell r="B722" t="str">
            <v>Female</v>
          </cell>
          <cell r="F722">
            <v>8</v>
          </cell>
          <cell r="G722">
            <v>33</v>
          </cell>
          <cell r="H722">
            <v>11.9</v>
          </cell>
          <cell r="I722">
            <v>48.9</v>
          </cell>
          <cell r="J722">
            <v>7</v>
          </cell>
          <cell r="K722">
            <v>15</v>
          </cell>
          <cell r="L722">
            <v>185.75</v>
          </cell>
          <cell r="M722">
            <v>2</v>
          </cell>
          <cell r="N722">
            <v>52.2</v>
          </cell>
          <cell r="O722">
            <v>0.8</v>
          </cell>
          <cell r="P722">
            <v>26.2</v>
          </cell>
          <cell r="S722">
            <v>47.1</v>
          </cell>
          <cell r="T722">
            <v>25.5</v>
          </cell>
          <cell r="U722">
            <v>1</v>
          </cell>
        </row>
        <row r="723">
          <cell r="B723" t="str">
            <v>Female</v>
          </cell>
          <cell r="F723">
            <v>15</v>
          </cell>
          <cell r="G723">
            <v>17.5</v>
          </cell>
          <cell r="H723">
            <v>3</v>
          </cell>
          <cell r="I723">
            <v>53.7</v>
          </cell>
          <cell r="J723">
            <v>3</v>
          </cell>
          <cell r="K723">
            <v>9.1</v>
          </cell>
          <cell r="L723">
            <v>107.06</v>
          </cell>
          <cell r="M723">
            <v>53</v>
          </cell>
          <cell r="N723">
            <v>44.76</v>
          </cell>
          <cell r="O723">
            <v>9.6</v>
          </cell>
          <cell r="P723">
            <v>21.6</v>
          </cell>
          <cell r="T723">
            <v>20.9</v>
          </cell>
          <cell r="U723">
            <v>2</v>
          </cell>
        </row>
        <row r="724">
          <cell r="B724" t="str">
            <v>Male</v>
          </cell>
          <cell r="F724">
            <v>9</v>
          </cell>
          <cell r="H724">
            <v>2.1</v>
          </cell>
          <cell r="I724">
            <v>76.8</v>
          </cell>
          <cell r="J724">
            <v>1</v>
          </cell>
          <cell r="K724">
            <v>5</v>
          </cell>
          <cell r="L724">
            <v>86.26</v>
          </cell>
          <cell r="M724">
            <v>38</v>
          </cell>
          <cell r="N724">
            <v>73.8</v>
          </cell>
          <cell r="O724">
            <v>6.3</v>
          </cell>
          <cell r="P724">
            <v>34.5</v>
          </cell>
          <cell r="S724">
            <v>24.3</v>
          </cell>
          <cell r="T724">
            <v>15.8</v>
          </cell>
          <cell r="U724">
            <v>1</v>
          </cell>
        </row>
        <row r="725">
          <cell r="B725" t="str">
            <v>Female</v>
          </cell>
          <cell r="F725">
            <v>20</v>
          </cell>
          <cell r="G725">
            <v>23.2</v>
          </cell>
          <cell r="H725">
            <v>5.2</v>
          </cell>
          <cell r="I725">
            <v>39.6</v>
          </cell>
          <cell r="J725">
            <v>2</v>
          </cell>
          <cell r="K725">
            <v>20</v>
          </cell>
          <cell r="L725">
            <v>106.13</v>
          </cell>
          <cell r="M725">
            <v>5</v>
          </cell>
          <cell r="N725">
            <v>29.6</v>
          </cell>
          <cell r="P725">
            <v>9.4</v>
          </cell>
          <cell r="T725">
            <v>27.2</v>
          </cell>
          <cell r="U725">
            <v>2</v>
          </cell>
        </row>
        <row r="726">
          <cell r="B726" t="str">
            <v>Female</v>
          </cell>
          <cell r="F726">
            <v>18</v>
          </cell>
          <cell r="G726">
            <v>27.5</v>
          </cell>
          <cell r="I726">
            <v>38.6</v>
          </cell>
          <cell r="J726">
            <v>9</v>
          </cell>
          <cell r="K726">
            <v>24.7</v>
          </cell>
          <cell r="L726">
            <v>178.56</v>
          </cell>
          <cell r="M726">
            <v>30</v>
          </cell>
          <cell r="N726">
            <v>31.56</v>
          </cell>
          <cell r="O726">
            <v>1.1000000000000001</v>
          </cell>
          <cell r="P726">
            <v>40.299999999999997</v>
          </cell>
          <cell r="S726">
            <v>61.8</v>
          </cell>
          <cell r="T726">
            <v>24.1</v>
          </cell>
          <cell r="U726">
            <v>3</v>
          </cell>
        </row>
        <row r="727">
          <cell r="B727" t="str">
            <v>Female</v>
          </cell>
          <cell r="F727">
            <v>11</v>
          </cell>
          <cell r="G727">
            <v>32.299999999999997</v>
          </cell>
          <cell r="H727">
            <v>6.6</v>
          </cell>
          <cell r="I727">
            <v>82.7</v>
          </cell>
          <cell r="J727">
            <v>1</v>
          </cell>
          <cell r="K727">
            <v>10</v>
          </cell>
          <cell r="L727">
            <v>170.41</v>
          </cell>
          <cell r="N727">
            <v>22.5</v>
          </cell>
          <cell r="O727">
            <v>4.5</v>
          </cell>
          <cell r="P727">
            <v>31.7</v>
          </cell>
          <cell r="S727">
            <v>0</v>
          </cell>
          <cell r="T727">
            <v>10.4</v>
          </cell>
          <cell r="U727">
            <v>1</v>
          </cell>
        </row>
        <row r="728">
          <cell r="B728" t="str">
            <v>Male</v>
          </cell>
          <cell r="F728">
            <v>5</v>
          </cell>
          <cell r="G728">
            <v>14.1</v>
          </cell>
          <cell r="H728">
            <v>6.8</v>
          </cell>
          <cell r="I728">
            <v>78.5</v>
          </cell>
          <cell r="J728">
            <v>4</v>
          </cell>
          <cell r="K728">
            <v>5</v>
          </cell>
          <cell r="L728">
            <v>129.46</v>
          </cell>
          <cell r="M728">
            <v>5</v>
          </cell>
          <cell r="N728">
            <v>11.5</v>
          </cell>
          <cell r="O728">
            <v>2.6</v>
          </cell>
          <cell r="P728">
            <v>4.4000000000000004</v>
          </cell>
          <cell r="T728">
            <v>11.2</v>
          </cell>
          <cell r="U728">
            <v>3</v>
          </cell>
        </row>
        <row r="729">
          <cell r="B729" t="str">
            <v>Male</v>
          </cell>
          <cell r="F729">
            <v>10</v>
          </cell>
          <cell r="G729">
            <v>31.9</v>
          </cell>
          <cell r="H729">
            <v>9.4</v>
          </cell>
          <cell r="I729">
            <v>54.3</v>
          </cell>
          <cell r="J729">
            <v>7</v>
          </cell>
          <cell r="K729" t="str">
            <v>15.600000000000001</v>
          </cell>
          <cell r="L729">
            <v>74.650000000000006</v>
          </cell>
          <cell r="M729">
            <v>32</v>
          </cell>
          <cell r="N729">
            <v>37.68</v>
          </cell>
          <cell r="O729">
            <v>16.7</v>
          </cell>
          <cell r="P729">
            <v>15.1</v>
          </cell>
          <cell r="S729">
            <v>23.8</v>
          </cell>
          <cell r="T729">
            <v>29.8</v>
          </cell>
          <cell r="U729">
            <v>5</v>
          </cell>
        </row>
        <row r="730">
          <cell r="B730" t="str">
            <v>Male</v>
          </cell>
          <cell r="F730">
            <v>10</v>
          </cell>
          <cell r="G730">
            <v>17.399999999999999</v>
          </cell>
          <cell r="H730">
            <v>7.4</v>
          </cell>
          <cell r="I730">
            <v>73.099999999999994</v>
          </cell>
          <cell r="J730">
            <v>2</v>
          </cell>
          <cell r="K730">
            <v>6</v>
          </cell>
          <cell r="L730">
            <v>150.41999999999999</v>
          </cell>
          <cell r="M730">
            <v>12</v>
          </cell>
          <cell r="N730">
            <v>51.9</v>
          </cell>
          <cell r="O730">
            <v>5</v>
          </cell>
          <cell r="P730">
            <v>16.899999999999999</v>
          </cell>
          <cell r="S730">
            <v>35.1</v>
          </cell>
          <cell r="T730">
            <v>7.2</v>
          </cell>
          <cell r="U730">
            <v>3</v>
          </cell>
        </row>
        <row r="731">
          <cell r="B731" t="str">
            <v>Male</v>
          </cell>
          <cell r="F731">
            <v>19</v>
          </cell>
          <cell r="G731">
            <v>54.1</v>
          </cell>
          <cell r="H731">
            <v>17.100000000000001</v>
          </cell>
          <cell r="I731">
            <v>27.1</v>
          </cell>
          <cell r="J731">
            <v>11</v>
          </cell>
          <cell r="K731" t="str">
            <v>31.200000000000003</v>
          </cell>
          <cell r="L731">
            <v>133.43</v>
          </cell>
          <cell r="M731">
            <v>32</v>
          </cell>
          <cell r="N731">
            <v>73.92</v>
          </cell>
          <cell r="O731">
            <v>10.8</v>
          </cell>
          <cell r="P731">
            <v>23.3</v>
          </cell>
          <cell r="S731">
            <v>62.4</v>
          </cell>
          <cell r="T731">
            <v>29</v>
          </cell>
          <cell r="U731">
            <v>2</v>
          </cell>
        </row>
        <row r="732">
          <cell r="B732" t="str">
            <v>Male</v>
          </cell>
          <cell r="F732">
            <v>22</v>
          </cell>
          <cell r="G732">
            <v>34.299999999999997</v>
          </cell>
          <cell r="H732">
            <v>13.6</v>
          </cell>
          <cell r="I732">
            <v>41</v>
          </cell>
          <cell r="J732">
            <v>8</v>
          </cell>
          <cell r="K732">
            <v>18.2</v>
          </cell>
          <cell r="L732">
            <v>108.19</v>
          </cell>
          <cell r="M732">
            <v>20</v>
          </cell>
          <cell r="N732">
            <v>80.52</v>
          </cell>
          <cell r="P732">
            <v>30.8</v>
          </cell>
          <cell r="S732">
            <v>61.7</v>
          </cell>
          <cell r="T732">
            <v>19.3</v>
          </cell>
          <cell r="U732">
            <v>1</v>
          </cell>
        </row>
        <row r="733">
          <cell r="B733" t="str">
            <v>Male</v>
          </cell>
          <cell r="F733">
            <v>8</v>
          </cell>
          <cell r="G733">
            <v>11.6</v>
          </cell>
          <cell r="H733">
            <v>5.4</v>
          </cell>
          <cell r="I733">
            <v>65.5</v>
          </cell>
          <cell r="J733">
            <v>1</v>
          </cell>
          <cell r="K733">
            <v>4</v>
          </cell>
          <cell r="L733">
            <v>168.46</v>
          </cell>
          <cell r="M733">
            <v>13</v>
          </cell>
          <cell r="N733">
            <v>22.6</v>
          </cell>
          <cell r="O733">
            <v>13.7</v>
          </cell>
          <cell r="S733">
            <v>0</v>
          </cell>
          <cell r="T733">
            <v>9.6</v>
          </cell>
        </row>
        <row r="734">
          <cell r="B734" t="str">
            <v>Female</v>
          </cell>
          <cell r="F734">
            <v>9</v>
          </cell>
          <cell r="G734">
            <v>15.7</v>
          </cell>
          <cell r="H734">
            <v>6.6</v>
          </cell>
          <cell r="I734">
            <v>56.6</v>
          </cell>
          <cell r="J734">
            <v>3</v>
          </cell>
          <cell r="K734">
            <v>6.5</v>
          </cell>
          <cell r="L734">
            <v>86.37</v>
          </cell>
          <cell r="M734">
            <v>4</v>
          </cell>
          <cell r="N734" t="str">
            <v>26.279999999999998</v>
          </cell>
          <cell r="O734">
            <v>5</v>
          </cell>
          <cell r="P734">
            <v>21</v>
          </cell>
          <cell r="S734">
            <v>42</v>
          </cell>
          <cell r="T734">
            <v>9.4</v>
          </cell>
          <cell r="U734">
            <v>3</v>
          </cell>
        </row>
        <row r="735">
          <cell r="B735" t="str">
            <v>Female</v>
          </cell>
          <cell r="F735">
            <v>22</v>
          </cell>
          <cell r="G735">
            <v>35.200000000000003</v>
          </cell>
          <cell r="H735">
            <v>11.7</v>
          </cell>
          <cell r="I735">
            <v>22.5</v>
          </cell>
          <cell r="K735">
            <v>17</v>
          </cell>
          <cell r="L735">
            <v>188</v>
          </cell>
          <cell r="M735">
            <v>11</v>
          </cell>
          <cell r="N735">
            <v>70.7</v>
          </cell>
          <cell r="P735">
            <v>17.100000000000001</v>
          </cell>
          <cell r="S735">
            <v>17.2</v>
          </cell>
          <cell r="T735">
            <v>21.1</v>
          </cell>
          <cell r="U735">
            <v>2</v>
          </cell>
        </row>
        <row r="736">
          <cell r="B736" t="str">
            <v>Male</v>
          </cell>
          <cell r="F736">
            <v>18</v>
          </cell>
          <cell r="G736">
            <v>27.6</v>
          </cell>
          <cell r="H736">
            <v>12.3</v>
          </cell>
          <cell r="I736">
            <v>58.7</v>
          </cell>
          <cell r="J736">
            <v>3</v>
          </cell>
          <cell r="K736" t="str">
            <v>16.900000000000002</v>
          </cell>
          <cell r="L736">
            <v>70.12</v>
          </cell>
          <cell r="M736">
            <v>5</v>
          </cell>
          <cell r="N736">
            <v>24.84</v>
          </cell>
          <cell r="O736">
            <v>15.2</v>
          </cell>
          <cell r="P736">
            <v>8.6</v>
          </cell>
          <cell r="T736">
            <v>19.100000000000001</v>
          </cell>
          <cell r="U736">
            <v>1</v>
          </cell>
        </row>
        <row r="737">
          <cell r="B737" t="str">
            <v>Male</v>
          </cell>
          <cell r="F737">
            <v>8</v>
          </cell>
          <cell r="G737">
            <v>19.7</v>
          </cell>
          <cell r="H737">
            <v>9.6999999999999993</v>
          </cell>
          <cell r="I737">
            <v>53.5</v>
          </cell>
          <cell r="J737">
            <v>4</v>
          </cell>
          <cell r="K737">
            <v>12</v>
          </cell>
          <cell r="L737">
            <v>118.58</v>
          </cell>
          <cell r="M737">
            <v>15</v>
          </cell>
          <cell r="N737">
            <v>6.1</v>
          </cell>
          <cell r="O737">
            <v>6.2</v>
          </cell>
          <cell r="P737">
            <v>14.7</v>
          </cell>
          <cell r="S737">
            <v>7.8</v>
          </cell>
          <cell r="T737">
            <v>15.5</v>
          </cell>
          <cell r="U737">
            <v>3</v>
          </cell>
        </row>
        <row r="738">
          <cell r="B738" t="str">
            <v>Female</v>
          </cell>
          <cell r="F738">
            <v>1</v>
          </cell>
          <cell r="G738">
            <v>20.2</v>
          </cell>
          <cell r="H738">
            <v>4.5</v>
          </cell>
          <cell r="I738">
            <v>59</v>
          </cell>
          <cell r="J738">
            <v>4</v>
          </cell>
          <cell r="K738">
            <v>7</v>
          </cell>
          <cell r="L738">
            <v>149.96</v>
          </cell>
          <cell r="M738">
            <v>8</v>
          </cell>
          <cell r="O738">
            <v>5.2</v>
          </cell>
          <cell r="P738">
            <v>17.100000000000001</v>
          </cell>
          <cell r="S738">
            <v>26.5</v>
          </cell>
          <cell r="T738">
            <v>22.3</v>
          </cell>
          <cell r="U738">
            <v>2</v>
          </cell>
        </row>
        <row r="739">
          <cell r="B739" t="str">
            <v>Male</v>
          </cell>
          <cell r="F739">
            <v>9</v>
          </cell>
          <cell r="G739">
            <v>31.8</v>
          </cell>
          <cell r="H739">
            <v>11.5</v>
          </cell>
          <cell r="I739">
            <v>37.9</v>
          </cell>
          <cell r="J739">
            <v>5</v>
          </cell>
          <cell r="K739">
            <v>15</v>
          </cell>
          <cell r="L739">
            <v>146.72999999999999</v>
          </cell>
          <cell r="M739">
            <v>3</v>
          </cell>
          <cell r="N739">
            <v>72.400000000000006</v>
          </cell>
          <cell r="O739">
            <v>1.5</v>
          </cell>
          <cell r="P739">
            <v>27.9</v>
          </cell>
          <cell r="S739">
            <v>12.3</v>
          </cell>
          <cell r="T739">
            <v>24</v>
          </cell>
          <cell r="U739">
            <v>4</v>
          </cell>
        </row>
        <row r="740">
          <cell r="B740" t="str">
            <v>Male</v>
          </cell>
          <cell r="F740">
            <v>0</v>
          </cell>
          <cell r="G740">
            <v>3</v>
          </cell>
          <cell r="H740">
            <v>7.4</v>
          </cell>
          <cell r="I740">
            <v>66.599999999999994</v>
          </cell>
          <cell r="J740">
            <v>1</v>
          </cell>
          <cell r="K740">
            <v>5</v>
          </cell>
          <cell r="L740">
            <v>165.66</v>
          </cell>
          <cell r="M740">
            <v>1</v>
          </cell>
          <cell r="N740">
            <v>53.4</v>
          </cell>
          <cell r="O740">
            <v>7.1</v>
          </cell>
          <cell r="P740">
            <v>7.8</v>
          </cell>
          <cell r="S740">
            <v>15</v>
          </cell>
          <cell r="T740">
            <v>14.9</v>
          </cell>
        </row>
        <row r="741">
          <cell r="B741" t="str">
            <v>Male</v>
          </cell>
          <cell r="F741">
            <v>8</v>
          </cell>
          <cell r="H741">
            <v>5.8</v>
          </cell>
          <cell r="I741">
            <v>80.099999999999994</v>
          </cell>
          <cell r="J741">
            <v>1</v>
          </cell>
          <cell r="K741">
            <v>5.2</v>
          </cell>
          <cell r="L741">
            <v>90.24</v>
          </cell>
          <cell r="M741">
            <v>22</v>
          </cell>
          <cell r="N741">
            <v>71.16</v>
          </cell>
          <cell r="O741">
            <v>6.3</v>
          </cell>
          <cell r="P741">
            <v>25.4</v>
          </cell>
          <cell r="S741">
            <v>21.9</v>
          </cell>
          <cell r="T741">
            <v>12.4</v>
          </cell>
          <cell r="U741">
            <v>3</v>
          </cell>
        </row>
        <row r="742">
          <cell r="B742" t="str">
            <v>Female</v>
          </cell>
          <cell r="F742">
            <v>8</v>
          </cell>
          <cell r="H742">
            <v>5.2</v>
          </cell>
          <cell r="I742">
            <v>60.4</v>
          </cell>
          <cell r="J742">
            <v>5</v>
          </cell>
          <cell r="K742">
            <v>7</v>
          </cell>
          <cell r="L742">
            <v>95.31</v>
          </cell>
          <cell r="M742">
            <v>12</v>
          </cell>
          <cell r="N742">
            <v>33.299999999999997</v>
          </cell>
          <cell r="O742">
            <v>6.5</v>
          </cell>
          <cell r="P742">
            <v>2.2000000000000002</v>
          </cell>
          <cell r="S742">
            <v>33.1</v>
          </cell>
          <cell r="T742">
            <v>16.8</v>
          </cell>
          <cell r="U742">
            <v>3</v>
          </cell>
        </row>
        <row r="743">
          <cell r="B743" t="str">
            <v>Male</v>
          </cell>
          <cell r="F743">
            <v>11</v>
          </cell>
          <cell r="G743">
            <v>35.1</v>
          </cell>
          <cell r="H743">
            <v>10</v>
          </cell>
          <cell r="I743">
            <v>62.5</v>
          </cell>
          <cell r="J743">
            <v>8</v>
          </cell>
          <cell r="K743">
            <v>14</v>
          </cell>
          <cell r="L743">
            <v>193.95</v>
          </cell>
          <cell r="M743">
            <v>18</v>
          </cell>
          <cell r="N743">
            <v>48.6</v>
          </cell>
          <cell r="O743">
            <v>0.2</v>
          </cell>
          <cell r="P743">
            <v>31.5</v>
          </cell>
          <cell r="S743">
            <v>45.9</v>
          </cell>
          <cell r="T743">
            <v>17.399999999999999</v>
          </cell>
          <cell r="U743">
            <v>1</v>
          </cell>
        </row>
        <row r="744">
          <cell r="B744" t="str">
            <v>Female</v>
          </cell>
          <cell r="F744">
            <v>31</v>
          </cell>
          <cell r="G744">
            <v>54</v>
          </cell>
          <cell r="H744">
            <v>13.7</v>
          </cell>
          <cell r="I744">
            <v>18.2</v>
          </cell>
          <cell r="J744">
            <v>10</v>
          </cell>
          <cell r="K744">
            <v>20</v>
          </cell>
          <cell r="L744">
            <v>114.41</v>
          </cell>
          <cell r="M744">
            <v>3</v>
          </cell>
          <cell r="N744">
            <v>47.5</v>
          </cell>
          <cell r="O744">
            <v>4.2</v>
          </cell>
          <cell r="P744">
            <v>34.1</v>
          </cell>
          <cell r="S744">
            <v>65.3</v>
          </cell>
          <cell r="T744">
            <v>34.6</v>
          </cell>
          <cell r="U744">
            <v>2</v>
          </cell>
        </row>
        <row r="745">
          <cell r="B745" t="str">
            <v>Female</v>
          </cell>
          <cell r="F745">
            <v>13</v>
          </cell>
          <cell r="G745">
            <v>22.8</v>
          </cell>
          <cell r="H745">
            <v>7.8</v>
          </cell>
          <cell r="I745">
            <v>42.8</v>
          </cell>
          <cell r="J745">
            <v>3</v>
          </cell>
          <cell r="K745" t="str">
            <v>11.700000000000001</v>
          </cell>
          <cell r="L745">
            <v>127.85</v>
          </cell>
          <cell r="M745">
            <v>14</v>
          </cell>
          <cell r="N745">
            <v>25.32</v>
          </cell>
          <cell r="O745">
            <v>4.2</v>
          </cell>
          <cell r="P745">
            <v>19.899999999999999</v>
          </cell>
          <cell r="S745">
            <v>40.9</v>
          </cell>
          <cell r="T745">
            <v>25</v>
          </cell>
          <cell r="U745">
            <v>1</v>
          </cell>
        </row>
        <row r="746">
          <cell r="B746" t="str">
            <v>Female</v>
          </cell>
          <cell r="F746">
            <v>9</v>
          </cell>
          <cell r="H746">
            <v>8.1</v>
          </cell>
          <cell r="I746">
            <v>83.1</v>
          </cell>
          <cell r="J746">
            <v>3</v>
          </cell>
          <cell r="K746">
            <v>8</v>
          </cell>
          <cell r="L746">
            <v>145.58000000000001</v>
          </cell>
          <cell r="M746">
            <v>5</v>
          </cell>
          <cell r="N746">
            <v>44.1</v>
          </cell>
          <cell r="O746">
            <v>5.7</v>
          </cell>
          <cell r="P746">
            <v>24.5</v>
          </cell>
          <cell r="T746">
            <v>13.4</v>
          </cell>
        </row>
        <row r="747">
          <cell r="B747" t="str">
            <v>Male</v>
          </cell>
          <cell r="F747">
            <v>10</v>
          </cell>
          <cell r="G747">
            <v>25.4</v>
          </cell>
          <cell r="H747">
            <v>9.6</v>
          </cell>
          <cell r="I747">
            <v>44.9</v>
          </cell>
          <cell r="J747">
            <v>4</v>
          </cell>
          <cell r="K747">
            <v>15</v>
          </cell>
          <cell r="L747">
            <v>110.91</v>
          </cell>
          <cell r="M747">
            <v>18</v>
          </cell>
          <cell r="N747">
            <v>88.4</v>
          </cell>
          <cell r="O747">
            <v>1.5</v>
          </cell>
          <cell r="P747">
            <v>19.3</v>
          </cell>
          <cell r="S747">
            <v>61.4</v>
          </cell>
          <cell r="T747">
            <v>24.7</v>
          </cell>
          <cell r="U747">
            <v>2</v>
          </cell>
        </row>
        <row r="748">
          <cell r="B748" t="str">
            <v>Female</v>
          </cell>
          <cell r="F748">
            <v>9</v>
          </cell>
          <cell r="G748">
            <v>19.5</v>
          </cell>
          <cell r="H748">
            <v>8.6</v>
          </cell>
          <cell r="I748">
            <v>61.8</v>
          </cell>
          <cell r="J748">
            <v>3</v>
          </cell>
          <cell r="K748">
            <v>8</v>
          </cell>
          <cell r="L748">
            <v>121.28</v>
          </cell>
          <cell r="M748">
            <v>33</v>
          </cell>
          <cell r="N748">
            <v>49</v>
          </cell>
          <cell r="O748">
            <v>8.1</v>
          </cell>
          <cell r="P748">
            <v>5.4</v>
          </cell>
          <cell r="S748">
            <v>32.200000000000003</v>
          </cell>
          <cell r="T748">
            <v>1.4</v>
          </cell>
          <cell r="U748">
            <v>5</v>
          </cell>
        </row>
        <row r="749">
          <cell r="B749" t="str">
            <v>Female</v>
          </cell>
          <cell r="F749">
            <v>11</v>
          </cell>
          <cell r="G749">
            <v>43.3</v>
          </cell>
          <cell r="H749">
            <v>13.8</v>
          </cell>
          <cell r="I749">
            <v>57.5</v>
          </cell>
          <cell r="J749">
            <v>3</v>
          </cell>
          <cell r="K749">
            <v>16</v>
          </cell>
          <cell r="L749">
            <v>78.28</v>
          </cell>
          <cell r="M749">
            <v>105</v>
          </cell>
          <cell r="N749">
            <v>64.5</v>
          </cell>
          <cell r="O749">
            <v>12.9</v>
          </cell>
          <cell r="P749">
            <v>25.1</v>
          </cell>
          <cell r="S749">
            <v>49.7</v>
          </cell>
          <cell r="T749">
            <v>30.8</v>
          </cell>
          <cell r="U749">
            <v>2</v>
          </cell>
        </row>
        <row r="750">
          <cell r="B750" t="str">
            <v>Female</v>
          </cell>
          <cell r="F750">
            <v>10</v>
          </cell>
          <cell r="G750">
            <v>35.4</v>
          </cell>
          <cell r="H750">
            <v>8.4</v>
          </cell>
          <cell r="I750">
            <v>37.299999999999997</v>
          </cell>
          <cell r="K750">
            <v>13</v>
          </cell>
          <cell r="L750">
            <v>149.6</v>
          </cell>
          <cell r="M750">
            <v>39</v>
          </cell>
          <cell r="N750">
            <v>12.9</v>
          </cell>
          <cell r="O750">
            <v>2.5</v>
          </cell>
          <cell r="P750">
            <v>8.6999999999999993</v>
          </cell>
          <cell r="S750">
            <v>27</v>
          </cell>
          <cell r="T750">
            <v>18.2</v>
          </cell>
          <cell r="U750">
            <v>1</v>
          </cell>
        </row>
        <row r="751">
          <cell r="B751" t="str">
            <v>Male</v>
          </cell>
          <cell r="F751">
            <v>17</v>
          </cell>
          <cell r="G751">
            <v>36.700000000000003</v>
          </cell>
          <cell r="H751">
            <v>8.5</v>
          </cell>
          <cell r="I751">
            <v>57.1</v>
          </cell>
          <cell r="K751">
            <v>17</v>
          </cell>
          <cell r="L751">
            <v>69.209999999999994</v>
          </cell>
          <cell r="M751">
            <v>49</v>
          </cell>
          <cell r="O751">
            <v>3.7</v>
          </cell>
          <cell r="P751">
            <v>36.200000000000003</v>
          </cell>
          <cell r="S751">
            <v>41.8</v>
          </cell>
          <cell r="T751">
            <v>26.8</v>
          </cell>
          <cell r="U751">
            <v>4</v>
          </cell>
        </row>
        <row r="752">
          <cell r="B752" t="str">
            <v>Female</v>
          </cell>
          <cell r="F752">
            <v>15</v>
          </cell>
          <cell r="G752">
            <v>22</v>
          </cell>
          <cell r="H752">
            <v>2.2999999999999998</v>
          </cell>
          <cell r="I752">
            <v>60.1</v>
          </cell>
          <cell r="K752">
            <v>5</v>
          </cell>
          <cell r="L752">
            <v>116.63</v>
          </cell>
          <cell r="M752">
            <v>27</v>
          </cell>
          <cell r="N752">
            <v>33.6</v>
          </cell>
          <cell r="O752">
            <v>1.8</v>
          </cell>
          <cell r="P752">
            <v>21.4</v>
          </cell>
          <cell r="S752">
            <v>12.3</v>
          </cell>
          <cell r="T752">
            <v>15.1</v>
          </cell>
          <cell r="U752">
            <v>3</v>
          </cell>
        </row>
        <row r="753">
          <cell r="B753" t="str">
            <v>Female</v>
          </cell>
          <cell r="F753">
            <v>2</v>
          </cell>
          <cell r="G753">
            <v>19</v>
          </cell>
          <cell r="H753">
            <v>4.0999999999999996</v>
          </cell>
          <cell r="I753">
            <v>60.8</v>
          </cell>
          <cell r="J753">
            <v>4</v>
          </cell>
          <cell r="K753">
            <v>7</v>
          </cell>
          <cell r="L753">
            <v>127.18</v>
          </cell>
          <cell r="M753">
            <v>27</v>
          </cell>
          <cell r="O753">
            <v>2.4</v>
          </cell>
          <cell r="P753">
            <v>2.2999999999999998</v>
          </cell>
          <cell r="S753">
            <v>24.5</v>
          </cell>
          <cell r="T753">
            <v>9.6999999999999993</v>
          </cell>
          <cell r="U753">
            <v>2</v>
          </cell>
        </row>
        <row r="754">
          <cell r="B754" t="str">
            <v>Male</v>
          </cell>
          <cell r="F754">
            <v>19</v>
          </cell>
          <cell r="G754">
            <v>28.5</v>
          </cell>
          <cell r="H754">
            <v>3.1</v>
          </cell>
          <cell r="I754">
            <v>33.5</v>
          </cell>
          <cell r="J754">
            <v>2</v>
          </cell>
          <cell r="K754">
            <v>12</v>
          </cell>
          <cell r="L754">
            <v>176.97</v>
          </cell>
          <cell r="M754">
            <v>25</v>
          </cell>
          <cell r="N754">
            <v>8.8000000000000007</v>
          </cell>
          <cell r="O754">
            <v>11.1</v>
          </cell>
          <cell r="P754">
            <v>20.2</v>
          </cell>
          <cell r="T754">
            <v>16</v>
          </cell>
          <cell r="U754">
            <v>3</v>
          </cell>
        </row>
        <row r="755">
          <cell r="B755" t="str">
            <v>Female</v>
          </cell>
          <cell r="F755">
            <v>0</v>
          </cell>
          <cell r="G755">
            <v>11.5</v>
          </cell>
          <cell r="H755">
            <v>3.5</v>
          </cell>
          <cell r="I755">
            <v>90.5</v>
          </cell>
          <cell r="J755">
            <v>1</v>
          </cell>
          <cell r="K755">
            <v>10</v>
          </cell>
          <cell r="L755">
            <v>157.55000000000001</v>
          </cell>
          <cell r="M755">
            <v>4</v>
          </cell>
          <cell r="N755">
            <v>59.5</v>
          </cell>
          <cell r="P755">
            <v>14</v>
          </cell>
          <cell r="S755">
            <v>23.3</v>
          </cell>
          <cell r="U755">
            <v>3</v>
          </cell>
        </row>
        <row r="756">
          <cell r="B756" t="str">
            <v>Female</v>
          </cell>
          <cell r="F756">
            <v>9</v>
          </cell>
          <cell r="G756">
            <v>20.3</v>
          </cell>
          <cell r="H756">
            <v>7</v>
          </cell>
          <cell r="I756">
            <v>82.1</v>
          </cell>
          <cell r="J756">
            <v>1</v>
          </cell>
          <cell r="K756">
            <v>15</v>
          </cell>
          <cell r="L756">
            <v>142.12</v>
          </cell>
          <cell r="M756">
            <v>8</v>
          </cell>
          <cell r="N756">
            <v>61.5</v>
          </cell>
          <cell r="O756">
            <v>3.7</v>
          </cell>
          <cell r="P756">
            <v>9.4</v>
          </cell>
          <cell r="S756">
            <v>21.2</v>
          </cell>
          <cell r="T756">
            <v>18.2</v>
          </cell>
          <cell r="U756">
            <v>3</v>
          </cell>
        </row>
        <row r="757">
          <cell r="B757" t="str">
            <v>Female</v>
          </cell>
          <cell r="F757">
            <v>8</v>
          </cell>
          <cell r="G757">
            <v>15.7</v>
          </cell>
          <cell r="H757">
            <v>8.1</v>
          </cell>
          <cell r="I757">
            <v>59.9</v>
          </cell>
          <cell r="J757">
            <v>1</v>
          </cell>
          <cell r="K757">
            <v>5</v>
          </cell>
          <cell r="L757">
            <v>127.79</v>
          </cell>
          <cell r="M757">
            <v>18</v>
          </cell>
          <cell r="N757">
            <v>64.5</v>
          </cell>
          <cell r="O757">
            <v>5.9</v>
          </cell>
          <cell r="S757">
            <v>11.9</v>
          </cell>
          <cell r="T757">
            <v>1.7</v>
          </cell>
          <cell r="U757">
            <v>2</v>
          </cell>
        </row>
        <row r="758">
          <cell r="B758" t="str">
            <v>Male</v>
          </cell>
          <cell r="F758">
            <v>1</v>
          </cell>
          <cell r="G758">
            <v>29</v>
          </cell>
          <cell r="H758">
            <v>13.8</v>
          </cell>
          <cell r="I758">
            <v>40.1</v>
          </cell>
          <cell r="J758">
            <v>9</v>
          </cell>
          <cell r="K758">
            <v>10</v>
          </cell>
          <cell r="L758">
            <v>129.01</v>
          </cell>
          <cell r="M758">
            <v>144</v>
          </cell>
          <cell r="N758">
            <v>36.200000000000003</v>
          </cell>
          <cell r="O758">
            <v>10.199999999999999</v>
          </cell>
          <cell r="P758">
            <v>1.1000000000000001</v>
          </cell>
          <cell r="S758">
            <v>25.3</v>
          </cell>
          <cell r="T758">
            <v>16.3</v>
          </cell>
          <cell r="U758">
            <v>1</v>
          </cell>
        </row>
        <row r="759">
          <cell r="B759" t="str">
            <v>Female</v>
          </cell>
          <cell r="F759">
            <v>23</v>
          </cell>
          <cell r="G759">
            <v>29.9</v>
          </cell>
          <cell r="H759">
            <v>15</v>
          </cell>
          <cell r="I759">
            <v>42.2</v>
          </cell>
          <cell r="K759">
            <v>24</v>
          </cell>
          <cell r="L759">
            <v>96.24</v>
          </cell>
          <cell r="M759">
            <v>9</v>
          </cell>
          <cell r="N759">
            <v>46</v>
          </cell>
          <cell r="O759">
            <v>8.1999999999999993</v>
          </cell>
          <cell r="P759">
            <v>29.6</v>
          </cell>
          <cell r="S759">
            <v>26.8</v>
          </cell>
          <cell r="T759">
            <v>28.8</v>
          </cell>
          <cell r="U759">
            <v>1</v>
          </cell>
        </row>
        <row r="760">
          <cell r="B760" t="str">
            <v>Male</v>
          </cell>
          <cell r="F760">
            <v>11</v>
          </cell>
          <cell r="G760">
            <v>35.700000000000003</v>
          </cell>
          <cell r="H760">
            <v>5.2</v>
          </cell>
          <cell r="I760">
            <v>48.5</v>
          </cell>
          <cell r="J760">
            <v>4</v>
          </cell>
          <cell r="K760">
            <v>27.3</v>
          </cell>
          <cell r="L760">
            <v>43.36</v>
          </cell>
          <cell r="M760">
            <v>2</v>
          </cell>
          <cell r="N760">
            <v>11.4</v>
          </cell>
          <cell r="O760">
            <v>4</v>
          </cell>
          <cell r="P760">
            <v>27.8</v>
          </cell>
          <cell r="S760">
            <v>19.8</v>
          </cell>
          <cell r="T760">
            <v>16.7</v>
          </cell>
          <cell r="U760">
            <v>2</v>
          </cell>
        </row>
        <row r="761">
          <cell r="B761" t="str">
            <v>Female</v>
          </cell>
          <cell r="F761">
            <v>7</v>
          </cell>
          <cell r="G761">
            <v>28.2</v>
          </cell>
          <cell r="H761">
            <v>6.5</v>
          </cell>
          <cell r="I761">
            <v>69.7</v>
          </cell>
          <cell r="J761">
            <v>4</v>
          </cell>
          <cell r="K761">
            <v>14</v>
          </cell>
          <cell r="L761">
            <v>141.12</v>
          </cell>
          <cell r="N761">
            <v>49.2</v>
          </cell>
          <cell r="O761">
            <v>7.1</v>
          </cell>
          <cell r="P761">
            <v>13.5</v>
          </cell>
          <cell r="S761">
            <v>17.7</v>
          </cell>
          <cell r="T761">
            <v>10</v>
          </cell>
          <cell r="U761">
            <v>2</v>
          </cell>
        </row>
        <row r="762">
          <cell r="B762" t="str">
            <v>Female</v>
          </cell>
          <cell r="F762">
            <v>28</v>
          </cell>
          <cell r="G762">
            <v>45.9</v>
          </cell>
          <cell r="H762">
            <v>14.9</v>
          </cell>
          <cell r="I762">
            <v>35</v>
          </cell>
          <cell r="J762">
            <v>7</v>
          </cell>
          <cell r="K762">
            <v>18</v>
          </cell>
          <cell r="L762">
            <v>112.76</v>
          </cell>
          <cell r="M762">
            <v>43</v>
          </cell>
          <cell r="N762">
            <v>24</v>
          </cell>
          <cell r="O762">
            <v>15.4</v>
          </cell>
          <cell r="P762">
            <v>31</v>
          </cell>
          <cell r="S762">
            <v>43.1</v>
          </cell>
          <cell r="T762">
            <v>29.5</v>
          </cell>
          <cell r="U762">
            <v>3</v>
          </cell>
        </row>
        <row r="763">
          <cell r="B763" t="str">
            <v>Female</v>
          </cell>
          <cell r="F763">
            <v>10</v>
          </cell>
          <cell r="G763">
            <v>43.1</v>
          </cell>
          <cell r="H763">
            <v>11.7</v>
          </cell>
          <cell r="I763">
            <v>43.5</v>
          </cell>
          <cell r="J763">
            <v>4</v>
          </cell>
          <cell r="K763">
            <v>22.1</v>
          </cell>
          <cell r="L763">
            <v>146.94</v>
          </cell>
          <cell r="M763">
            <v>32</v>
          </cell>
          <cell r="N763" t="str">
            <v>69.47999999999999</v>
          </cell>
          <cell r="O763">
            <v>2.6</v>
          </cell>
          <cell r="P763">
            <v>34.700000000000003</v>
          </cell>
          <cell r="T763">
            <v>23.6</v>
          </cell>
          <cell r="U763">
            <v>1</v>
          </cell>
        </row>
        <row r="764">
          <cell r="B764" t="str">
            <v>Female</v>
          </cell>
          <cell r="F764">
            <v>28</v>
          </cell>
          <cell r="G764">
            <v>39.700000000000003</v>
          </cell>
          <cell r="I764">
            <v>49.4</v>
          </cell>
          <cell r="J764">
            <v>10</v>
          </cell>
          <cell r="K764">
            <v>20</v>
          </cell>
          <cell r="L764">
            <v>108.12</v>
          </cell>
          <cell r="M764">
            <v>32</v>
          </cell>
          <cell r="N764">
            <v>53.9</v>
          </cell>
          <cell r="O764">
            <v>7.7</v>
          </cell>
          <cell r="P764">
            <v>26.4</v>
          </cell>
          <cell r="T764">
            <v>26.6</v>
          </cell>
          <cell r="U764">
            <v>1</v>
          </cell>
        </row>
        <row r="765">
          <cell r="B765" t="str">
            <v>Male</v>
          </cell>
          <cell r="F765">
            <v>14</v>
          </cell>
          <cell r="G765">
            <v>43</v>
          </cell>
          <cell r="H765">
            <v>14.3</v>
          </cell>
          <cell r="I765">
            <v>15.6</v>
          </cell>
          <cell r="J765">
            <v>7</v>
          </cell>
          <cell r="K765">
            <v>28.6</v>
          </cell>
          <cell r="L765">
            <v>197.91</v>
          </cell>
          <cell r="M765">
            <v>61</v>
          </cell>
          <cell r="N765" t="str">
            <v>59.75999999999999</v>
          </cell>
          <cell r="O765">
            <v>2.6</v>
          </cell>
          <cell r="P765">
            <v>39.299999999999997</v>
          </cell>
          <cell r="S765">
            <v>72.8</v>
          </cell>
          <cell r="U765">
            <v>2</v>
          </cell>
        </row>
        <row r="766">
          <cell r="B766" t="str">
            <v>Female</v>
          </cell>
          <cell r="F766">
            <v>18</v>
          </cell>
          <cell r="G766">
            <v>28.2</v>
          </cell>
          <cell r="I766">
            <v>57.2</v>
          </cell>
          <cell r="J766">
            <v>0</v>
          </cell>
          <cell r="K766">
            <v>11</v>
          </cell>
          <cell r="L766">
            <v>131.53</v>
          </cell>
          <cell r="M766">
            <v>84</v>
          </cell>
          <cell r="N766">
            <v>58.8</v>
          </cell>
          <cell r="O766">
            <v>12</v>
          </cell>
          <cell r="P766">
            <v>24.2</v>
          </cell>
          <cell r="S766">
            <v>64.400000000000006</v>
          </cell>
          <cell r="T766">
            <v>26.1</v>
          </cell>
          <cell r="U766">
            <v>2</v>
          </cell>
        </row>
        <row r="767">
          <cell r="B767" t="str">
            <v>Female</v>
          </cell>
          <cell r="F767">
            <v>19</v>
          </cell>
          <cell r="G767">
            <v>57.9</v>
          </cell>
          <cell r="H767">
            <v>13.7</v>
          </cell>
          <cell r="I767">
            <v>18.3</v>
          </cell>
          <cell r="K767">
            <v>22</v>
          </cell>
          <cell r="L767">
            <v>152.13999999999999</v>
          </cell>
          <cell r="M767">
            <v>38</v>
          </cell>
          <cell r="N767">
            <v>34</v>
          </cell>
          <cell r="O767">
            <v>0.9</v>
          </cell>
          <cell r="P767">
            <v>54.8</v>
          </cell>
          <cell r="S767">
            <v>93.9</v>
          </cell>
          <cell r="T767">
            <v>36.299999999999997</v>
          </cell>
          <cell r="U767">
            <v>2</v>
          </cell>
        </row>
        <row r="768">
          <cell r="B768" t="str">
            <v>Male</v>
          </cell>
          <cell r="F768">
            <v>11</v>
          </cell>
          <cell r="G768">
            <v>33.4</v>
          </cell>
          <cell r="I768">
            <v>43.6</v>
          </cell>
          <cell r="J768">
            <v>6</v>
          </cell>
          <cell r="K768">
            <v>19.5</v>
          </cell>
          <cell r="L768">
            <v>132.22999999999999</v>
          </cell>
          <cell r="M768">
            <v>13</v>
          </cell>
          <cell r="N768">
            <v>44.52</v>
          </cell>
          <cell r="O768">
            <v>0.9</v>
          </cell>
          <cell r="P768">
            <v>40.799999999999997</v>
          </cell>
          <cell r="S768">
            <v>24.2</v>
          </cell>
          <cell r="T768">
            <v>30.3</v>
          </cell>
          <cell r="U768">
            <v>3</v>
          </cell>
        </row>
        <row r="769">
          <cell r="B769" t="str">
            <v>Female</v>
          </cell>
          <cell r="F769">
            <v>0</v>
          </cell>
          <cell r="G769">
            <v>20.100000000000001</v>
          </cell>
          <cell r="H769">
            <v>7</v>
          </cell>
          <cell r="I769">
            <v>61.1</v>
          </cell>
          <cell r="J769">
            <v>1</v>
          </cell>
          <cell r="K769">
            <v>8</v>
          </cell>
          <cell r="L769">
            <v>236.73</v>
          </cell>
          <cell r="M769">
            <v>14</v>
          </cell>
          <cell r="O769">
            <v>8.4</v>
          </cell>
          <cell r="P769">
            <v>8.1999999999999993</v>
          </cell>
          <cell r="S769">
            <v>3.1</v>
          </cell>
          <cell r="T769">
            <v>11.5</v>
          </cell>
          <cell r="U769">
            <v>3</v>
          </cell>
        </row>
        <row r="770">
          <cell r="B770" t="str">
            <v>Female</v>
          </cell>
          <cell r="F770">
            <v>15</v>
          </cell>
          <cell r="G770">
            <v>23</v>
          </cell>
          <cell r="H770">
            <v>8.9</v>
          </cell>
          <cell r="I770">
            <v>40.9</v>
          </cell>
          <cell r="J770">
            <v>4</v>
          </cell>
          <cell r="K770">
            <v>9</v>
          </cell>
          <cell r="L770">
            <v>114.33</v>
          </cell>
          <cell r="M770">
            <v>43</v>
          </cell>
          <cell r="N770">
            <v>50.7</v>
          </cell>
          <cell r="O770">
            <v>6.6</v>
          </cell>
          <cell r="P770">
            <v>41.7</v>
          </cell>
          <cell r="S770">
            <v>39.4</v>
          </cell>
          <cell r="T770">
            <v>22.4</v>
          </cell>
          <cell r="U770">
            <v>2</v>
          </cell>
        </row>
        <row r="771">
          <cell r="B771" t="str">
            <v>Female</v>
          </cell>
          <cell r="F771">
            <v>0</v>
          </cell>
          <cell r="G771">
            <v>20.2</v>
          </cell>
          <cell r="H771">
            <v>8.5</v>
          </cell>
          <cell r="I771">
            <v>70.2</v>
          </cell>
          <cell r="J771">
            <v>3</v>
          </cell>
          <cell r="K771">
            <v>7</v>
          </cell>
          <cell r="L771">
            <v>71.86</v>
          </cell>
          <cell r="M771">
            <v>3</v>
          </cell>
          <cell r="O771">
            <v>1.8</v>
          </cell>
          <cell r="P771">
            <v>0</v>
          </cell>
          <cell r="S771">
            <v>7.9</v>
          </cell>
          <cell r="T771">
            <v>8.1</v>
          </cell>
          <cell r="U771">
            <v>3</v>
          </cell>
        </row>
        <row r="772">
          <cell r="B772" t="str">
            <v>Male</v>
          </cell>
          <cell r="F772">
            <v>13</v>
          </cell>
          <cell r="G772">
            <v>21.7</v>
          </cell>
          <cell r="I772">
            <v>74.900000000000006</v>
          </cell>
          <cell r="J772">
            <v>3</v>
          </cell>
          <cell r="K772">
            <v>14</v>
          </cell>
          <cell r="L772">
            <v>269.2</v>
          </cell>
          <cell r="M772">
            <v>3</v>
          </cell>
          <cell r="N772">
            <v>20.100000000000001</v>
          </cell>
          <cell r="O772">
            <v>9.6999999999999993</v>
          </cell>
          <cell r="P772">
            <v>0</v>
          </cell>
          <cell r="S772">
            <v>24.5</v>
          </cell>
          <cell r="T772">
            <v>15.1</v>
          </cell>
          <cell r="U772">
            <v>3</v>
          </cell>
        </row>
        <row r="773">
          <cell r="B773" t="str">
            <v>Other</v>
          </cell>
          <cell r="F773">
            <v>4</v>
          </cell>
          <cell r="G773">
            <v>12.5</v>
          </cell>
          <cell r="I773">
            <v>71.099999999999994</v>
          </cell>
          <cell r="K773">
            <v>8</v>
          </cell>
          <cell r="L773">
            <v>113.17</v>
          </cell>
          <cell r="O773">
            <v>3.6</v>
          </cell>
          <cell r="P773">
            <v>0.1</v>
          </cell>
          <cell r="S773">
            <v>31.2</v>
          </cell>
          <cell r="T773">
            <v>14.8</v>
          </cell>
          <cell r="U773">
            <v>5</v>
          </cell>
        </row>
        <row r="774">
          <cell r="B774" t="str">
            <v>Female</v>
          </cell>
          <cell r="F774">
            <v>27</v>
          </cell>
          <cell r="G774">
            <v>47</v>
          </cell>
          <cell r="H774">
            <v>12</v>
          </cell>
          <cell r="I774">
            <v>35</v>
          </cell>
          <cell r="J774">
            <v>8</v>
          </cell>
          <cell r="K774">
            <v>22</v>
          </cell>
          <cell r="L774">
            <v>228.22</v>
          </cell>
          <cell r="M774">
            <v>58</v>
          </cell>
          <cell r="N774">
            <v>13</v>
          </cell>
          <cell r="O774">
            <v>6.7</v>
          </cell>
          <cell r="P774">
            <v>36</v>
          </cell>
          <cell r="S774">
            <v>57.1</v>
          </cell>
          <cell r="T774">
            <v>39</v>
          </cell>
          <cell r="U774">
            <v>2</v>
          </cell>
        </row>
        <row r="775">
          <cell r="B775" t="str">
            <v>Female</v>
          </cell>
          <cell r="F775">
            <v>15</v>
          </cell>
          <cell r="G775">
            <v>41.7</v>
          </cell>
          <cell r="H775">
            <v>12</v>
          </cell>
          <cell r="I775">
            <v>43.9</v>
          </cell>
          <cell r="J775">
            <v>3</v>
          </cell>
          <cell r="K775">
            <v>18.2</v>
          </cell>
          <cell r="L775">
            <v>117.58</v>
          </cell>
          <cell r="M775">
            <v>2</v>
          </cell>
          <cell r="N775">
            <v>25.32</v>
          </cell>
          <cell r="O775">
            <v>9.3000000000000007</v>
          </cell>
          <cell r="P775">
            <v>30.5</v>
          </cell>
          <cell r="S775">
            <v>57.5</v>
          </cell>
          <cell r="T775">
            <v>18.5</v>
          </cell>
          <cell r="U775">
            <v>2</v>
          </cell>
        </row>
        <row r="776">
          <cell r="B776" t="str">
            <v>Male</v>
          </cell>
          <cell r="F776">
            <v>0</v>
          </cell>
          <cell r="G776">
            <v>17.100000000000001</v>
          </cell>
          <cell r="H776">
            <v>7.3</v>
          </cell>
          <cell r="I776">
            <v>65.5</v>
          </cell>
          <cell r="J776">
            <v>5</v>
          </cell>
          <cell r="K776">
            <v>6</v>
          </cell>
          <cell r="L776">
            <v>93.3</v>
          </cell>
          <cell r="M776">
            <v>15</v>
          </cell>
          <cell r="N776">
            <v>10.3</v>
          </cell>
          <cell r="O776">
            <v>12</v>
          </cell>
          <cell r="S776">
            <v>36.1</v>
          </cell>
          <cell r="T776">
            <v>12.6</v>
          </cell>
          <cell r="U776">
            <v>2</v>
          </cell>
        </row>
        <row r="777">
          <cell r="B777" t="str">
            <v>Female</v>
          </cell>
          <cell r="F777">
            <v>5</v>
          </cell>
          <cell r="G777">
            <v>12.6</v>
          </cell>
          <cell r="H777">
            <v>7.8</v>
          </cell>
          <cell r="I777">
            <v>52.5</v>
          </cell>
          <cell r="J777">
            <v>4</v>
          </cell>
          <cell r="K777" t="str">
            <v>11.700000000000001</v>
          </cell>
          <cell r="L777">
            <v>143.02000000000001</v>
          </cell>
          <cell r="M777">
            <v>34</v>
          </cell>
          <cell r="N777" t="str">
            <v>46.199999999999996</v>
          </cell>
          <cell r="O777">
            <v>12.3</v>
          </cell>
          <cell r="S777">
            <v>24.9</v>
          </cell>
          <cell r="T777">
            <v>15.8</v>
          </cell>
          <cell r="U777">
            <v>3</v>
          </cell>
        </row>
        <row r="778">
          <cell r="B778" t="str">
            <v>Female</v>
          </cell>
          <cell r="F778">
            <v>6</v>
          </cell>
          <cell r="G778">
            <v>24.1</v>
          </cell>
          <cell r="H778">
            <v>14.6</v>
          </cell>
          <cell r="I778">
            <v>55.2</v>
          </cell>
          <cell r="J778">
            <v>4</v>
          </cell>
          <cell r="K778" t="str">
            <v>16.900000000000002</v>
          </cell>
          <cell r="L778">
            <v>128.66</v>
          </cell>
          <cell r="M778">
            <v>36</v>
          </cell>
          <cell r="N778">
            <v>25.8</v>
          </cell>
          <cell r="O778">
            <v>6.2</v>
          </cell>
          <cell r="P778">
            <v>28.2</v>
          </cell>
          <cell r="S778">
            <v>53.8</v>
          </cell>
          <cell r="T778">
            <v>23.3</v>
          </cell>
          <cell r="U778">
            <v>2</v>
          </cell>
        </row>
        <row r="779">
          <cell r="B779" t="str">
            <v>Male</v>
          </cell>
          <cell r="F779">
            <v>22</v>
          </cell>
          <cell r="G779">
            <v>43.7</v>
          </cell>
          <cell r="I779">
            <v>43.1</v>
          </cell>
          <cell r="J779">
            <v>7</v>
          </cell>
          <cell r="K779">
            <v>20</v>
          </cell>
          <cell r="L779">
            <v>113.39</v>
          </cell>
          <cell r="M779">
            <v>82</v>
          </cell>
          <cell r="N779">
            <v>22.6</v>
          </cell>
          <cell r="O779">
            <v>8.6</v>
          </cell>
          <cell r="P779">
            <v>31.2</v>
          </cell>
          <cell r="T779">
            <v>22.5</v>
          </cell>
          <cell r="U779">
            <v>2</v>
          </cell>
        </row>
        <row r="780">
          <cell r="B780" t="str">
            <v>Male</v>
          </cell>
          <cell r="F780">
            <v>3</v>
          </cell>
          <cell r="G780">
            <v>31.4</v>
          </cell>
          <cell r="H780">
            <v>9.1999999999999993</v>
          </cell>
          <cell r="I780">
            <v>43.7</v>
          </cell>
          <cell r="J780">
            <v>4</v>
          </cell>
          <cell r="K780" t="str">
            <v>15.600000000000001</v>
          </cell>
          <cell r="L780">
            <v>79.489999999999995</v>
          </cell>
          <cell r="M780">
            <v>30</v>
          </cell>
          <cell r="N780">
            <v>46.8</v>
          </cell>
          <cell r="O780">
            <v>6.7</v>
          </cell>
          <cell r="P780">
            <v>16.5</v>
          </cell>
          <cell r="S780">
            <v>35</v>
          </cell>
          <cell r="T780">
            <v>20.9</v>
          </cell>
          <cell r="U780">
            <v>4</v>
          </cell>
        </row>
        <row r="781">
          <cell r="B781" t="str">
            <v>Male</v>
          </cell>
          <cell r="F781">
            <v>9</v>
          </cell>
          <cell r="H781">
            <v>5.7</v>
          </cell>
          <cell r="I781">
            <v>84.2</v>
          </cell>
          <cell r="K781">
            <v>8</v>
          </cell>
          <cell r="L781">
            <v>94.69</v>
          </cell>
          <cell r="M781">
            <v>18</v>
          </cell>
          <cell r="N781">
            <v>37.5</v>
          </cell>
          <cell r="O781">
            <v>6.1</v>
          </cell>
          <cell r="P781">
            <v>14.6</v>
          </cell>
          <cell r="S781">
            <v>34.799999999999997</v>
          </cell>
          <cell r="T781">
            <v>11.7</v>
          </cell>
          <cell r="U781">
            <v>2</v>
          </cell>
        </row>
        <row r="782">
          <cell r="B782" t="str">
            <v>Female</v>
          </cell>
          <cell r="F782">
            <v>4</v>
          </cell>
          <cell r="G782">
            <v>19.7</v>
          </cell>
          <cell r="H782">
            <v>9.1</v>
          </cell>
          <cell r="I782">
            <v>69.8</v>
          </cell>
          <cell r="J782">
            <v>2</v>
          </cell>
          <cell r="K782">
            <v>10</v>
          </cell>
          <cell r="L782">
            <v>85.28</v>
          </cell>
          <cell r="M782">
            <v>20</v>
          </cell>
          <cell r="P782">
            <v>28.3</v>
          </cell>
          <cell r="S782">
            <v>0</v>
          </cell>
          <cell r="U782">
            <v>2</v>
          </cell>
        </row>
        <row r="783">
          <cell r="B783" t="str">
            <v>Male</v>
          </cell>
          <cell r="F783">
            <v>5</v>
          </cell>
          <cell r="G783">
            <v>22.2</v>
          </cell>
          <cell r="H783">
            <v>8.5</v>
          </cell>
          <cell r="I783">
            <v>68.900000000000006</v>
          </cell>
          <cell r="J783">
            <v>1</v>
          </cell>
          <cell r="K783">
            <v>13</v>
          </cell>
          <cell r="L783">
            <v>90.87</v>
          </cell>
          <cell r="M783">
            <v>36</v>
          </cell>
          <cell r="N783">
            <v>36.799999999999997</v>
          </cell>
          <cell r="O783">
            <v>5.2</v>
          </cell>
          <cell r="P783">
            <v>27</v>
          </cell>
          <cell r="S783">
            <v>4.5</v>
          </cell>
          <cell r="T783">
            <v>16.8</v>
          </cell>
          <cell r="U783">
            <v>4</v>
          </cell>
        </row>
        <row r="784">
          <cell r="B784" t="str">
            <v>Male</v>
          </cell>
          <cell r="F784">
            <v>0</v>
          </cell>
          <cell r="H784">
            <v>9.6999999999999993</v>
          </cell>
          <cell r="I784">
            <v>72.5</v>
          </cell>
          <cell r="J784">
            <v>2</v>
          </cell>
          <cell r="K784">
            <v>7</v>
          </cell>
          <cell r="L784">
            <v>91.22</v>
          </cell>
          <cell r="M784">
            <v>0</v>
          </cell>
          <cell r="N784">
            <v>72</v>
          </cell>
          <cell r="P784">
            <v>0</v>
          </cell>
          <cell r="S784">
            <v>6.7</v>
          </cell>
          <cell r="T784">
            <v>14.3</v>
          </cell>
          <cell r="U784">
            <v>4</v>
          </cell>
        </row>
        <row r="785">
          <cell r="B785" t="str">
            <v>Male</v>
          </cell>
          <cell r="F785">
            <v>24</v>
          </cell>
          <cell r="G785">
            <v>36.200000000000003</v>
          </cell>
          <cell r="H785">
            <v>10.1</v>
          </cell>
          <cell r="I785">
            <v>44.4</v>
          </cell>
          <cell r="J785">
            <v>5</v>
          </cell>
          <cell r="K785">
            <v>13</v>
          </cell>
          <cell r="L785">
            <v>101.45</v>
          </cell>
          <cell r="M785">
            <v>52</v>
          </cell>
          <cell r="N785">
            <v>32.1</v>
          </cell>
          <cell r="O785">
            <v>7.9</v>
          </cell>
          <cell r="P785">
            <v>22.4</v>
          </cell>
          <cell r="S785">
            <v>32.799999999999997</v>
          </cell>
          <cell r="T785">
            <v>29.6</v>
          </cell>
        </row>
        <row r="786">
          <cell r="B786" t="str">
            <v>Male</v>
          </cell>
          <cell r="F786">
            <v>0</v>
          </cell>
          <cell r="G786">
            <v>15.5</v>
          </cell>
          <cell r="H786">
            <v>5.4</v>
          </cell>
          <cell r="I786">
            <v>91.1</v>
          </cell>
          <cell r="J786">
            <v>2</v>
          </cell>
          <cell r="K786">
            <v>5</v>
          </cell>
          <cell r="L786">
            <v>87.72</v>
          </cell>
          <cell r="M786">
            <v>20</v>
          </cell>
          <cell r="O786">
            <v>4.3</v>
          </cell>
          <cell r="P786">
            <v>0</v>
          </cell>
          <cell r="S786">
            <v>26.2</v>
          </cell>
          <cell r="T786">
            <v>10.6</v>
          </cell>
          <cell r="U786">
            <v>1</v>
          </cell>
        </row>
        <row r="787">
          <cell r="B787" t="str">
            <v>Female</v>
          </cell>
          <cell r="F787">
            <v>14</v>
          </cell>
          <cell r="G787">
            <v>33.4</v>
          </cell>
          <cell r="H787">
            <v>12.9</v>
          </cell>
          <cell r="I787">
            <v>55</v>
          </cell>
          <cell r="J787">
            <v>4</v>
          </cell>
          <cell r="K787">
            <v>16</v>
          </cell>
          <cell r="L787">
            <v>121.89</v>
          </cell>
          <cell r="O787">
            <v>1.2</v>
          </cell>
          <cell r="P787">
            <v>15.1</v>
          </cell>
          <cell r="S787">
            <v>32.1</v>
          </cell>
          <cell r="T787">
            <v>26.9</v>
          </cell>
          <cell r="U787">
            <v>4</v>
          </cell>
        </row>
        <row r="788">
          <cell r="B788" t="str">
            <v>Female</v>
          </cell>
          <cell r="F788">
            <v>22</v>
          </cell>
          <cell r="G788">
            <v>55.6</v>
          </cell>
          <cell r="H788">
            <v>15.2</v>
          </cell>
          <cell r="I788">
            <v>21.2</v>
          </cell>
          <cell r="J788">
            <v>16</v>
          </cell>
          <cell r="K788">
            <v>23</v>
          </cell>
          <cell r="L788">
            <v>50.94</v>
          </cell>
          <cell r="M788">
            <v>7</v>
          </cell>
          <cell r="N788">
            <v>57.1</v>
          </cell>
          <cell r="O788">
            <v>8.5</v>
          </cell>
          <cell r="P788">
            <v>40.5</v>
          </cell>
          <cell r="S788">
            <v>65.099999999999994</v>
          </cell>
          <cell r="U788">
            <v>4</v>
          </cell>
        </row>
        <row r="789">
          <cell r="B789" t="str">
            <v>Female</v>
          </cell>
          <cell r="F789">
            <v>0</v>
          </cell>
          <cell r="G789">
            <v>14.7</v>
          </cell>
          <cell r="H789">
            <v>3.5</v>
          </cell>
          <cell r="I789">
            <v>65.8</v>
          </cell>
          <cell r="J789">
            <v>0</v>
          </cell>
          <cell r="K789">
            <v>6</v>
          </cell>
          <cell r="L789">
            <v>91.65</v>
          </cell>
          <cell r="M789">
            <v>22</v>
          </cell>
          <cell r="O789">
            <v>2</v>
          </cell>
          <cell r="P789">
            <v>0</v>
          </cell>
          <cell r="S789">
            <v>0</v>
          </cell>
          <cell r="T789">
            <v>11.3</v>
          </cell>
          <cell r="U789">
            <v>2</v>
          </cell>
        </row>
        <row r="790">
          <cell r="B790" t="str">
            <v>Male</v>
          </cell>
          <cell r="F790">
            <v>0</v>
          </cell>
          <cell r="G790">
            <v>22.3</v>
          </cell>
          <cell r="H790">
            <v>8.8000000000000007</v>
          </cell>
          <cell r="I790">
            <v>56.8</v>
          </cell>
          <cell r="J790">
            <v>4</v>
          </cell>
          <cell r="K790">
            <v>16</v>
          </cell>
          <cell r="L790">
            <v>145.33000000000001</v>
          </cell>
          <cell r="M790">
            <v>7</v>
          </cell>
          <cell r="N790">
            <v>40</v>
          </cell>
          <cell r="O790">
            <v>16</v>
          </cell>
          <cell r="P790">
            <v>15.6</v>
          </cell>
          <cell r="T790">
            <v>15.6</v>
          </cell>
          <cell r="U790">
            <v>3</v>
          </cell>
        </row>
        <row r="791">
          <cell r="B791" t="str">
            <v>Female</v>
          </cell>
          <cell r="F791">
            <v>14</v>
          </cell>
          <cell r="G791">
            <v>26.1</v>
          </cell>
          <cell r="H791">
            <v>8.3000000000000007</v>
          </cell>
          <cell r="I791">
            <v>51.5</v>
          </cell>
          <cell r="J791">
            <v>3</v>
          </cell>
          <cell r="K791">
            <v>14</v>
          </cell>
          <cell r="L791">
            <v>145.19</v>
          </cell>
          <cell r="M791">
            <v>0</v>
          </cell>
          <cell r="N791">
            <v>12.4</v>
          </cell>
          <cell r="O791">
            <v>2.4</v>
          </cell>
          <cell r="P791">
            <v>24.5</v>
          </cell>
          <cell r="S791">
            <v>28.5</v>
          </cell>
          <cell r="T791">
            <v>20.8</v>
          </cell>
          <cell r="U791">
            <v>1</v>
          </cell>
        </row>
        <row r="792">
          <cell r="B792" t="str">
            <v>Male</v>
          </cell>
          <cell r="F792">
            <v>29</v>
          </cell>
          <cell r="G792">
            <v>43.1</v>
          </cell>
          <cell r="H792">
            <v>15.4</v>
          </cell>
          <cell r="I792">
            <v>29</v>
          </cell>
          <cell r="J792">
            <v>12</v>
          </cell>
          <cell r="K792">
            <v>21</v>
          </cell>
          <cell r="L792">
            <v>114.18</v>
          </cell>
          <cell r="M792">
            <v>13</v>
          </cell>
          <cell r="N792">
            <v>17.899999999999999</v>
          </cell>
          <cell r="P792">
            <v>49.7</v>
          </cell>
          <cell r="S792">
            <v>69.8</v>
          </cell>
          <cell r="T792">
            <v>38.6</v>
          </cell>
          <cell r="U792">
            <v>1</v>
          </cell>
        </row>
        <row r="793">
          <cell r="B793" t="str">
            <v>Female</v>
          </cell>
          <cell r="F793">
            <v>9</v>
          </cell>
          <cell r="G793">
            <v>23.4</v>
          </cell>
          <cell r="H793">
            <v>10.6</v>
          </cell>
          <cell r="I793">
            <v>50.4</v>
          </cell>
          <cell r="J793">
            <v>5</v>
          </cell>
          <cell r="K793">
            <v>17</v>
          </cell>
          <cell r="L793">
            <v>163.4</v>
          </cell>
          <cell r="M793">
            <v>10</v>
          </cell>
          <cell r="N793">
            <v>22.9</v>
          </cell>
          <cell r="O793">
            <v>3.7</v>
          </cell>
          <cell r="P793">
            <v>15.4</v>
          </cell>
          <cell r="T793">
            <v>7</v>
          </cell>
          <cell r="U793">
            <v>2</v>
          </cell>
        </row>
        <row r="794">
          <cell r="B794" t="str">
            <v>Male</v>
          </cell>
          <cell r="F794">
            <v>6</v>
          </cell>
          <cell r="G794">
            <v>15.3</v>
          </cell>
          <cell r="H794">
            <v>5.6</v>
          </cell>
          <cell r="I794">
            <v>82</v>
          </cell>
          <cell r="J794">
            <v>2</v>
          </cell>
          <cell r="K794">
            <v>4</v>
          </cell>
          <cell r="L794">
            <v>73.22</v>
          </cell>
          <cell r="M794">
            <v>2</v>
          </cell>
          <cell r="N794">
            <v>33.4</v>
          </cell>
          <cell r="P794">
            <v>11.3</v>
          </cell>
          <cell r="S794">
            <v>16.100000000000001</v>
          </cell>
          <cell r="T794">
            <v>15.2</v>
          </cell>
          <cell r="U794">
            <v>2</v>
          </cell>
        </row>
        <row r="795">
          <cell r="B795" t="str">
            <v>Female</v>
          </cell>
          <cell r="F795">
            <v>1</v>
          </cell>
          <cell r="H795">
            <v>5.8</v>
          </cell>
          <cell r="I795">
            <v>72</v>
          </cell>
          <cell r="J795">
            <v>1</v>
          </cell>
          <cell r="K795">
            <v>10</v>
          </cell>
          <cell r="L795">
            <v>139.11000000000001</v>
          </cell>
          <cell r="M795">
            <v>5</v>
          </cell>
          <cell r="O795">
            <v>0.7</v>
          </cell>
          <cell r="T795">
            <v>14</v>
          </cell>
        </row>
        <row r="796">
          <cell r="B796" t="str">
            <v>Male</v>
          </cell>
          <cell r="F796">
            <v>1</v>
          </cell>
          <cell r="G796">
            <v>25.6</v>
          </cell>
          <cell r="H796">
            <v>1.5</v>
          </cell>
          <cell r="I796">
            <v>58</v>
          </cell>
          <cell r="J796">
            <v>2</v>
          </cell>
          <cell r="K796">
            <v>13</v>
          </cell>
          <cell r="L796">
            <v>128.41</v>
          </cell>
          <cell r="M796">
            <v>118</v>
          </cell>
          <cell r="N796">
            <v>68.52</v>
          </cell>
          <cell r="O796">
            <v>2.4</v>
          </cell>
          <cell r="P796">
            <v>0</v>
          </cell>
          <cell r="S796">
            <v>0</v>
          </cell>
          <cell r="T796">
            <v>9.1</v>
          </cell>
          <cell r="U796">
            <v>5</v>
          </cell>
        </row>
        <row r="797">
          <cell r="B797" t="str">
            <v>Male</v>
          </cell>
          <cell r="F797">
            <v>9</v>
          </cell>
          <cell r="G797">
            <v>34.4</v>
          </cell>
          <cell r="H797">
            <v>13</v>
          </cell>
          <cell r="I797">
            <v>50.4</v>
          </cell>
          <cell r="J797">
            <v>10</v>
          </cell>
          <cell r="K797">
            <v>10</v>
          </cell>
          <cell r="L797">
            <v>50.53</v>
          </cell>
          <cell r="M797">
            <v>14</v>
          </cell>
          <cell r="N797">
            <v>12.7</v>
          </cell>
          <cell r="O797">
            <v>0.8</v>
          </cell>
          <cell r="P797">
            <v>35.1</v>
          </cell>
          <cell r="S797">
            <v>55.5</v>
          </cell>
          <cell r="T797">
            <v>19.100000000000001</v>
          </cell>
          <cell r="U797">
            <v>5</v>
          </cell>
        </row>
        <row r="798">
          <cell r="B798" t="str">
            <v>Male</v>
          </cell>
          <cell r="F798">
            <v>11</v>
          </cell>
          <cell r="G798">
            <v>44</v>
          </cell>
          <cell r="H798">
            <v>10.5</v>
          </cell>
          <cell r="I798">
            <v>45.8</v>
          </cell>
          <cell r="J798">
            <v>7</v>
          </cell>
          <cell r="K798">
            <v>13</v>
          </cell>
          <cell r="L798">
            <v>107.42</v>
          </cell>
          <cell r="M798">
            <v>26</v>
          </cell>
          <cell r="N798">
            <v>34.799999999999997</v>
          </cell>
          <cell r="O798">
            <v>6.1</v>
          </cell>
          <cell r="P798">
            <v>26.1</v>
          </cell>
          <cell r="S798">
            <v>73.5</v>
          </cell>
          <cell r="T798">
            <v>31.3</v>
          </cell>
        </row>
        <row r="799">
          <cell r="B799" t="str">
            <v>Female</v>
          </cell>
          <cell r="F799">
            <v>12</v>
          </cell>
          <cell r="H799">
            <v>8.1</v>
          </cell>
          <cell r="I799">
            <v>76.5</v>
          </cell>
          <cell r="J799">
            <v>0</v>
          </cell>
          <cell r="K799">
            <v>11</v>
          </cell>
          <cell r="L799">
            <v>116.8</v>
          </cell>
          <cell r="M799">
            <v>21</v>
          </cell>
          <cell r="N799">
            <v>67.099999999999994</v>
          </cell>
          <cell r="O799">
            <v>8.6999999999999993</v>
          </cell>
          <cell r="P799">
            <v>10.8</v>
          </cell>
          <cell r="S799">
            <v>3.4</v>
          </cell>
          <cell r="T799">
            <v>12.4</v>
          </cell>
          <cell r="U799">
            <v>3</v>
          </cell>
        </row>
        <row r="800">
          <cell r="B800" t="str">
            <v>Female</v>
          </cell>
          <cell r="F800">
            <v>5</v>
          </cell>
          <cell r="G800">
            <v>28.5</v>
          </cell>
          <cell r="I800">
            <v>62.8</v>
          </cell>
          <cell r="J800">
            <v>3</v>
          </cell>
          <cell r="K800">
            <v>11</v>
          </cell>
          <cell r="L800">
            <v>149.85</v>
          </cell>
          <cell r="M800">
            <v>58</v>
          </cell>
          <cell r="N800">
            <v>32.700000000000003</v>
          </cell>
          <cell r="O800">
            <v>9.1999999999999993</v>
          </cell>
          <cell r="P800">
            <v>32.299999999999997</v>
          </cell>
          <cell r="S800">
            <v>54.4</v>
          </cell>
          <cell r="T800">
            <v>21.6</v>
          </cell>
        </row>
        <row r="801">
          <cell r="B801" t="str">
            <v>Female</v>
          </cell>
          <cell r="F801">
            <v>23</v>
          </cell>
          <cell r="G801">
            <v>41.9</v>
          </cell>
          <cell r="H801">
            <v>17.399999999999999</v>
          </cell>
          <cell r="I801">
            <v>23.7</v>
          </cell>
          <cell r="J801">
            <v>3</v>
          </cell>
          <cell r="K801">
            <v>17</v>
          </cell>
          <cell r="L801">
            <v>112.11</v>
          </cell>
          <cell r="M801">
            <v>0</v>
          </cell>
          <cell r="N801">
            <v>6.4</v>
          </cell>
          <cell r="O801">
            <v>5.2</v>
          </cell>
          <cell r="P801">
            <v>47.4</v>
          </cell>
          <cell r="S801">
            <v>29.2</v>
          </cell>
          <cell r="T801">
            <v>31.8</v>
          </cell>
          <cell r="U801">
            <v>4</v>
          </cell>
        </row>
        <row r="802">
          <cell r="B802" t="str">
            <v>Male</v>
          </cell>
          <cell r="F802">
            <v>8</v>
          </cell>
          <cell r="G802">
            <v>24.9</v>
          </cell>
          <cell r="H802">
            <v>7.9</v>
          </cell>
          <cell r="I802">
            <v>49.2</v>
          </cell>
          <cell r="J802">
            <v>5</v>
          </cell>
          <cell r="K802">
            <v>11</v>
          </cell>
          <cell r="L802">
            <v>132.59</v>
          </cell>
          <cell r="M802">
            <v>29</v>
          </cell>
          <cell r="N802">
            <v>45</v>
          </cell>
          <cell r="O802">
            <v>1.2</v>
          </cell>
          <cell r="P802">
            <v>37</v>
          </cell>
          <cell r="S802">
            <v>57</v>
          </cell>
          <cell r="T802">
            <v>21.2</v>
          </cell>
          <cell r="U802">
            <v>2</v>
          </cell>
        </row>
        <row r="803">
          <cell r="B803" t="str">
            <v>Male</v>
          </cell>
          <cell r="F803">
            <v>20</v>
          </cell>
          <cell r="G803">
            <v>33.4</v>
          </cell>
          <cell r="H803">
            <v>10.6</v>
          </cell>
          <cell r="I803">
            <v>52.6</v>
          </cell>
          <cell r="J803">
            <v>4</v>
          </cell>
          <cell r="K803" t="str">
            <v>15.600000000000001</v>
          </cell>
          <cell r="L803">
            <v>56.38</v>
          </cell>
          <cell r="M803">
            <v>18</v>
          </cell>
          <cell r="N803">
            <v>17.52</v>
          </cell>
          <cell r="O803">
            <v>4.3</v>
          </cell>
          <cell r="P803">
            <v>20.399999999999999</v>
          </cell>
          <cell r="S803">
            <v>52.5</v>
          </cell>
          <cell r="T803">
            <v>27.1</v>
          </cell>
          <cell r="U803">
            <v>2</v>
          </cell>
        </row>
        <row r="804">
          <cell r="B804" t="str">
            <v>Female</v>
          </cell>
          <cell r="F804">
            <v>12</v>
          </cell>
          <cell r="G804">
            <v>27.1</v>
          </cell>
          <cell r="H804">
            <v>7.4</v>
          </cell>
          <cell r="I804">
            <v>66.5</v>
          </cell>
          <cell r="J804">
            <v>3</v>
          </cell>
          <cell r="K804">
            <v>9</v>
          </cell>
          <cell r="L804">
            <v>93.08</v>
          </cell>
          <cell r="M804">
            <v>88</v>
          </cell>
          <cell r="N804">
            <v>10.199999999999999</v>
          </cell>
          <cell r="O804">
            <v>9.6999999999999993</v>
          </cell>
          <cell r="P804">
            <v>18.899999999999999</v>
          </cell>
          <cell r="S804">
            <v>13.9</v>
          </cell>
          <cell r="T804">
            <v>17.8</v>
          </cell>
          <cell r="U804">
            <v>2</v>
          </cell>
        </row>
        <row r="805">
          <cell r="B805" t="str">
            <v>Female</v>
          </cell>
          <cell r="F805">
            <v>15</v>
          </cell>
          <cell r="G805">
            <v>23.2</v>
          </cell>
          <cell r="H805">
            <v>10</v>
          </cell>
          <cell r="I805">
            <v>42.7</v>
          </cell>
          <cell r="J805">
            <v>9</v>
          </cell>
          <cell r="K805">
            <v>21</v>
          </cell>
          <cell r="L805">
            <v>82.66</v>
          </cell>
          <cell r="M805">
            <v>3</v>
          </cell>
          <cell r="N805">
            <v>26.4</v>
          </cell>
          <cell r="O805">
            <v>3.2</v>
          </cell>
          <cell r="P805">
            <v>34.799999999999997</v>
          </cell>
          <cell r="S805">
            <v>39.700000000000003</v>
          </cell>
          <cell r="T805">
            <v>25.5</v>
          </cell>
          <cell r="U805">
            <v>2</v>
          </cell>
        </row>
        <row r="806">
          <cell r="B806" t="str">
            <v>Male</v>
          </cell>
          <cell r="F806">
            <v>0</v>
          </cell>
          <cell r="G806">
            <v>11</v>
          </cell>
          <cell r="H806">
            <v>6.8</v>
          </cell>
          <cell r="I806">
            <v>58.9</v>
          </cell>
          <cell r="K806">
            <v>10</v>
          </cell>
          <cell r="L806">
            <v>175.07</v>
          </cell>
          <cell r="M806">
            <v>8</v>
          </cell>
          <cell r="N806">
            <v>41.8</v>
          </cell>
          <cell r="S806">
            <v>0</v>
          </cell>
          <cell r="T806">
            <v>11.6</v>
          </cell>
          <cell r="U806">
            <v>2</v>
          </cell>
        </row>
        <row r="807">
          <cell r="B807" t="str">
            <v>Male</v>
          </cell>
          <cell r="F807">
            <v>18</v>
          </cell>
          <cell r="G807">
            <v>30.5</v>
          </cell>
          <cell r="H807">
            <v>10.1</v>
          </cell>
          <cell r="I807">
            <v>49.8</v>
          </cell>
          <cell r="J807">
            <v>7</v>
          </cell>
          <cell r="K807">
            <v>18</v>
          </cell>
          <cell r="L807">
            <v>100.68</v>
          </cell>
          <cell r="M807">
            <v>2</v>
          </cell>
          <cell r="N807">
            <v>12.1</v>
          </cell>
          <cell r="O807">
            <v>0.8</v>
          </cell>
          <cell r="P807">
            <v>41.6</v>
          </cell>
          <cell r="S807">
            <v>73.5</v>
          </cell>
          <cell r="T807">
            <v>26.7</v>
          </cell>
          <cell r="U807">
            <v>4</v>
          </cell>
        </row>
        <row r="808">
          <cell r="B808" t="str">
            <v>Female</v>
          </cell>
          <cell r="F808">
            <v>17</v>
          </cell>
          <cell r="G808">
            <v>42.3</v>
          </cell>
          <cell r="H808">
            <v>17.100000000000001</v>
          </cell>
          <cell r="I808">
            <v>27.1</v>
          </cell>
          <cell r="J808">
            <v>8</v>
          </cell>
          <cell r="K808">
            <v>23</v>
          </cell>
          <cell r="L808">
            <v>216.91</v>
          </cell>
          <cell r="M808">
            <v>35</v>
          </cell>
          <cell r="N808">
            <v>30.8</v>
          </cell>
          <cell r="O808">
            <v>2.8</v>
          </cell>
          <cell r="P808">
            <v>42.2</v>
          </cell>
          <cell r="S808">
            <v>44.8</v>
          </cell>
          <cell r="T808">
            <v>33.9</v>
          </cell>
          <cell r="U808">
            <v>2</v>
          </cell>
        </row>
        <row r="809">
          <cell r="B809" t="str">
            <v>Male</v>
          </cell>
          <cell r="F809">
            <v>12</v>
          </cell>
          <cell r="G809">
            <v>25.9</v>
          </cell>
          <cell r="I809">
            <v>59.5</v>
          </cell>
          <cell r="J809">
            <v>1</v>
          </cell>
          <cell r="K809">
            <v>14.3</v>
          </cell>
          <cell r="L809">
            <v>133.71</v>
          </cell>
          <cell r="M809">
            <v>3</v>
          </cell>
          <cell r="N809">
            <v>49.68</v>
          </cell>
          <cell r="O809">
            <v>3.5</v>
          </cell>
          <cell r="P809">
            <v>15</v>
          </cell>
          <cell r="S809">
            <v>19.5</v>
          </cell>
          <cell r="U809">
            <v>4</v>
          </cell>
        </row>
        <row r="810">
          <cell r="B810" t="str">
            <v>Female</v>
          </cell>
          <cell r="F810">
            <v>12</v>
          </cell>
          <cell r="G810">
            <v>18.100000000000001</v>
          </cell>
          <cell r="H810">
            <v>7.1</v>
          </cell>
          <cell r="I810">
            <v>57.5</v>
          </cell>
          <cell r="J810">
            <v>4</v>
          </cell>
          <cell r="K810">
            <v>9</v>
          </cell>
          <cell r="L810">
            <v>101.93</v>
          </cell>
          <cell r="M810">
            <v>25</v>
          </cell>
          <cell r="N810">
            <v>45.3</v>
          </cell>
          <cell r="O810">
            <v>7.3</v>
          </cell>
          <cell r="P810">
            <v>18.3</v>
          </cell>
          <cell r="S810">
            <v>11.3</v>
          </cell>
          <cell r="U810">
            <v>1</v>
          </cell>
        </row>
        <row r="811">
          <cell r="B811" t="str">
            <v>Female</v>
          </cell>
          <cell r="F811">
            <v>19</v>
          </cell>
          <cell r="H811">
            <v>11.3</v>
          </cell>
          <cell r="I811">
            <v>65.3</v>
          </cell>
          <cell r="J811">
            <v>8</v>
          </cell>
          <cell r="K811">
            <v>13</v>
          </cell>
          <cell r="L811">
            <v>76.84</v>
          </cell>
          <cell r="M811">
            <v>10</v>
          </cell>
          <cell r="N811">
            <v>19.2</v>
          </cell>
          <cell r="O811">
            <v>3.6</v>
          </cell>
          <cell r="P811">
            <v>40</v>
          </cell>
          <cell r="S811">
            <v>15</v>
          </cell>
          <cell r="T811">
            <v>25.4</v>
          </cell>
          <cell r="U811">
            <v>2</v>
          </cell>
        </row>
        <row r="812">
          <cell r="B812" t="str">
            <v>Female</v>
          </cell>
          <cell r="F812">
            <v>0</v>
          </cell>
          <cell r="G812">
            <v>19.3</v>
          </cell>
          <cell r="H812">
            <v>6.8</v>
          </cell>
          <cell r="I812">
            <v>82.9</v>
          </cell>
          <cell r="J812">
            <v>0</v>
          </cell>
          <cell r="K812">
            <v>6.5</v>
          </cell>
          <cell r="L812">
            <v>139.78</v>
          </cell>
          <cell r="M812">
            <v>48</v>
          </cell>
          <cell r="N812">
            <v>68.52</v>
          </cell>
          <cell r="O812">
            <v>5.6</v>
          </cell>
          <cell r="S812">
            <v>20.3</v>
          </cell>
          <cell r="T812">
            <v>0</v>
          </cell>
          <cell r="U812">
            <v>2</v>
          </cell>
        </row>
        <row r="813">
          <cell r="B813" t="str">
            <v>Female</v>
          </cell>
          <cell r="F813">
            <v>12</v>
          </cell>
          <cell r="G813">
            <v>26.7</v>
          </cell>
          <cell r="H813">
            <v>10.4</v>
          </cell>
          <cell r="I813">
            <v>44.4</v>
          </cell>
          <cell r="J813">
            <v>9</v>
          </cell>
          <cell r="K813">
            <v>16</v>
          </cell>
          <cell r="L813">
            <v>96.07</v>
          </cell>
          <cell r="M813">
            <v>23</v>
          </cell>
          <cell r="N813">
            <v>41.2</v>
          </cell>
          <cell r="O813">
            <v>2.9</v>
          </cell>
          <cell r="P813">
            <v>13.1</v>
          </cell>
          <cell r="S813">
            <v>69.599999999999994</v>
          </cell>
          <cell r="T813">
            <v>29.2</v>
          </cell>
          <cell r="U813">
            <v>1</v>
          </cell>
        </row>
        <row r="814">
          <cell r="B814" t="str">
            <v>Male</v>
          </cell>
          <cell r="F814">
            <v>10</v>
          </cell>
          <cell r="G814">
            <v>24.8</v>
          </cell>
          <cell r="H814">
            <v>6.1</v>
          </cell>
          <cell r="I814">
            <v>63.5</v>
          </cell>
          <cell r="J814">
            <v>3</v>
          </cell>
          <cell r="K814">
            <v>13</v>
          </cell>
          <cell r="L814">
            <v>131.35</v>
          </cell>
          <cell r="M814">
            <v>8</v>
          </cell>
          <cell r="P814">
            <v>3.7</v>
          </cell>
          <cell r="S814">
            <v>28.5</v>
          </cell>
          <cell r="T814">
            <v>18.8</v>
          </cell>
          <cell r="U814">
            <v>3</v>
          </cell>
        </row>
        <row r="815">
          <cell r="B815" t="str">
            <v>Female</v>
          </cell>
          <cell r="F815">
            <v>11</v>
          </cell>
          <cell r="G815">
            <v>36.6</v>
          </cell>
          <cell r="H815">
            <v>12.6</v>
          </cell>
          <cell r="I815">
            <v>64.2</v>
          </cell>
          <cell r="J815">
            <v>4</v>
          </cell>
          <cell r="K815">
            <v>16</v>
          </cell>
          <cell r="L815">
            <v>98.82</v>
          </cell>
          <cell r="M815">
            <v>45</v>
          </cell>
          <cell r="N815">
            <v>62.8</v>
          </cell>
          <cell r="O815">
            <v>1.9</v>
          </cell>
          <cell r="P815">
            <v>39.6</v>
          </cell>
          <cell r="T815">
            <v>37.6</v>
          </cell>
          <cell r="U815">
            <v>2</v>
          </cell>
        </row>
        <row r="816">
          <cell r="B816" t="str">
            <v>Male</v>
          </cell>
          <cell r="F816">
            <v>6</v>
          </cell>
          <cell r="G816">
            <v>18.2</v>
          </cell>
          <cell r="H816">
            <v>6</v>
          </cell>
          <cell r="I816">
            <v>63.7</v>
          </cell>
          <cell r="J816">
            <v>1</v>
          </cell>
          <cell r="K816">
            <v>11</v>
          </cell>
          <cell r="L816">
            <v>65.39</v>
          </cell>
          <cell r="M816">
            <v>5</v>
          </cell>
          <cell r="N816">
            <v>56</v>
          </cell>
          <cell r="O816">
            <v>3.8</v>
          </cell>
          <cell r="P816">
            <v>3.4</v>
          </cell>
          <cell r="S816">
            <v>7.1</v>
          </cell>
          <cell r="T816">
            <v>19.7</v>
          </cell>
          <cell r="U816">
            <v>1</v>
          </cell>
        </row>
        <row r="817">
          <cell r="B817" t="str">
            <v>Male</v>
          </cell>
          <cell r="F817">
            <v>6</v>
          </cell>
          <cell r="G817">
            <v>20.5</v>
          </cell>
          <cell r="I817">
            <v>42.6</v>
          </cell>
          <cell r="J817">
            <v>4</v>
          </cell>
          <cell r="K817">
            <v>15</v>
          </cell>
          <cell r="L817">
            <v>183.97</v>
          </cell>
          <cell r="M817">
            <v>21</v>
          </cell>
          <cell r="N817">
            <v>43.2</v>
          </cell>
          <cell r="O817">
            <v>4.4000000000000004</v>
          </cell>
          <cell r="P817">
            <v>31</v>
          </cell>
          <cell r="S817">
            <v>27.8</v>
          </cell>
          <cell r="U817">
            <v>2</v>
          </cell>
        </row>
        <row r="818">
          <cell r="B818" t="str">
            <v>Male</v>
          </cell>
          <cell r="F818">
            <v>11</v>
          </cell>
          <cell r="G818">
            <v>23.6</v>
          </cell>
          <cell r="H818">
            <v>11.7</v>
          </cell>
          <cell r="I818">
            <v>57.8</v>
          </cell>
          <cell r="J818">
            <v>2</v>
          </cell>
          <cell r="K818">
            <v>9</v>
          </cell>
          <cell r="L818">
            <v>108.57</v>
          </cell>
          <cell r="M818">
            <v>7</v>
          </cell>
          <cell r="N818">
            <v>23.4</v>
          </cell>
          <cell r="O818">
            <v>4.5</v>
          </cell>
          <cell r="P818">
            <v>23.7</v>
          </cell>
          <cell r="S818">
            <v>14.1</v>
          </cell>
          <cell r="T818">
            <v>21.8</v>
          </cell>
          <cell r="U818">
            <v>1</v>
          </cell>
        </row>
        <row r="819">
          <cell r="B819" t="str">
            <v>Male</v>
          </cell>
          <cell r="F819">
            <v>26</v>
          </cell>
          <cell r="G819">
            <v>47.3</v>
          </cell>
          <cell r="H819">
            <v>16.5</v>
          </cell>
          <cell r="I819">
            <v>25.7</v>
          </cell>
          <cell r="J819">
            <v>10</v>
          </cell>
          <cell r="K819" t="str">
            <v>31.200000000000003</v>
          </cell>
          <cell r="L819">
            <v>70.97</v>
          </cell>
          <cell r="M819">
            <v>4</v>
          </cell>
          <cell r="O819">
            <v>2.1</v>
          </cell>
          <cell r="P819">
            <v>34.6</v>
          </cell>
          <cell r="S819">
            <v>64.5</v>
          </cell>
          <cell r="T819">
            <v>30.2</v>
          </cell>
          <cell r="U819">
            <v>4</v>
          </cell>
        </row>
        <row r="820">
          <cell r="B820" t="str">
            <v>Male</v>
          </cell>
          <cell r="F820">
            <v>12</v>
          </cell>
          <cell r="G820">
            <v>28.7</v>
          </cell>
          <cell r="H820">
            <v>11</v>
          </cell>
          <cell r="I820">
            <v>56.8</v>
          </cell>
          <cell r="J820">
            <v>5</v>
          </cell>
          <cell r="K820">
            <v>13</v>
          </cell>
          <cell r="L820">
            <v>138.72999999999999</v>
          </cell>
          <cell r="M820">
            <v>66</v>
          </cell>
          <cell r="N820">
            <v>67.099999999999994</v>
          </cell>
          <cell r="O820">
            <v>3.7</v>
          </cell>
          <cell r="P820">
            <v>21.1</v>
          </cell>
          <cell r="S820">
            <v>46.9</v>
          </cell>
          <cell r="T820">
            <v>27.4</v>
          </cell>
          <cell r="U820">
            <v>2</v>
          </cell>
        </row>
        <row r="821">
          <cell r="B821" t="str">
            <v>Female</v>
          </cell>
          <cell r="F821">
            <v>9</v>
          </cell>
          <cell r="G821">
            <v>36.700000000000003</v>
          </cell>
          <cell r="H821">
            <v>11.2</v>
          </cell>
          <cell r="I821">
            <v>52.5</v>
          </cell>
          <cell r="J821">
            <v>9</v>
          </cell>
          <cell r="K821">
            <v>15</v>
          </cell>
          <cell r="L821">
            <v>77.430000000000007</v>
          </cell>
          <cell r="M821">
            <v>4</v>
          </cell>
          <cell r="N821">
            <v>78.2</v>
          </cell>
          <cell r="O821">
            <v>10.1</v>
          </cell>
          <cell r="P821">
            <v>25.1</v>
          </cell>
          <cell r="T821">
            <v>33.9</v>
          </cell>
          <cell r="U821">
            <v>2</v>
          </cell>
        </row>
        <row r="822">
          <cell r="B822" t="str">
            <v>Male</v>
          </cell>
          <cell r="F822">
            <v>8</v>
          </cell>
          <cell r="G822">
            <v>27</v>
          </cell>
          <cell r="H822">
            <v>10.8</v>
          </cell>
          <cell r="I822">
            <v>49.6</v>
          </cell>
          <cell r="J822">
            <v>3</v>
          </cell>
          <cell r="K822">
            <v>10</v>
          </cell>
          <cell r="L822">
            <v>164.2</v>
          </cell>
          <cell r="M822">
            <v>8</v>
          </cell>
          <cell r="N822">
            <v>69.099999999999994</v>
          </cell>
          <cell r="O822">
            <v>3.9</v>
          </cell>
          <cell r="P822">
            <v>13.7</v>
          </cell>
          <cell r="S822">
            <v>12.5</v>
          </cell>
          <cell r="T822">
            <v>21.1</v>
          </cell>
          <cell r="U822">
            <v>2</v>
          </cell>
        </row>
        <row r="823">
          <cell r="B823" t="str">
            <v>Female</v>
          </cell>
          <cell r="F823">
            <v>0</v>
          </cell>
          <cell r="G823">
            <v>33.1</v>
          </cell>
          <cell r="H823">
            <v>5.6</v>
          </cell>
          <cell r="I823">
            <v>71.400000000000006</v>
          </cell>
          <cell r="J823">
            <v>8</v>
          </cell>
          <cell r="K823">
            <v>14</v>
          </cell>
          <cell r="L823">
            <v>116.28</v>
          </cell>
          <cell r="M823">
            <v>3</v>
          </cell>
          <cell r="N823">
            <v>15.3</v>
          </cell>
          <cell r="O823">
            <v>9.3000000000000007</v>
          </cell>
          <cell r="P823">
            <v>21.4</v>
          </cell>
          <cell r="S823">
            <v>25.4</v>
          </cell>
          <cell r="T823">
            <v>24.5</v>
          </cell>
          <cell r="U823">
            <v>2</v>
          </cell>
        </row>
        <row r="824">
          <cell r="B824" t="str">
            <v>Female</v>
          </cell>
          <cell r="F824">
            <v>14</v>
          </cell>
          <cell r="G824">
            <v>22.2</v>
          </cell>
          <cell r="I824">
            <v>75.900000000000006</v>
          </cell>
          <cell r="J824">
            <v>3</v>
          </cell>
          <cell r="K824">
            <v>10</v>
          </cell>
          <cell r="L824">
            <v>185.78</v>
          </cell>
          <cell r="N824">
            <v>95.1</v>
          </cell>
          <cell r="O824">
            <v>0.2</v>
          </cell>
          <cell r="P824">
            <v>19.600000000000001</v>
          </cell>
          <cell r="S824">
            <v>21.1</v>
          </cell>
          <cell r="T824">
            <v>13.7</v>
          </cell>
          <cell r="U824">
            <v>1</v>
          </cell>
        </row>
        <row r="825">
          <cell r="B825" t="str">
            <v>Female</v>
          </cell>
          <cell r="F825">
            <v>11</v>
          </cell>
          <cell r="G825">
            <v>29.1</v>
          </cell>
          <cell r="H825">
            <v>4.4000000000000004</v>
          </cell>
          <cell r="I825">
            <v>84.9</v>
          </cell>
          <cell r="J825">
            <v>4</v>
          </cell>
          <cell r="K825">
            <v>10</v>
          </cell>
          <cell r="L825">
            <v>158.28</v>
          </cell>
          <cell r="N825">
            <v>18.3</v>
          </cell>
          <cell r="O825">
            <v>3.9</v>
          </cell>
          <cell r="P825">
            <v>23.2</v>
          </cell>
          <cell r="S825">
            <v>21.9</v>
          </cell>
          <cell r="T825">
            <v>17.3</v>
          </cell>
          <cell r="U825">
            <v>5</v>
          </cell>
        </row>
        <row r="826">
          <cell r="B826" t="str">
            <v>Male</v>
          </cell>
          <cell r="F826">
            <v>29</v>
          </cell>
          <cell r="G826">
            <v>28.8</v>
          </cell>
          <cell r="H826">
            <v>13</v>
          </cell>
          <cell r="I826">
            <v>60.5</v>
          </cell>
          <cell r="J826">
            <v>4</v>
          </cell>
          <cell r="K826" t="str">
            <v>23.400000000000002</v>
          </cell>
          <cell r="L826">
            <v>165.75</v>
          </cell>
          <cell r="N826" t="str">
            <v>76.91999999999999</v>
          </cell>
          <cell r="O826">
            <v>2.2000000000000002</v>
          </cell>
          <cell r="P826">
            <v>28</v>
          </cell>
          <cell r="S826">
            <v>38</v>
          </cell>
          <cell r="T826">
            <v>25.6</v>
          </cell>
          <cell r="U826">
            <v>3</v>
          </cell>
        </row>
        <row r="827">
          <cell r="B827" t="str">
            <v>Male</v>
          </cell>
          <cell r="F827">
            <v>10</v>
          </cell>
          <cell r="G827">
            <v>6.9</v>
          </cell>
          <cell r="I827">
            <v>84.5</v>
          </cell>
          <cell r="J827">
            <v>2</v>
          </cell>
          <cell r="K827">
            <v>13</v>
          </cell>
          <cell r="L827">
            <v>167.07</v>
          </cell>
          <cell r="M827">
            <v>13</v>
          </cell>
          <cell r="N827">
            <v>78.599999999999994</v>
          </cell>
          <cell r="O827">
            <v>5.0999999999999996</v>
          </cell>
          <cell r="P827">
            <v>11.4</v>
          </cell>
          <cell r="S827">
            <v>13.4</v>
          </cell>
          <cell r="T827">
            <v>12.4</v>
          </cell>
          <cell r="U827">
            <v>5</v>
          </cell>
        </row>
        <row r="828">
          <cell r="B828" t="str">
            <v>Female</v>
          </cell>
          <cell r="F828">
            <v>24</v>
          </cell>
          <cell r="G828">
            <v>55.6</v>
          </cell>
          <cell r="H828">
            <v>17.2</v>
          </cell>
          <cell r="I828">
            <v>25.7</v>
          </cell>
          <cell r="J828">
            <v>14</v>
          </cell>
          <cell r="K828">
            <v>25</v>
          </cell>
          <cell r="L828">
            <v>162.13</v>
          </cell>
          <cell r="M828">
            <v>13</v>
          </cell>
          <cell r="N828">
            <v>11.1</v>
          </cell>
          <cell r="O828">
            <v>3.9</v>
          </cell>
          <cell r="P828">
            <v>57.9</v>
          </cell>
          <cell r="S828">
            <v>40.799999999999997</v>
          </cell>
          <cell r="U828">
            <v>1</v>
          </cell>
        </row>
        <row r="829">
          <cell r="B829" t="str">
            <v>Female</v>
          </cell>
          <cell r="F829">
            <v>6</v>
          </cell>
          <cell r="G829">
            <v>20.5</v>
          </cell>
          <cell r="H829">
            <v>9.3000000000000007</v>
          </cell>
          <cell r="I829">
            <v>79.900000000000006</v>
          </cell>
          <cell r="J829">
            <v>2</v>
          </cell>
          <cell r="K829">
            <v>6.5</v>
          </cell>
          <cell r="L829">
            <v>126.99</v>
          </cell>
          <cell r="M829">
            <v>34</v>
          </cell>
          <cell r="N829">
            <v>72.599999999999994</v>
          </cell>
          <cell r="O829">
            <v>1.5</v>
          </cell>
          <cell r="S829">
            <v>0</v>
          </cell>
          <cell r="T829">
            <v>9.6</v>
          </cell>
          <cell r="U829">
            <v>1</v>
          </cell>
        </row>
        <row r="830">
          <cell r="B830" t="str">
            <v>Male</v>
          </cell>
          <cell r="F830">
            <v>0</v>
          </cell>
          <cell r="H830">
            <v>2.1</v>
          </cell>
          <cell r="I830">
            <v>88.6</v>
          </cell>
          <cell r="J830">
            <v>0</v>
          </cell>
          <cell r="K830">
            <v>3</v>
          </cell>
          <cell r="L830">
            <v>165.22</v>
          </cell>
          <cell r="M830">
            <v>32</v>
          </cell>
          <cell r="N830">
            <v>63</v>
          </cell>
          <cell r="P830">
            <v>0</v>
          </cell>
          <cell r="S830">
            <v>19.100000000000001</v>
          </cell>
          <cell r="T830">
            <v>0</v>
          </cell>
          <cell r="U830">
            <v>1</v>
          </cell>
        </row>
        <row r="831">
          <cell r="B831" t="str">
            <v>Female</v>
          </cell>
          <cell r="F831">
            <v>0</v>
          </cell>
          <cell r="G831">
            <v>13.6</v>
          </cell>
          <cell r="H831">
            <v>7.4</v>
          </cell>
          <cell r="I831">
            <v>68.8</v>
          </cell>
          <cell r="K831">
            <v>4</v>
          </cell>
          <cell r="L831">
            <v>81.790000000000006</v>
          </cell>
          <cell r="M831">
            <v>24</v>
          </cell>
          <cell r="N831">
            <v>65.2</v>
          </cell>
          <cell r="O831">
            <v>20.2</v>
          </cell>
          <cell r="P831">
            <v>0</v>
          </cell>
          <cell r="S831">
            <v>13</v>
          </cell>
          <cell r="T831">
            <v>9.1999999999999993</v>
          </cell>
          <cell r="U831">
            <v>5</v>
          </cell>
        </row>
        <row r="832">
          <cell r="B832" t="str">
            <v>Female</v>
          </cell>
          <cell r="F832">
            <v>4</v>
          </cell>
          <cell r="G832">
            <v>27</v>
          </cell>
          <cell r="H832">
            <v>7.2</v>
          </cell>
          <cell r="I832">
            <v>61.4</v>
          </cell>
          <cell r="J832">
            <v>3</v>
          </cell>
          <cell r="K832" t="str">
            <v>15.600000000000001</v>
          </cell>
          <cell r="L832">
            <v>63.06</v>
          </cell>
          <cell r="O832">
            <v>2.4</v>
          </cell>
          <cell r="P832">
            <v>25.1</v>
          </cell>
          <cell r="S832">
            <v>63.6</v>
          </cell>
          <cell r="T832">
            <v>16.7</v>
          </cell>
          <cell r="U832">
            <v>1</v>
          </cell>
        </row>
        <row r="833">
          <cell r="B833" t="str">
            <v>Male</v>
          </cell>
          <cell r="F833">
            <v>14</v>
          </cell>
          <cell r="G833">
            <v>19.8</v>
          </cell>
          <cell r="H833">
            <v>10</v>
          </cell>
          <cell r="I833">
            <v>55.6</v>
          </cell>
          <cell r="J833">
            <v>4</v>
          </cell>
          <cell r="K833">
            <v>15</v>
          </cell>
          <cell r="L833">
            <v>76.08</v>
          </cell>
          <cell r="M833">
            <v>125</v>
          </cell>
          <cell r="N833">
            <v>51.4</v>
          </cell>
          <cell r="O833">
            <v>2.2999999999999998</v>
          </cell>
          <cell r="P833">
            <v>23</v>
          </cell>
          <cell r="S833">
            <v>35.9</v>
          </cell>
          <cell r="T833">
            <v>21.9</v>
          </cell>
          <cell r="U833">
            <v>2</v>
          </cell>
        </row>
        <row r="834">
          <cell r="B834" t="str">
            <v>Female</v>
          </cell>
          <cell r="F834">
            <v>10</v>
          </cell>
          <cell r="G834">
            <v>26.2</v>
          </cell>
          <cell r="H834">
            <v>4.8</v>
          </cell>
          <cell r="I834">
            <v>58.6</v>
          </cell>
          <cell r="J834">
            <v>3</v>
          </cell>
          <cell r="K834">
            <v>8</v>
          </cell>
          <cell r="L834">
            <v>163.28</v>
          </cell>
          <cell r="M834">
            <v>28</v>
          </cell>
          <cell r="O834">
            <v>10.8</v>
          </cell>
          <cell r="P834">
            <v>18.5</v>
          </cell>
          <cell r="T834">
            <v>20.399999999999999</v>
          </cell>
          <cell r="U834">
            <v>2</v>
          </cell>
        </row>
        <row r="835">
          <cell r="B835" t="str">
            <v>Male</v>
          </cell>
          <cell r="F835">
            <v>18</v>
          </cell>
          <cell r="G835">
            <v>51.3</v>
          </cell>
          <cell r="H835">
            <v>16.5</v>
          </cell>
          <cell r="I835">
            <v>24.7</v>
          </cell>
          <cell r="J835">
            <v>9</v>
          </cell>
          <cell r="K835">
            <v>27.3</v>
          </cell>
          <cell r="L835">
            <v>118.85</v>
          </cell>
          <cell r="M835">
            <v>76</v>
          </cell>
          <cell r="N835">
            <v>34.92</v>
          </cell>
          <cell r="O835">
            <v>2.2000000000000002</v>
          </cell>
          <cell r="P835">
            <v>34.799999999999997</v>
          </cell>
          <cell r="S835">
            <v>64.099999999999994</v>
          </cell>
          <cell r="T835">
            <v>33.4</v>
          </cell>
          <cell r="U835">
            <v>1</v>
          </cell>
        </row>
        <row r="836">
          <cell r="B836" t="str">
            <v>Female</v>
          </cell>
          <cell r="F836">
            <v>15</v>
          </cell>
          <cell r="G836">
            <v>41.5</v>
          </cell>
          <cell r="H836">
            <v>16.3</v>
          </cell>
          <cell r="I836">
            <v>38.1</v>
          </cell>
          <cell r="J836">
            <v>7</v>
          </cell>
          <cell r="K836">
            <v>16</v>
          </cell>
          <cell r="L836">
            <v>145.44999999999999</v>
          </cell>
          <cell r="M836">
            <v>33</v>
          </cell>
          <cell r="N836">
            <v>36.5</v>
          </cell>
          <cell r="O836">
            <v>20</v>
          </cell>
          <cell r="P836">
            <v>25.9</v>
          </cell>
          <cell r="S836">
            <v>34</v>
          </cell>
          <cell r="U836">
            <v>2</v>
          </cell>
        </row>
        <row r="837">
          <cell r="B837" t="str">
            <v>Male</v>
          </cell>
          <cell r="F837">
            <v>41</v>
          </cell>
          <cell r="G837">
            <v>52.6</v>
          </cell>
          <cell r="H837">
            <v>19.8</v>
          </cell>
          <cell r="I837">
            <v>32.5</v>
          </cell>
          <cell r="K837">
            <v>20</v>
          </cell>
          <cell r="L837">
            <v>122.94</v>
          </cell>
          <cell r="M837">
            <v>1</v>
          </cell>
          <cell r="O837">
            <v>1.3</v>
          </cell>
          <cell r="P837">
            <v>54.7</v>
          </cell>
          <cell r="S837">
            <v>69.2</v>
          </cell>
          <cell r="T837">
            <v>42.2</v>
          </cell>
          <cell r="U837">
            <v>2</v>
          </cell>
        </row>
        <row r="838">
          <cell r="B838" t="str">
            <v>Female</v>
          </cell>
          <cell r="F838">
            <v>16</v>
          </cell>
          <cell r="G838">
            <v>26.6</v>
          </cell>
          <cell r="I838">
            <v>43.2</v>
          </cell>
          <cell r="J838">
            <v>9</v>
          </cell>
          <cell r="K838" t="str">
            <v>11.700000000000001</v>
          </cell>
          <cell r="L838">
            <v>121.39</v>
          </cell>
          <cell r="M838">
            <v>32</v>
          </cell>
          <cell r="N838">
            <v>58.8</v>
          </cell>
          <cell r="O838">
            <v>1.9</v>
          </cell>
          <cell r="P838">
            <v>35.200000000000003</v>
          </cell>
          <cell r="S838">
            <v>42.8</v>
          </cell>
          <cell r="U838">
            <v>2</v>
          </cell>
        </row>
        <row r="839">
          <cell r="B839" t="str">
            <v>Female</v>
          </cell>
          <cell r="F839">
            <v>15</v>
          </cell>
          <cell r="G839">
            <v>34.200000000000003</v>
          </cell>
          <cell r="H839">
            <v>11.9</v>
          </cell>
          <cell r="I839">
            <v>44</v>
          </cell>
          <cell r="J839">
            <v>4</v>
          </cell>
          <cell r="K839">
            <v>22.1</v>
          </cell>
          <cell r="L839">
            <v>99.63</v>
          </cell>
          <cell r="M839">
            <v>71</v>
          </cell>
          <cell r="O839">
            <v>14.1</v>
          </cell>
          <cell r="P839">
            <v>27.9</v>
          </cell>
          <cell r="S839">
            <v>40.5</v>
          </cell>
          <cell r="T839">
            <v>18.2</v>
          </cell>
          <cell r="U839">
            <v>3</v>
          </cell>
        </row>
        <row r="840">
          <cell r="B840" t="str">
            <v>Female</v>
          </cell>
          <cell r="F840">
            <v>19</v>
          </cell>
          <cell r="G840">
            <v>41.1</v>
          </cell>
          <cell r="H840">
            <v>11.4</v>
          </cell>
          <cell r="I840">
            <v>40.6</v>
          </cell>
          <cell r="J840">
            <v>8</v>
          </cell>
          <cell r="K840">
            <v>18</v>
          </cell>
          <cell r="L840">
            <v>110.52</v>
          </cell>
          <cell r="M840">
            <v>1</v>
          </cell>
          <cell r="N840">
            <v>25.2</v>
          </cell>
          <cell r="O840">
            <v>2.9</v>
          </cell>
          <cell r="P840">
            <v>39.9</v>
          </cell>
          <cell r="T840">
            <v>33.4</v>
          </cell>
          <cell r="U840">
            <v>1</v>
          </cell>
        </row>
        <row r="841">
          <cell r="B841" t="str">
            <v>Female</v>
          </cell>
          <cell r="F841">
            <v>2</v>
          </cell>
          <cell r="G841">
            <v>17</v>
          </cell>
          <cell r="H841">
            <v>6.9</v>
          </cell>
          <cell r="I841">
            <v>67.5</v>
          </cell>
          <cell r="J841">
            <v>3</v>
          </cell>
          <cell r="K841">
            <v>7</v>
          </cell>
          <cell r="L841">
            <v>78.260000000000005</v>
          </cell>
          <cell r="M841">
            <v>39</v>
          </cell>
          <cell r="O841">
            <v>11.8</v>
          </cell>
          <cell r="P841">
            <v>24.3</v>
          </cell>
          <cell r="S841">
            <v>0</v>
          </cell>
          <cell r="U841">
            <v>2</v>
          </cell>
        </row>
        <row r="842">
          <cell r="B842" t="str">
            <v>Female</v>
          </cell>
          <cell r="F842">
            <v>4</v>
          </cell>
          <cell r="G842">
            <v>12.7</v>
          </cell>
          <cell r="H842">
            <v>8.1999999999999993</v>
          </cell>
          <cell r="I842">
            <v>49</v>
          </cell>
          <cell r="J842">
            <v>0</v>
          </cell>
          <cell r="K842">
            <v>8</v>
          </cell>
          <cell r="L842">
            <v>82.76</v>
          </cell>
          <cell r="M842">
            <v>3</v>
          </cell>
          <cell r="N842">
            <v>12.4</v>
          </cell>
          <cell r="O842">
            <v>3.6</v>
          </cell>
          <cell r="P842">
            <v>16.399999999999999</v>
          </cell>
          <cell r="S842">
            <v>27.5</v>
          </cell>
          <cell r="U842">
            <v>2</v>
          </cell>
        </row>
        <row r="843">
          <cell r="B843" t="str">
            <v>Male</v>
          </cell>
          <cell r="F843">
            <v>12</v>
          </cell>
          <cell r="G843">
            <v>33.799999999999997</v>
          </cell>
          <cell r="H843">
            <v>5.8</v>
          </cell>
          <cell r="I843">
            <v>47.4</v>
          </cell>
          <cell r="J843">
            <v>6</v>
          </cell>
          <cell r="K843" t="str">
            <v>15.600000000000001</v>
          </cell>
          <cell r="L843">
            <v>111.92</v>
          </cell>
          <cell r="M843">
            <v>68</v>
          </cell>
          <cell r="N843">
            <v>44.64</v>
          </cell>
          <cell r="O843">
            <v>9.1</v>
          </cell>
          <cell r="P843">
            <v>31.1</v>
          </cell>
          <cell r="S843">
            <v>55.5</v>
          </cell>
          <cell r="T843">
            <v>19.7</v>
          </cell>
          <cell r="U843">
            <v>2</v>
          </cell>
        </row>
        <row r="844">
          <cell r="B844" t="str">
            <v>Male</v>
          </cell>
          <cell r="F844">
            <v>13</v>
          </cell>
          <cell r="G844">
            <v>49.8</v>
          </cell>
          <cell r="H844">
            <v>11.9</v>
          </cell>
          <cell r="I844">
            <v>33</v>
          </cell>
          <cell r="J844">
            <v>10</v>
          </cell>
          <cell r="K844">
            <v>24.7</v>
          </cell>
          <cell r="L844">
            <v>146.19</v>
          </cell>
          <cell r="M844">
            <v>67</v>
          </cell>
          <cell r="O844">
            <v>2</v>
          </cell>
          <cell r="P844">
            <v>25.4</v>
          </cell>
          <cell r="S844">
            <v>45.2</v>
          </cell>
          <cell r="T844">
            <v>36.6</v>
          </cell>
          <cell r="U844">
            <v>1</v>
          </cell>
        </row>
        <row r="845">
          <cell r="B845" t="str">
            <v>Male</v>
          </cell>
          <cell r="F845">
            <v>14</v>
          </cell>
          <cell r="G845">
            <v>31.8</v>
          </cell>
          <cell r="H845">
            <v>10.3</v>
          </cell>
          <cell r="I845">
            <v>53.4</v>
          </cell>
          <cell r="J845">
            <v>6</v>
          </cell>
          <cell r="K845">
            <v>14</v>
          </cell>
          <cell r="L845">
            <v>131.66999999999999</v>
          </cell>
          <cell r="M845">
            <v>42</v>
          </cell>
          <cell r="N845">
            <v>31.4</v>
          </cell>
          <cell r="O845">
            <v>6.6</v>
          </cell>
          <cell r="P845">
            <v>24.2</v>
          </cell>
          <cell r="T845">
            <v>19.7</v>
          </cell>
          <cell r="U845">
            <v>3</v>
          </cell>
        </row>
        <row r="846">
          <cell r="B846" t="str">
            <v>Female</v>
          </cell>
          <cell r="F846">
            <v>6</v>
          </cell>
          <cell r="G846">
            <v>15.6</v>
          </cell>
          <cell r="I846">
            <v>83.3</v>
          </cell>
          <cell r="J846">
            <v>0</v>
          </cell>
          <cell r="K846">
            <v>1</v>
          </cell>
          <cell r="L846">
            <v>75.87</v>
          </cell>
          <cell r="M846">
            <v>4</v>
          </cell>
          <cell r="N846">
            <v>43.6</v>
          </cell>
          <cell r="O846">
            <v>8.9</v>
          </cell>
          <cell r="P846">
            <v>3.3</v>
          </cell>
          <cell r="S846">
            <v>0</v>
          </cell>
          <cell r="T846">
            <v>4.5999999999999996</v>
          </cell>
          <cell r="U846">
            <v>2</v>
          </cell>
        </row>
        <row r="847">
          <cell r="B847" t="str">
            <v>Female</v>
          </cell>
          <cell r="F847">
            <v>1</v>
          </cell>
          <cell r="G847">
            <v>26.8</v>
          </cell>
          <cell r="H847">
            <v>7</v>
          </cell>
          <cell r="I847">
            <v>51.3</v>
          </cell>
          <cell r="J847">
            <v>5</v>
          </cell>
          <cell r="K847">
            <v>13</v>
          </cell>
          <cell r="L847">
            <v>77.260000000000005</v>
          </cell>
          <cell r="M847">
            <v>67</v>
          </cell>
          <cell r="N847" t="str">
            <v>69.47999999999999</v>
          </cell>
          <cell r="O847">
            <v>11.5</v>
          </cell>
          <cell r="P847">
            <v>7.8</v>
          </cell>
          <cell r="S847">
            <v>25</v>
          </cell>
          <cell r="T847">
            <v>20.7</v>
          </cell>
          <cell r="U847">
            <v>3</v>
          </cell>
        </row>
        <row r="848">
          <cell r="B848" t="str">
            <v>Male</v>
          </cell>
          <cell r="F848">
            <v>11</v>
          </cell>
          <cell r="G848">
            <v>37.799999999999997</v>
          </cell>
          <cell r="H848">
            <v>11.7</v>
          </cell>
          <cell r="I848">
            <v>61.7</v>
          </cell>
          <cell r="J848">
            <v>3</v>
          </cell>
          <cell r="K848">
            <v>24.7</v>
          </cell>
          <cell r="L848">
            <v>288.52999999999997</v>
          </cell>
          <cell r="M848">
            <v>13</v>
          </cell>
          <cell r="N848">
            <v>30.72</v>
          </cell>
          <cell r="O848">
            <v>6.3</v>
          </cell>
          <cell r="P848">
            <v>32</v>
          </cell>
          <cell r="S848">
            <v>33.5</v>
          </cell>
          <cell r="T848">
            <v>19.8</v>
          </cell>
          <cell r="U848">
            <v>2</v>
          </cell>
        </row>
        <row r="849">
          <cell r="B849" t="str">
            <v>Female</v>
          </cell>
          <cell r="F849">
            <v>7</v>
          </cell>
          <cell r="G849">
            <v>24.8</v>
          </cell>
          <cell r="H849">
            <v>6.7</v>
          </cell>
          <cell r="I849">
            <v>76.900000000000006</v>
          </cell>
          <cell r="K849">
            <v>10</v>
          </cell>
          <cell r="L849">
            <v>120.78</v>
          </cell>
          <cell r="M849">
            <v>28</v>
          </cell>
          <cell r="N849">
            <v>59.9</v>
          </cell>
          <cell r="O849">
            <v>10.1</v>
          </cell>
          <cell r="P849">
            <v>5.0999999999999996</v>
          </cell>
          <cell r="S849">
            <v>13.8</v>
          </cell>
          <cell r="T849">
            <v>13.2</v>
          </cell>
          <cell r="U849">
            <v>2</v>
          </cell>
        </row>
        <row r="850">
          <cell r="B850" t="str">
            <v>Female</v>
          </cell>
          <cell r="F850">
            <v>8</v>
          </cell>
          <cell r="G850">
            <v>16.399999999999999</v>
          </cell>
          <cell r="H850">
            <v>10.3</v>
          </cell>
          <cell r="I850">
            <v>70.5</v>
          </cell>
          <cell r="J850">
            <v>3</v>
          </cell>
          <cell r="K850">
            <v>10</v>
          </cell>
          <cell r="L850">
            <v>70.81</v>
          </cell>
          <cell r="M850">
            <v>30</v>
          </cell>
          <cell r="N850">
            <v>14.7</v>
          </cell>
          <cell r="O850">
            <v>7.1</v>
          </cell>
          <cell r="P850">
            <v>18</v>
          </cell>
          <cell r="S850">
            <v>6.6</v>
          </cell>
          <cell r="T850">
            <v>11.9</v>
          </cell>
          <cell r="U850">
            <v>5</v>
          </cell>
        </row>
        <row r="851">
          <cell r="B851" t="str">
            <v>Male</v>
          </cell>
          <cell r="F851">
            <v>5</v>
          </cell>
          <cell r="G851">
            <v>7.5</v>
          </cell>
          <cell r="H851">
            <v>3.7</v>
          </cell>
          <cell r="I851">
            <v>59.3</v>
          </cell>
          <cell r="J851">
            <v>0</v>
          </cell>
          <cell r="K851">
            <v>7</v>
          </cell>
          <cell r="L851">
            <v>145.59</v>
          </cell>
          <cell r="M851">
            <v>17</v>
          </cell>
          <cell r="N851">
            <v>20.6</v>
          </cell>
          <cell r="O851">
            <v>6.5</v>
          </cell>
          <cell r="P851">
            <v>0</v>
          </cell>
          <cell r="S851">
            <v>0</v>
          </cell>
          <cell r="T851">
            <v>12.3</v>
          </cell>
          <cell r="U851">
            <v>1</v>
          </cell>
        </row>
        <row r="852">
          <cell r="B852" t="str">
            <v>Female</v>
          </cell>
          <cell r="F852">
            <v>20</v>
          </cell>
          <cell r="G852">
            <v>29.7</v>
          </cell>
          <cell r="I852">
            <v>52.9</v>
          </cell>
          <cell r="J852">
            <v>5</v>
          </cell>
          <cell r="K852">
            <v>17</v>
          </cell>
          <cell r="L852">
            <v>167.58</v>
          </cell>
          <cell r="M852">
            <v>24</v>
          </cell>
          <cell r="N852">
            <v>29.5</v>
          </cell>
          <cell r="O852">
            <v>2.1</v>
          </cell>
          <cell r="P852">
            <v>28.9</v>
          </cell>
          <cell r="S852">
            <v>9.9</v>
          </cell>
          <cell r="T852">
            <v>20.9</v>
          </cell>
          <cell r="U852">
            <v>3</v>
          </cell>
        </row>
        <row r="853">
          <cell r="B853" t="str">
            <v>Female</v>
          </cell>
          <cell r="F853">
            <v>2</v>
          </cell>
          <cell r="G853">
            <v>8.6999999999999993</v>
          </cell>
          <cell r="H853">
            <v>4.9000000000000004</v>
          </cell>
          <cell r="I853">
            <v>75.400000000000006</v>
          </cell>
          <cell r="J853">
            <v>4</v>
          </cell>
          <cell r="K853">
            <v>13</v>
          </cell>
          <cell r="L853">
            <v>109.73</v>
          </cell>
          <cell r="M853">
            <v>10</v>
          </cell>
          <cell r="N853">
            <v>44.64</v>
          </cell>
          <cell r="O853">
            <v>1.8</v>
          </cell>
          <cell r="S853">
            <v>13.2</v>
          </cell>
          <cell r="T853">
            <v>17.100000000000001</v>
          </cell>
          <cell r="U853">
            <v>1</v>
          </cell>
        </row>
        <row r="854">
          <cell r="B854" t="str">
            <v>Female</v>
          </cell>
          <cell r="F854">
            <v>5</v>
          </cell>
          <cell r="G854">
            <v>14.5</v>
          </cell>
          <cell r="H854">
            <v>5.2</v>
          </cell>
          <cell r="I854">
            <v>68</v>
          </cell>
          <cell r="J854">
            <v>4</v>
          </cell>
          <cell r="K854">
            <v>14</v>
          </cell>
          <cell r="L854">
            <v>143.94999999999999</v>
          </cell>
          <cell r="M854">
            <v>28</v>
          </cell>
          <cell r="N854">
            <v>75.2</v>
          </cell>
          <cell r="O854">
            <v>1.2</v>
          </cell>
          <cell r="P854">
            <v>2.2999999999999998</v>
          </cell>
          <cell r="S854">
            <v>2.1</v>
          </cell>
          <cell r="T854">
            <v>8.5</v>
          </cell>
          <cell r="U854">
            <v>1</v>
          </cell>
        </row>
        <row r="855">
          <cell r="B855" t="str">
            <v>Female</v>
          </cell>
          <cell r="F855">
            <v>7</v>
          </cell>
          <cell r="G855">
            <v>18.8</v>
          </cell>
          <cell r="H855">
            <v>6.2</v>
          </cell>
          <cell r="I855">
            <v>63.2</v>
          </cell>
          <cell r="J855">
            <v>1</v>
          </cell>
          <cell r="K855">
            <v>8</v>
          </cell>
          <cell r="L855">
            <v>106.36</v>
          </cell>
          <cell r="M855">
            <v>49</v>
          </cell>
          <cell r="N855">
            <v>25.9</v>
          </cell>
          <cell r="P855">
            <v>20.3</v>
          </cell>
          <cell r="S855">
            <v>17.100000000000001</v>
          </cell>
          <cell r="T855">
            <v>18.5</v>
          </cell>
          <cell r="U855">
            <v>4</v>
          </cell>
        </row>
        <row r="856">
          <cell r="B856" t="str">
            <v>Male</v>
          </cell>
          <cell r="F856">
            <v>9</v>
          </cell>
          <cell r="G856">
            <v>25.8</v>
          </cell>
          <cell r="H856">
            <v>5.7</v>
          </cell>
          <cell r="I856">
            <v>60.9</v>
          </cell>
          <cell r="J856">
            <v>5</v>
          </cell>
          <cell r="K856">
            <v>14</v>
          </cell>
          <cell r="L856">
            <v>177.31</v>
          </cell>
          <cell r="N856">
            <v>79.7</v>
          </cell>
          <cell r="O856">
            <v>2.6</v>
          </cell>
          <cell r="P856">
            <v>11.7</v>
          </cell>
          <cell r="S856">
            <v>30</v>
          </cell>
          <cell r="T856">
            <v>13.4</v>
          </cell>
          <cell r="U856">
            <v>2</v>
          </cell>
        </row>
        <row r="857">
          <cell r="B857" t="str">
            <v>Male</v>
          </cell>
          <cell r="F857">
            <v>19</v>
          </cell>
          <cell r="G857">
            <v>34.299999999999997</v>
          </cell>
          <cell r="H857">
            <v>14.7</v>
          </cell>
          <cell r="I857">
            <v>56.7</v>
          </cell>
          <cell r="J857">
            <v>7</v>
          </cell>
          <cell r="K857">
            <v>14</v>
          </cell>
          <cell r="L857">
            <v>96.97</v>
          </cell>
          <cell r="M857">
            <v>16</v>
          </cell>
          <cell r="N857">
            <v>55.6</v>
          </cell>
          <cell r="P857">
            <v>24.6</v>
          </cell>
          <cell r="S857">
            <v>60</v>
          </cell>
          <cell r="T857">
            <v>22.5</v>
          </cell>
          <cell r="U857">
            <v>2</v>
          </cell>
        </row>
        <row r="858">
          <cell r="B858" t="str">
            <v>Female</v>
          </cell>
          <cell r="F858">
            <v>13</v>
          </cell>
          <cell r="H858">
            <v>2.5</v>
          </cell>
          <cell r="I858">
            <v>63.8</v>
          </cell>
          <cell r="J858">
            <v>0</v>
          </cell>
          <cell r="K858">
            <v>3</v>
          </cell>
          <cell r="L858">
            <v>135.88</v>
          </cell>
          <cell r="M858">
            <v>1</v>
          </cell>
          <cell r="N858">
            <v>27.9</v>
          </cell>
          <cell r="O858">
            <v>1.9</v>
          </cell>
          <cell r="P858">
            <v>16.3</v>
          </cell>
          <cell r="S858">
            <v>11.4</v>
          </cell>
          <cell r="T858">
            <v>3.3</v>
          </cell>
          <cell r="U858">
            <v>3</v>
          </cell>
        </row>
        <row r="859">
          <cell r="B859" t="str">
            <v>Male</v>
          </cell>
          <cell r="F859">
            <v>17</v>
          </cell>
          <cell r="G859">
            <v>44.2</v>
          </cell>
          <cell r="H859">
            <v>13.5</v>
          </cell>
          <cell r="I859">
            <v>46.4</v>
          </cell>
          <cell r="J859">
            <v>8</v>
          </cell>
          <cell r="K859" t="str">
            <v>23.400000000000002</v>
          </cell>
          <cell r="L859">
            <v>65.25</v>
          </cell>
          <cell r="M859">
            <v>5</v>
          </cell>
          <cell r="O859">
            <v>2</v>
          </cell>
          <cell r="P859">
            <v>36.799999999999997</v>
          </cell>
          <cell r="S859">
            <v>44.6</v>
          </cell>
          <cell r="T859">
            <v>34.1</v>
          </cell>
        </row>
        <row r="860">
          <cell r="B860" t="str">
            <v>Male</v>
          </cell>
          <cell r="F860">
            <v>13</v>
          </cell>
          <cell r="G860">
            <v>23.1</v>
          </cell>
          <cell r="H860">
            <v>8.9</v>
          </cell>
          <cell r="I860">
            <v>51.5</v>
          </cell>
          <cell r="K860">
            <v>12</v>
          </cell>
          <cell r="L860">
            <v>89.93</v>
          </cell>
          <cell r="M860">
            <v>58</v>
          </cell>
          <cell r="N860">
            <v>19</v>
          </cell>
          <cell r="O860">
            <v>7.1</v>
          </cell>
          <cell r="P860">
            <v>20.100000000000001</v>
          </cell>
          <cell r="S860">
            <v>42.5</v>
          </cell>
          <cell r="T860">
            <v>27.4</v>
          </cell>
          <cell r="U860">
            <v>2</v>
          </cell>
        </row>
        <row r="861">
          <cell r="B861" t="str">
            <v>Female</v>
          </cell>
          <cell r="F861">
            <v>7</v>
          </cell>
          <cell r="G861">
            <v>21.6</v>
          </cell>
          <cell r="H861">
            <v>8.4</v>
          </cell>
          <cell r="I861">
            <v>65.900000000000006</v>
          </cell>
          <cell r="J861">
            <v>3</v>
          </cell>
          <cell r="K861" t="str">
            <v>15.600000000000001</v>
          </cell>
          <cell r="L861">
            <v>103.98</v>
          </cell>
          <cell r="M861">
            <v>1</v>
          </cell>
          <cell r="N861" t="str">
            <v>81.71999999999998</v>
          </cell>
          <cell r="O861">
            <v>5.6</v>
          </cell>
          <cell r="P861">
            <v>20.6</v>
          </cell>
          <cell r="T861">
            <v>11.4</v>
          </cell>
          <cell r="U861">
            <v>1</v>
          </cell>
        </row>
        <row r="862">
          <cell r="B862" t="str">
            <v>Female</v>
          </cell>
          <cell r="F862">
            <v>21</v>
          </cell>
          <cell r="G862">
            <v>33.799999999999997</v>
          </cell>
          <cell r="H862">
            <v>9.4</v>
          </cell>
          <cell r="I862">
            <v>49.7</v>
          </cell>
          <cell r="J862">
            <v>7</v>
          </cell>
          <cell r="K862" t="str">
            <v>15.600000000000001</v>
          </cell>
          <cell r="L862">
            <v>203.2</v>
          </cell>
          <cell r="M862">
            <v>4</v>
          </cell>
          <cell r="N862">
            <v>16.559999999999999</v>
          </cell>
          <cell r="O862">
            <v>6.3</v>
          </cell>
          <cell r="P862">
            <v>40.700000000000003</v>
          </cell>
          <cell r="S862">
            <v>72.8</v>
          </cell>
          <cell r="T862">
            <v>27</v>
          </cell>
          <cell r="U862">
            <v>2</v>
          </cell>
        </row>
        <row r="863">
          <cell r="B863" t="str">
            <v>Female</v>
          </cell>
          <cell r="F863">
            <v>27</v>
          </cell>
          <cell r="G863">
            <v>43.5</v>
          </cell>
          <cell r="H863">
            <v>11.9</v>
          </cell>
          <cell r="I863">
            <v>25.9</v>
          </cell>
          <cell r="J863">
            <v>14</v>
          </cell>
          <cell r="K863">
            <v>26</v>
          </cell>
          <cell r="L863">
            <v>67.2</v>
          </cell>
          <cell r="M863">
            <v>77</v>
          </cell>
          <cell r="N863">
            <v>60.8</v>
          </cell>
          <cell r="O863">
            <v>1.2</v>
          </cell>
          <cell r="P863">
            <v>54.5</v>
          </cell>
          <cell r="S863">
            <v>54.2</v>
          </cell>
          <cell r="T863">
            <v>33.9</v>
          </cell>
          <cell r="U863">
            <v>5</v>
          </cell>
        </row>
        <row r="864">
          <cell r="B864" t="str">
            <v>Female</v>
          </cell>
          <cell r="F864">
            <v>6</v>
          </cell>
          <cell r="G864">
            <v>26.1</v>
          </cell>
          <cell r="H864">
            <v>5.9</v>
          </cell>
          <cell r="I864">
            <v>88.3</v>
          </cell>
          <cell r="J864">
            <v>0</v>
          </cell>
          <cell r="K864">
            <v>9</v>
          </cell>
          <cell r="L864">
            <v>191.37</v>
          </cell>
          <cell r="M864">
            <v>36</v>
          </cell>
          <cell r="N864">
            <v>66.099999999999994</v>
          </cell>
          <cell r="O864">
            <v>3.6</v>
          </cell>
          <cell r="S864">
            <v>0</v>
          </cell>
          <cell r="T864">
            <v>10.6</v>
          </cell>
          <cell r="U864">
            <v>3</v>
          </cell>
        </row>
        <row r="865">
          <cell r="B865" t="str">
            <v>Male</v>
          </cell>
          <cell r="F865">
            <v>8</v>
          </cell>
          <cell r="G865">
            <v>14.2</v>
          </cell>
          <cell r="H865">
            <v>1.8</v>
          </cell>
          <cell r="I865">
            <v>75.400000000000006</v>
          </cell>
          <cell r="K865">
            <v>6</v>
          </cell>
          <cell r="L865">
            <v>177.52</v>
          </cell>
          <cell r="M865">
            <v>33</v>
          </cell>
          <cell r="N865">
            <v>83.4</v>
          </cell>
          <cell r="P865">
            <v>12.2</v>
          </cell>
          <cell r="S865">
            <v>4.2</v>
          </cell>
          <cell r="T865">
            <v>9.1</v>
          </cell>
          <cell r="U865">
            <v>2</v>
          </cell>
        </row>
        <row r="866">
          <cell r="B866" t="str">
            <v>Female</v>
          </cell>
          <cell r="F866">
            <v>9</v>
          </cell>
          <cell r="G866">
            <v>41</v>
          </cell>
          <cell r="H866">
            <v>8.6</v>
          </cell>
          <cell r="I866">
            <v>49.9</v>
          </cell>
          <cell r="J866">
            <v>8</v>
          </cell>
          <cell r="K866">
            <v>14</v>
          </cell>
          <cell r="L866">
            <v>116.84</v>
          </cell>
          <cell r="M866">
            <v>17</v>
          </cell>
          <cell r="N866">
            <v>28.5</v>
          </cell>
          <cell r="O866">
            <v>6</v>
          </cell>
          <cell r="P866">
            <v>27.5</v>
          </cell>
          <cell r="S866">
            <v>43.9</v>
          </cell>
          <cell r="T866">
            <v>27.5</v>
          </cell>
          <cell r="U866">
            <v>3</v>
          </cell>
        </row>
        <row r="867">
          <cell r="B867" t="str">
            <v>Female</v>
          </cell>
          <cell r="F867">
            <v>23</v>
          </cell>
          <cell r="G867">
            <v>35.9</v>
          </cell>
          <cell r="H867">
            <v>14.5</v>
          </cell>
          <cell r="I867">
            <v>39.299999999999997</v>
          </cell>
          <cell r="J867">
            <v>3</v>
          </cell>
          <cell r="K867">
            <v>23</v>
          </cell>
          <cell r="L867">
            <v>51.23</v>
          </cell>
          <cell r="M867">
            <v>33</v>
          </cell>
          <cell r="N867">
            <v>24.9</v>
          </cell>
          <cell r="O867">
            <v>25.1</v>
          </cell>
          <cell r="P867">
            <v>37.200000000000003</v>
          </cell>
          <cell r="S867">
            <v>65.3</v>
          </cell>
          <cell r="T867">
            <v>20.8</v>
          </cell>
          <cell r="U867">
            <v>4</v>
          </cell>
        </row>
        <row r="868">
          <cell r="B868" t="str">
            <v>Female</v>
          </cell>
          <cell r="F868">
            <v>14</v>
          </cell>
          <cell r="G868">
            <v>25.4</v>
          </cell>
          <cell r="H868">
            <v>10.4</v>
          </cell>
          <cell r="I868">
            <v>60.9</v>
          </cell>
          <cell r="J868">
            <v>5</v>
          </cell>
          <cell r="K868">
            <v>12</v>
          </cell>
          <cell r="L868">
            <v>51.78</v>
          </cell>
          <cell r="M868">
            <v>20</v>
          </cell>
          <cell r="N868">
            <v>22</v>
          </cell>
          <cell r="O868">
            <v>3.7</v>
          </cell>
          <cell r="P868">
            <v>6.6</v>
          </cell>
          <cell r="S868">
            <v>23.9</v>
          </cell>
          <cell r="T868">
            <v>19.399999999999999</v>
          </cell>
          <cell r="U868">
            <v>2</v>
          </cell>
        </row>
        <row r="869">
          <cell r="B869" t="str">
            <v>Male</v>
          </cell>
          <cell r="F869">
            <v>9</v>
          </cell>
          <cell r="G869">
            <v>23.7</v>
          </cell>
          <cell r="I869">
            <v>79.400000000000006</v>
          </cell>
          <cell r="J869">
            <v>0</v>
          </cell>
          <cell r="K869">
            <v>6</v>
          </cell>
          <cell r="L869">
            <v>82.88</v>
          </cell>
          <cell r="M869">
            <v>3</v>
          </cell>
          <cell r="N869">
            <v>36.6</v>
          </cell>
          <cell r="O869">
            <v>6.8</v>
          </cell>
          <cell r="P869">
            <v>0</v>
          </cell>
          <cell r="S869">
            <v>16.399999999999999</v>
          </cell>
          <cell r="T869">
            <v>18.399999999999999</v>
          </cell>
        </row>
        <row r="870">
          <cell r="B870" t="str">
            <v>Female</v>
          </cell>
          <cell r="F870">
            <v>0</v>
          </cell>
          <cell r="H870">
            <v>4.4000000000000004</v>
          </cell>
          <cell r="I870">
            <v>82</v>
          </cell>
          <cell r="J870">
            <v>0</v>
          </cell>
          <cell r="K870" t="str">
            <v>7.800000000000001</v>
          </cell>
          <cell r="L870">
            <v>138.66</v>
          </cell>
          <cell r="M870">
            <v>6</v>
          </cell>
          <cell r="N870" t="str">
            <v>12.239999999999998</v>
          </cell>
          <cell r="O870">
            <v>7</v>
          </cell>
          <cell r="P870">
            <v>3</v>
          </cell>
          <cell r="S870">
            <v>19.3</v>
          </cell>
          <cell r="U870">
            <v>4</v>
          </cell>
        </row>
        <row r="871">
          <cell r="B871" t="str">
            <v>Male</v>
          </cell>
          <cell r="F871">
            <v>9</v>
          </cell>
          <cell r="G871">
            <v>15.3</v>
          </cell>
          <cell r="H871">
            <v>2.4</v>
          </cell>
          <cell r="I871">
            <v>72.900000000000006</v>
          </cell>
          <cell r="J871">
            <v>1</v>
          </cell>
          <cell r="K871">
            <v>8</v>
          </cell>
          <cell r="L871">
            <v>81.88</v>
          </cell>
          <cell r="M871">
            <v>17</v>
          </cell>
          <cell r="N871">
            <v>8.3000000000000007</v>
          </cell>
          <cell r="O871">
            <v>1.8</v>
          </cell>
          <cell r="P871">
            <v>22.6</v>
          </cell>
          <cell r="S871">
            <v>23.4</v>
          </cell>
          <cell r="T871">
            <v>6.5</v>
          </cell>
          <cell r="U871">
            <v>2</v>
          </cell>
        </row>
        <row r="872">
          <cell r="B872" t="str">
            <v>Male</v>
          </cell>
          <cell r="F872">
            <v>9</v>
          </cell>
          <cell r="G872">
            <v>13.4</v>
          </cell>
          <cell r="H872">
            <v>8</v>
          </cell>
          <cell r="I872">
            <v>71.5</v>
          </cell>
          <cell r="J872">
            <v>3</v>
          </cell>
          <cell r="K872">
            <v>9</v>
          </cell>
          <cell r="L872">
            <v>183.93</v>
          </cell>
          <cell r="M872">
            <v>46</v>
          </cell>
          <cell r="N872">
            <v>38.9</v>
          </cell>
          <cell r="O872">
            <v>2.1</v>
          </cell>
          <cell r="P872">
            <v>9.1</v>
          </cell>
          <cell r="S872">
            <v>5.4</v>
          </cell>
          <cell r="T872">
            <v>14.6</v>
          </cell>
          <cell r="U872">
            <v>3</v>
          </cell>
        </row>
        <row r="873">
          <cell r="B873" t="str">
            <v>Male</v>
          </cell>
          <cell r="F873">
            <v>2</v>
          </cell>
          <cell r="G873">
            <v>21.6</v>
          </cell>
          <cell r="H873">
            <v>7.2</v>
          </cell>
          <cell r="I873">
            <v>62.1</v>
          </cell>
          <cell r="J873">
            <v>5</v>
          </cell>
          <cell r="K873">
            <v>8</v>
          </cell>
          <cell r="L873">
            <v>127.66</v>
          </cell>
          <cell r="M873">
            <v>11</v>
          </cell>
          <cell r="N873">
            <v>40.5</v>
          </cell>
          <cell r="O873">
            <v>9.3000000000000007</v>
          </cell>
          <cell r="P873">
            <v>13.4</v>
          </cell>
          <cell r="S873">
            <v>17.899999999999999</v>
          </cell>
          <cell r="T873">
            <v>13.9</v>
          </cell>
          <cell r="U873">
            <v>3</v>
          </cell>
        </row>
        <row r="874">
          <cell r="B874" t="str">
            <v>Male</v>
          </cell>
          <cell r="F874">
            <v>0</v>
          </cell>
          <cell r="H874">
            <v>5.6</v>
          </cell>
          <cell r="I874">
            <v>72.099999999999994</v>
          </cell>
          <cell r="J874">
            <v>2</v>
          </cell>
          <cell r="K874">
            <v>16</v>
          </cell>
          <cell r="L874">
            <v>137.16999999999999</v>
          </cell>
          <cell r="M874">
            <v>21</v>
          </cell>
          <cell r="N874">
            <v>83.1</v>
          </cell>
          <cell r="O874">
            <v>6.9</v>
          </cell>
          <cell r="P874">
            <v>6</v>
          </cell>
          <cell r="S874">
            <v>20.9</v>
          </cell>
          <cell r="T874">
            <v>11.4</v>
          </cell>
          <cell r="U874">
            <v>5</v>
          </cell>
        </row>
        <row r="875">
          <cell r="B875" t="str">
            <v>Female</v>
          </cell>
          <cell r="F875">
            <v>0</v>
          </cell>
          <cell r="G875">
            <v>22</v>
          </cell>
          <cell r="H875">
            <v>6.6</v>
          </cell>
          <cell r="I875">
            <v>89.9</v>
          </cell>
          <cell r="J875">
            <v>1</v>
          </cell>
          <cell r="K875">
            <v>5</v>
          </cell>
          <cell r="L875">
            <v>114.14</v>
          </cell>
          <cell r="M875">
            <v>11</v>
          </cell>
          <cell r="N875">
            <v>74.099999999999994</v>
          </cell>
          <cell r="O875">
            <v>3.8</v>
          </cell>
          <cell r="P875">
            <v>0</v>
          </cell>
          <cell r="S875">
            <v>12.2</v>
          </cell>
          <cell r="T875">
            <v>15.2</v>
          </cell>
          <cell r="U875">
            <v>3</v>
          </cell>
        </row>
        <row r="876">
          <cell r="B876" t="str">
            <v>Male</v>
          </cell>
          <cell r="F876">
            <v>15</v>
          </cell>
          <cell r="G876">
            <v>49.6</v>
          </cell>
          <cell r="H876">
            <v>16.8</v>
          </cell>
          <cell r="I876">
            <v>31</v>
          </cell>
          <cell r="J876">
            <v>7</v>
          </cell>
          <cell r="K876">
            <v>23</v>
          </cell>
          <cell r="L876">
            <v>78.19</v>
          </cell>
          <cell r="M876">
            <v>24</v>
          </cell>
          <cell r="N876">
            <v>30.1</v>
          </cell>
          <cell r="O876">
            <v>5.4</v>
          </cell>
          <cell r="P876">
            <v>37.799999999999997</v>
          </cell>
          <cell r="S876">
            <v>48.9</v>
          </cell>
          <cell r="T876">
            <v>30.8</v>
          </cell>
          <cell r="U876">
            <v>1</v>
          </cell>
        </row>
        <row r="877">
          <cell r="B877" t="str">
            <v>Male</v>
          </cell>
          <cell r="F877">
            <v>8</v>
          </cell>
          <cell r="H877">
            <v>9.9</v>
          </cell>
          <cell r="I877">
            <v>74.8</v>
          </cell>
          <cell r="J877">
            <v>0</v>
          </cell>
          <cell r="K877">
            <v>7</v>
          </cell>
          <cell r="L877">
            <v>121.64</v>
          </cell>
          <cell r="M877">
            <v>9</v>
          </cell>
          <cell r="O877">
            <v>0.6</v>
          </cell>
          <cell r="P877">
            <v>0</v>
          </cell>
          <cell r="T877">
            <v>20.3</v>
          </cell>
          <cell r="U877">
            <v>3</v>
          </cell>
        </row>
        <row r="878">
          <cell r="B878" t="str">
            <v>Female</v>
          </cell>
          <cell r="F878">
            <v>16</v>
          </cell>
          <cell r="G878">
            <v>38.299999999999997</v>
          </cell>
          <cell r="H878">
            <v>9</v>
          </cell>
          <cell r="I878">
            <v>52.9</v>
          </cell>
          <cell r="J878">
            <v>7</v>
          </cell>
          <cell r="K878">
            <v>18</v>
          </cell>
          <cell r="L878">
            <v>62.32</v>
          </cell>
          <cell r="M878">
            <v>22</v>
          </cell>
          <cell r="N878">
            <v>40.799999999999997</v>
          </cell>
          <cell r="O878">
            <v>7</v>
          </cell>
          <cell r="P878">
            <v>9.1</v>
          </cell>
          <cell r="S878">
            <v>71</v>
          </cell>
          <cell r="T878">
            <v>23.2</v>
          </cell>
          <cell r="U878">
            <v>2</v>
          </cell>
        </row>
        <row r="879">
          <cell r="B879" t="str">
            <v>Male</v>
          </cell>
          <cell r="F879">
            <v>12</v>
          </cell>
          <cell r="G879">
            <v>22.1</v>
          </cell>
          <cell r="H879">
            <v>13.1</v>
          </cell>
          <cell r="I879">
            <v>52.1</v>
          </cell>
          <cell r="J879">
            <v>7</v>
          </cell>
          <cell r="K879">
            <v>20</v>
          </cell>
          <cell r="L879">
            <v>86.07</v>
          </cell>
          <cell r="M879">
            <v>41</v>
          </cell>
          <cell r="N879">
            <v>9</v>
          </cell>
          <cell r="O879">
            <v>11.7</v>
          </cell>
          <cell r="P879">
            <v>6</v>
          </cell>
          <cell r="S879">
            <v>31.6</v>
          </cell>
          <cell r="T879">
            <v>13.8</v>
          </cell>
          <cell r="U879">
            <v>2</v>
          </cell>
        </row>
        <row r="880">
          <cell r="B880" t="str">
            <v>Male</v>
          </cell>
          <cell r="F880">
            <v>15</v>
          </cell>
          <cell r="G880">
            <v>31.5</v>
          </cell>
          <cell r="H880">
            <v>6.9</v>
          </cell>
          <cell r="I880">
            <v>49.5</v>
          </cell>
          <cell r="J880">
            <v>7</v>
          </cell>
          <cell r="K880">
            <v>20.8</v>
          </cell>
          <cell r="L880">
            <v>75.67</v>
          </cell>
          <cell r="M880">
            <v>51</v>
          </cell>
          <cell r="N880">
            <v>62.64</v>
          </cell>
          <cell r="O880">
            <v>4.3</v>
          </cell>
          <cell r="P880">
            <v>27.3</v>
          </cell>
          <cell r="S880">
            <v>42.1</v>
          </cell>
          <cell r="T880">
            <v>26.2</v>
          </cell>
          <cell r="U880">
            <v>2</v>
          </cell>
        </row>
        <row r="881">
          <cell r="B881" t="str">
            <v>Female</v>
          </cell>
          <cell r="F881">
            <v>14</v>
          </cell>
          <cell r="G881">
            <v>34.6</v>
          </cell>
          <cell r="H881">
            <v>12.3</v>
          </cell>
          <cell r="I881">
            <v>53.4</v>
          </cell>
          <cell r="J881">
            <v>8</v>
          </cell>
          <cell r="K881">
            <v>18.2</v>
          </cell>
          <cell r="L881">
            <v>119.35</v>
          </cell>
          <cell r="M881">
            <v>7</v>
          </cell>
          <cell r="N881">
            <v>82.2</v>
          </cell>
          <cell r="O881">
            <v>11.3</v>
          </cell>
          <cell r="P881">
            <v>30.5</v>
          </cell>
          <cell r="S881">
            <v>66.099999999999994</v>
          </cell>
          <cell r="T881">
            <v>21.8</v>
          </cell>
          <cell r="U881">
            <v>2</v>
          </cell>
        </row>
        <row r="882">
          <cell r="B882" t="str">
            <v>Female</v>
          </cell>
          <cell r="F882">
            <v>12</v>
          </cell>
          <cell r="G882">
            <v>36.799999999999997</v>
          </cell>
          <cell r="H882">
            <v>10.199999999999999</v>
          </cell>
          <cell r="I882">
            <v>50</v>
          </cell>
          <cell r="J882">
            <v>4</v>
          </cell>
          <cell r="K882">
            <v>14</v>
          </cell>
          <cell r="L882">
            <v>105.01</v>
          </cell>
          <cell r="M882">
            <v>60</v>
          </cell>
          <cell r="N882">
            <v>13.9</v>
          </cell>
          <cell r="O882">
            <v>6.7</v>
          </cell>
          <cell r="P882">
            <v>23.2</v>
          </cell>
          <cell r="S882">
            <v>44.3</v>
          </cell>
          <cell r="T882">
            <v>23.5</v>
          </cell>
          <cell r="U882">
            <v>1</v>
          </cell>
        </row>
        <row r="883">
          <cell r="B883" t="str">
            <v>Female</v>
          </cell>
          <cell r="F883">
            <v>16</v>
          </cell>
          <cell r="G883">
            <v>34.299999999999997</v>
          </cell>
          <cell r="H883">
            <v>9.4</v>
          </cell>
          <cell r="I883">
            <v>53.5</v>
          </cell>
          <cell r="J883">
            <v>4</v>
          </cell>
          <cell r="K883">
            <v>16</v>
          </cell>
          <cell r="L883">
            <v>97.62</v>
          </cell>
          <cell r="M883">
            <v>9</v>
          </cell>
          <cell r="N883">
            <v>54.8</v>
          </cell>
          <cell r="O883">
            <v>3.1</v>
          </cell>
          <cell r="P883">
            <v>9.3000000000000007</v>
          </cell>
          <cell r="S883">
            <v>32.6</v>
          </cell>
          <cell r="T883">
            <v>9.1999999999999993</v>
          </cell>
          <cell r="U883">
            <v>2</v>
          </cell>
        </row>
        <row r="884">
          <cell r="B884" t="str">
            <v>Female</v>
          </cell>
          <cell r="F884">
            <v>14</v>
          </cell>
          <cell r="G884">
            <v>24.1</v>
          </cell>
          <cell r="H884">
            <v>9.1</v>
          </cell>
          <cell r="I884">
            <v>68.5</v>
          </cell>
          <cell r="K884">
            <v>10.4</v>
          </cell>
          <cell r="L884">
            <v>91.16</v>
          </cell>
          <cell r="M884">
            <v>3</v>
          </cell>
          <cell r="N884" t="str">
            <v>30.599999999999998</v>
          </cell>
          <cell r="O884">
            <v>1.3</v>
          </cell>
          <cell r="P884">
            <v>19.7</v>
          </cell>
          <cell r="S884">
            <v>9.1</v>
          </cell>
          <cell r="T884">
            <v>25.8</v>
          </cell>
          <cell r="U884">
            <v>2</v>
          </cell>
        </row>
        <row r="885">
          <cell r="B885" t="str">
            <v>Female</v>
          </cell>
          <cell r="F885">
            <v>10</v>
          </cell>
          <cell r="G885">
            <v>27.6</v>
          </cell>
          <cell r="H885">
            <v>9.6999999999999993</v>
          </cell>
          <cell r="I885">
            <v>40.6</v>
          </cell>
          <cell r="J885">
            <v>4</v>
          </cell>
          <cell r="K885">
            <v>12</v>
          </cell>
          <cell r="L885">
            <v>109.38</v>
          </cell>
          <cell r="M885">
            <v>9</v>
          </cell>
          <cell r="O885">
            <v>6.8</v>
          </cell>
          <cell r="P885">
            <v>14.4</v>
          </cell>
          <cell r="S885">
            <v>35.299999999999997</v>
          </cell>
          <cell r="T885">
            <v>22</v>
          </cell>
          <cell r="U885">
            <v>1</v>
          </cell>
        </row>
        <row r="886">
          <cell r="B886" t="str">
            <v>Male</v>
          </cell>
          <cell r="F886">
            <v>19</v>
          </cell>
          <cell r="G886">
            <v>32.6</v>
          </cell>
          <cell r="H886">
            <v>9.4</v>
          </cell>
          <cell r="I886">
            <v>57.2</v>
          </cell>
          <cell r="J886">
            <v>6</v>
          </cell>
          <cell r="K886">
            <v>17</v>
          </cell>
          <cell r="L886">
            <v>45.64</v>
          </cell>
          <cell r="M886">
            <v>4</v>
          </cell>
          <cell r="N886">
            <v>28.9</v>
          </cell>
          <cell r="P886">
            <v>34.799999999999997</v>
          </cell>
          <cell r="S886">
            <v>34.6</v>
          </cell>
          <cell r="T886">
            <v>22.5</v>
          </cell>
          <cell r="U886">
            <v>2</v>
          </cell>
        </row>
        <row r="887">
          <cell r="B887" t="str">
            <v>Female</v>
          </cell>
          <cell r="F887">
            <v>14</v>
          </cell>
          <cell r="G887">
            <v>33.200000000000003</v>
          </cell>
          <cell r="H887">
            <v>9.1999999999999993</v>
          </cell>
          <cell r="I887">
            <v>40.200000000000003</v>
          </cell>
          <cell r="J887">
            <v>3</v>
          </cell>
          <cell r="K887">
            <v>7</v>
          </cell>
          <cell r="L887">
            <v>109.85</v>
          </cell>
          <cell r="M887">
            <v>46</v>
          </cell>
          <cell r="N887">
            <v>79.3</v>
          </cell>
          <cell r="O887">
            <v>6</v>
          </cell>
          <cell r="P887">
            <v>17.100000000000001</v>
          </cell>
          <cell r="S887">
            <v>36.1</v>
          </cell>
          <cell r="T887">
            <v>19.8</v>
          </cell>
          <cell r="U887">
            <v>4</v>
          </cell>
        </row>
        <row r="888">
          <cell r="B888" t="str">
            <v>Female</v>
          </cell>
          <cell r="F888">
            <v>2</v>
          </cell>
          <cell r="H888">
            <v>7.7</v>
          </cell>
          <cell r="I888">
            <v>61</v>
          </cell>
          <cell r="J888">
            <v>2</v>
          </cell>
          <cell r="K888">
            <v>8</v>
          </cell>
          <cell r="L888">
            <v>116.56</v>
          </cell>
          <cell r="M888">
            <v>24</v>
          </cell>
          <cell r="N888">
            <v>17.5</v>
          </cell>
          <cell r="O888">
            <v>1.7</v>
          </cell>
          <cell r="P888">
            <v>14.4</v>
          </cell>
          <cell r="S888">
            <v>7.9</v>
          </cell>
          <cell r="T888">
            <v>19.8</v>
          </cell>
          <cell r="U888">
            <v>1</v>
          </cell>
        </row>
        <row r="889">
          <cell r="B889" t="str">
            <v>Female</v>
          </cell>
          <cell r="F889">
            <v>14</v>
          </cell>
          <cell r="G889">
            <v>19.8</v>
          </cell>
          <cell r="H889">
            <v>6.6</v>
          </cell>
          <cell r="I889">
            <v>51.4</v>
          </cell>
          <cell r="J889">
            <v>1</v>
          </cell>
          <cell r="K889">
            <v>7</v>
          </cell>
          <cell r="L889">
            <v>85.23</v>
          </cell>
          <cell r="M889">
            <v>1</v>
          </cell>
          <cell r="N889">
            <v>6.4</v>
          </cell>
          <cell r="O889">
            <v>14</v>
          </cell>
          <cell r="P889">
            <v>29.6</v>
          </cell>
          <cell r="T889">
            <v>20.2</v>
          </cell>
        </row>
        <row r="890">
          <cell r="B890" t="str">
            <v>Female</v>
          </cell>
          <cell r="F890">
            <v>26</v>
          </cell>
          <cell r="G890">
            <v>43.7</v>
          </cell>
          <cell r="H890">
            <v>7.9</v>
          </cell>
          <cell r="I890">
            <v>30.9</v>
          </cell>
          <cell r="J890">
            <v>6</v>
          </cell>
          <cell r="K890">
            <v>16</v>
          </cell>
          <cell r="L890">
            <v>129.46</v>
          </cell>
          <cell r="M890">
            <v>68</v>
          </cell>
          <cell r="N890">
            <v>69.099999999999994</v>
          </cell>
          <cell r="O890">
            <v>4.5999999999999996</v>
          </cell>
          <cell r="P890">
            <v>12.7</v>
          </cell>
          <cell r="S890">
            <v>65.099999999999994</v>
          </cell>
          <cell r="T890">
            <v>31.7</v>
          </cell>
          <cell r="U890">
            <v>2</v>
          </cell>
        </row>
        <row r="891">
          <cell r="B891" t="str">
            <v>Male</v>
          </cell>
          <cell r="F891">
            <v>16</v>
          </cell>
          <cell r="G891">
            <v>32.1</v>
          </cell>
          <cell r="I891">
            <v>63</v>
          </cell>
          <cell r="J891">
            <v>6</v>
          </cell>
          <cell r="K891" t="str">
            <v>15.600000000000001</v>
          </cell>
          <cell r="L891">
            <v>80.010000000000005</v>
          </cell>
          <cell r="M891">
            <v>14</v>
          </cell>
          <cell r="N891">
            <v>27.96</v>
          </cell>
          <cell r="O891">
            <v>10.5</v>
          </cell>
          <cell r="P891">
            <v>15</v>
          </cell>
          <cell r="S891">
            <v>5</v>
          </cell>
          <cell r="T891">
            <v>17.600000000000001</v>
          </cell>
          <cell r="U891">
            <v>4</v>
          </cell>
        </row>
        <row r="892">
          <cell r="B892" t="str">
            <v>Male</v>
          </cell>
          <cell r="F892">
            <v>9</v>
          </cell>
          <cell r="G892">
            <v>33.299999999999997</v>
          </cell>
          <cell r="H892">
            <v>8.8000000000000007</v>
          </cell>
          <cell r="I892">
            <v>68.8</v>
          </cell>
          <cell r="J892">
            <v>4</v>
          </cell>
          <cell r="K892">
            <v>16</v>
          </cell>
          <cell r="L892">
            <v>85.03</v>
          </cell>
          <cell r="M892">
            <v>8</v>
          </cell>
          <cell r="N892">
            <v>69.7</v>
          </cell>
          <cell r="O892">
            <v>9.4</v>
          </cell>
          <cell r="P892">
            <v>39.5</v>
          </cell>
          <cell r="U892">
            <v>2</v>
          </cell>
        </row>
        <row r="893">
          <cell r="B893" t="str">
            <v>Female</v>
          </cell>
          <cell r="F893">
            <v>8</v>
          </cell>
          <cell r="G893">
            <v>34.9</v>
          </cell>
          <cell r="H893">
            <v>10.3</v>
          </cell>
          <cell r="I893">
            <v>47.8</v>
          </cell>
          <cell r="J893">
            <v>3</v>
          </cell>
          <cell r="K893">
            <v>8</v>
          </cell>
          <cell r="L893">
            <v>78.180000000000007</v>
          </cell>
          <cell r="M893">
            <v>1</v>
          </cell>
          <cell r="N893">
            <v>33.4</v>
          </cell>
          <cell r="O893">
            <v>4.5</v>
          </cell>
          <cell r="S893">
            <v>15.6</v>
          </cell>
          <cell r="T893">
            <v>13.2</v>
          </cell>
          <cell r="U893">
            <v>1</v>
          </cell>
        </row>
        <row r="894">
          <cell r="B894" t="str">
            <v>Female</v>
          </cell>
          <cell r="F894">
            <v>1</v>
          </cell>
          <cell r="G894">
            <v>22.6</v>
          </cell>
          <cell r="H894">
            <v>5.4</v>
          </cell>
          <cell r="I894">
            <v>60.9</v>
          </cell>
          <cell r="J894">
            <v>4</v>
          </cell>
          <cell r="K894" t="str">
            <v>11.700000000000001</v>
          </cell>
          <cell r="L894">
            <v>96.87</v>
          </cell>
          <cell r="M894">
            <v>1</v>
          </cell>
          <cell r="N894">
            <v>56.64</v>
          </cell>
          <cell r="O894">
            <v>5.6</v>
          </cell>
          <cell r="P894">
            <v>4.3</v>
          </cell>
          <cell r="S894">
            <v>0</v>
          </cell>
          <cell r="T894">
            <v>18.7</v>
          </cell>
          <cell r="U894">
            <v>1</v>
          </cell>
        </row>
        <row r="895">
          <cell r="B895" t="str">
            <v>Female</v>
          </cell>
          <cell r="F895">
            <v>17</v>
          </cell>
          <cell r="G895">
            <v>28.6</v>
          </cell>
          <cell r="H895">
            <v>10.5</v>
          </cell>
          <cell r="I895">
            <v>50.3</v>
          </cell>
          <cell r="K895">
            <v>11</v>
          </cell>
          <cell r="L895">
            <v>95.91</v>
          </cell>
          <cell r="M895">
            <v>23</v>
          </cell>
          <cell r="N895">
            <v>26.7</v>
          </cell>
          <cell r="O895">
            <v>5.5</v>
          </cell>
          <cell r="P895">
            <v>23</v>
          </cell>
          <cell r="S895">
            <v>20.100000000000001</v>
          </cell>
          <cell r="U895">
            <v>3</v>
          </cell>
        </row>
        <row r="896">
          <cell r="B896" t="str">
            <v>Female</v>
          </cell>
          <cell r="F896">
            <v>9</v>
          </cell>
          <cell r="G896">
            <v>37.200000000000003</v>
          </cell>
          <cell r="H896">
            <v>14.6</v>
          </cell>
          <cell r="I896">
            <v>47.9</v>
          </cell>
          <cell r="K896">
            <v>10</v>
          </cell>
          <cell r="L896">
            <v>71.02</v>
          </cell>
          <cell r="M896">
            <v>26</v>
          </cell>
          <cell r="N896">
            <v>50.3</v>
          </cell>
          <cell r="O896">
            <v>3.1</v>
          </cell>
          <cell r="P896">
            <v>22.6</v>
          </cell>
          <cell r="S896">
            <v>48.6</v>
          </cell>
          <cell r="T896">
            <v>21.4</v>
          </cell>
          <cell r="U896">
            <v>2</v>
          </cell>
        </row>
        <row r="897">
          <cell r="B897" t="str">
            <v>Male</v>
          </cell>
          <cell r="F897">
            <v>5</v>
          </cell>
          <cell r="G897">
            <v>23.6</v>
          </cell>
          <cell r="H897">
            <v>8.1999999999999993</v>
          </cell>
          <cell r="I897">
            <v>53.1</v>
          </cell>
          <cell r="J897">
            <v>2</v>
          </cell>
          <cell r="K897">
            <v>6</v>
          </cell>
          <cell r="L897">
            <v>176.77</v>
          </cell>
          <cell r="M897">
            <v>66</v>
          </cell>
          <cell r="N897">
            <v>45.7</v>
          </cell>
          <cell r="P897">
            <v>5.0999999999999996</v>
          </cell>
          <cell r="S897">
            <v>45.4</v>
          </cell>
          <cell r="T897">
            <v>17.2</v>
          </cell>
          <cell r="U897">
            <v>2</v>
          </cell>
        </row>
        <row r="898">
          <cell r="B898" t="str">
            <v>Male</v>
          </cell>
          <cell r="F898">
            <v>13</v>
          </cell>
          <cell r="G898">
            <v>16.2</v>
          </cell>
          <cell r="H898">
            <v>12</v>
          </cell>
          <cell r="I898">
            <v>53.3</v>
          </cell>
          <cell r="J898">
            <v>2</v>
          </cell>
          <cell r="K898">
            <v>9</v>
          </cell>
          <cell r="L898">
            <v>119.18</v>
          </cell>
          <cell r="M898">
            <v>70</v>
          </cell>
          <cell r="N898">
            <v>13.5</v>
          </cell>
          <cell r="O898">
            <v>19</v>
          </cell>
          <cell r="P898">
            <v>5.6</v>
          </cell>
          <cell r="S898">
            <v>31.5</v>
          </cell>
          <cell r="T898">
            <v>19</v>
          </cell>
          <cell r="U898">
            <v>3</v>
          </cell>
        </row>
        <row r="899">
          <cell r="B899" t="str">
            <v>Male</v>
          </cell>
          <cell r="F899">
            <v>5</v>
          </cell>
          <cell r="G899">
            <v>29.8</v>
          </cell>
          <cell r="H899">
            <v>7.7</v>
          </cell>
          <cell r="I899">
            <v>61</v>
          </cell>
          <cell r="J899">
            <v>7</v>
          </cell>
          <cell r="K899">
            <v>8</v>
          </cell>
          <cell r="L899">
            <v>77.400000000000006</v>
          </cell>
          <cell r="M899">
            <v>42</v>
          </cell>
          <cell r="N899">
            <v>31.1</v>
          </cell>
        </row>
        <row r="900">
          <cell r="B900" t="str">
            <v>Male</v>
          </cell>
          <cell r="F900">
            <v>4</v>
          </cell>
          <cell r="G900">
            <v>10.4</v>
          </cell>
          <cell r="H900">
            <v>6.3</v>
          </cell>
          <cell r="I900">
            <v>76.3</v>
          </cell>
          <cell r="J900">
            <v>3</v>
          </cell>
          <cell r="K900">
            <v>6</v>
          </cell>
          <cell r="L900">
            <v>96.69</v>
          </cell>
          <cell r="M900">
            <v>21</v>
          </cell>
          <cell r="N900">
            <v>44.4</v>
          </cell>
          <cell r="O900">
            <v>5.0999999999999996</v>
          </cell>
          <cell r="P900">
            <v>5.9</v>
          </cell>
          <cell r="S900">
            <v>3.5</v>
          </cell>
          <cell r="T900">
            <v>9.9</v>
          </cell>
          <cell r="U900">
            <v>1</v>
          </cell>
        </row>
        <row r="901">
          <cell r="B901" t="str">
            <v>Male</v>
          </cell>
          <cell r="F901">
            <v>17</v>
          </cell>
          <cell r="G901">
            <v>30.8</v>
          </cell>
          <cell r="H901">
            <v>6.1</v>
          </cell>
          <cell r="I901">
            <v>57.2</v>
          </cell>
          <cell r="J901">
            <v>2</v>
          </cell>
          <cell r="K901" t="str">
            <v>11.700000000000001</v>
          </cell>
          <cell r="L901">
            <v>223.48</v>
          </cell>
          <cell r="N901" t="str">
            <v>18.119999999999997</v>
          </cell>
          <cell r="O901">
            <v>3.6</v>
          </cell>
          <cell r="P901">
            <v>6.9</v>
          </cell>
          <cell r="S901">
            <v>69.900000000000006</v>
          </cell>
          <cell r="T901">
            <v>11.2</v>
          </cell>
          <cell r="U901">
            <v>3</v>
          </cell>
        </row>
        <row r="902">
          <cell r="B902" t="str">
            <v>Male</v>
          </cell>
          <cell r="F902">
            <v>7</v>
          </cell>
          <cell r="G902">
            <v>26.8</v>
          </cell>
          <cell r="H902">
            <v>6.1</v>
          </cell>
          <cell r="I902">
            <v>53.1</v>
          </cell>
          <cell r="J902">
            <v>2</v>
          </cell>
          <cell r="K902">
            <v>12</v>
          </cell>
          <cell r="L902">
            <v>70.02</v>
          </cell>
          <cell r="M902">
            <v>37</v>
          </cell>
          <cell r="N902">
            <v>13.3</v>
          </cell>
          <cell r="S902">
            <v>2.9</v>
          </cell>
          <cell r="T902">
            <v>12.1</v>
          </cell>
          <cell r="U902">
            <v>3</v>
          </cell>
        </row>
        <row r="903">
          <cell r="B903" t="str">
            <v>Female</v>
          </cell>
          <cell r="F903">
            <v>0</v>
          </cell>
          <cell r="H903">
            <v>10</v>
          </cell>
          <cell r="I903">
            <v>62.1</v>
          </cell>
          <cell r="J903">
            <v>5</v>
          </cell>
          <cell r="K903">
            <v>12</v>
          </cell>
          <cell r="L903">
            <v>95.44</v>
          </cell>
          <cell r="M903">
            <v>21</v>
          </cell>
          <cell r="N903">
            <v>71.2</v>
          </cell>
          <cell r="O903">
            <v>14</v>
          </cell>
          <cell r="P903">
            <v>29.6</v>
          </cell>
          <cell r="T903">
            <v>24.7</v>
          </cell>
          <cell r="U903">
            <v>1</v>
          </cell>
        </row>
        <row r="904">
          <cell r="B904" t="str">
            <v>Female</v>
          </cell>
          <cell r="F904">
            <v>9</v>
          </cell>
          <cell r="G904">
            <v>28.8</v>
          </cell>
          <cell r="H904">
            <v>11</v>
          </cell>
          <cell r="I904">
            <v>63.8</v>
          </cell>
          <cell r="J904">
            <v>5</v>
          </cell>
          <cell r="K904">
            <v>16</v>
          </cell>
          <cell r="L904">
            <v>162.69</v>
          </cell>
          <cell r="M904">
            <v>30</v>
          </cell>
          <cell r="N904">
            <v>62.4</v>
          </cell>
          <cell r="O904">
            <v>2.6</v>
          </cell>
          <cell r="P904">
            <v>17.399999999999999</v>
          </cell>
          <cell r="S904">
            <v>80.3</v>
          </cell>
          <cell r="T904">
            <v>24.8</v>
          </cell>
          <cell r="U904">
            <v>1</v>
          </cell>
        </row>
        <row r="905">
          <cell r="B905" t="str">
            <v>Male</v>
          </cell>
          <cell r="F905">
            <v>6</v>
          </cell>
          <cell r="G905">
            <v>8.6</v>
          </cell>
          <cell r="I905">
            <v>78.8</v>
          </cell>
          <cell r="J905">
            <v>1</v>
          </cell>
          <cell r="K905">
            <v>5</v>
          </cell>
          <cell r="L905">
            <v>162.74</v>
          </cell>
          <cell r="M905">
            <v>10</v>
          </cell>
          <cell r="N905">
            <v>46.7</v>
          </cell>
          <cell r="O905">
            <v>4.2</v>
          </cell>
          <cell r="P905">
            <v>0</v>
          </cell>
          <cell r="T905">
            <v>6</v>
          </cell>
          <cell r="U905">
            <v>1</v>
          </cell>
        </row>
        <row r="906">
          <cell r="B906" t="str">
            <v>Female</v>
          </cell>
          <cell r="F906">
            <v>25</v>
          </cell>
          <cell r="G906">
            <v>39.6</v>
          </cell>
          <cell r="H906">
            <v>11.2</v>
          </cell>
          <cell r="I906">
            <v>16.600000000000001</v>
          </cell>
          <cell r="J906">
            <v>5</v>
          </cell>
          <cell r="K906">
            <v>24.7</v>
          </cell>
          <cell r="L906">
            <v>95.42</v>
          </cell>
          <cell r="M906">
            <v>49</v>
          </cell>
          <cell r="N906">
            <v>4.68</v>
          </cell>
          <cell r="O906">
            <v>1.6</v>
          </cell>
          <cell r="P906">
            <v>46.2</v>
          </cell>
          <cell r="S906">
            <v>39.799999999999997</v>
          </cell>
          <cell r="T906">
            <v>42.3</v>
          </cell>
          <cell r="U906">
            <v>2</v>
          </cell>
        </row>
        <row r="907">
          <cell r="B907" t="str">
            <v>Female</v>
          </cell>
          <cell r="F907">
            <v>16</v>
          </cell>
          <cell r="G907">
            <v>33.6</v>
          </cell>
          <cell r="H907">
            <v>9.4</v>
          </cell>
          <cell r="I907">
            <v>64</v>
          </cell>
          <cell r="J907">
            <v>5</v>
          </cell>
          <cell r="K907">
            <v>12</v>
          </cell>
          <cell r="L907">
            <v>167.46</v>
          </cell>
          <cell r="M907">
            <v>1</v>
          </cell>
          <cell r="N907">
            <v>34.9</v>
          </cell>
          <cell r="O907">
            <v>6.1</v>
          </cell>
          <cell r="P907">
            <v>15.3</v>
          </cell>
          <cell r="S907">
            <v>31.9</v>
          </cell>
          <cell r="T907">
            <v>30.2</v>
          </cell>
        </row>
        <row r="908">
          <cell r="B908" t="str">
            <v>Female</v>
          </cell>
          <cell r="F908">
            <v>17</v>
          </cell>
          <cell r="G908">
            <v>39</v>
          </cell>
          <cell r="H908">
            <v>12.5</v>
          </cell>
          <cell r="I908">
            <v>52.2</v>
          </cell>
          <cell r="K908">
            <v>23</v>
          </cell>
          <cell r="L908">
            <v>104.18</v>
          </cell>
          <cell r="M908">
            <v>6</v>
          </cell>
          <cell r="N908">
            <v>52.8</v>
          </cell>
          <cell r="O908">
            <v>12.1</v>
          </cell>
          <cell r="P908">
            <v>23.8</v>
          </cell>
          <cell r="S908">
            <v>37.299999999999997</v>
          </cell>
          <cell r="T908">
            <v>36.1</v>
          </cell>
          <cell r="U908">
            <v>3</v>
          </cell>
        </row>
        <row r="909">
          <cell r="B909" t="str">
            <v>Female</v>
          </cell>
          <cell r="F909">
            <v>13</v>
          </cell>
          <cell r="G909">
            <v>34.6</v>
          </cell>
          <cell r="H909">
            <v>10.7</v>
          </cell>
          <cell r="I909">
            <v>65.599999999999994</v>
          </cell>
          <cell r="J909">
            <v>3</v>
          </cell>
          <cell r="K909">
            <v>13</v>
          </cell>
          <cell r="L909">
            <v>158.82</v>
          </cell>
          <cell r="M909">
            <v>19</v>
          </cell>
          <cell r="N909">
            <v>21.12</v>
          </cell>
          <cell r="P909">
            <v>8.5</v>
          </cell>
          <cell r="S909">
            <v>46.8</v>
          </cell>
          <cell r="T909">
            <v>26.3</v>
          </cell>
          <cell r="U909">
            <v>3</v>
          </cell>
        </row>
        <row r="910">
          <cell r="B910" t="str">
            <v>Male</v>
          </cell>
          <cell r="F910">
            <v>5</v>
          </cell>
          <cell r="G910">
            <v>30.1</v>
          </cell>
          <cell r="H910">
            <v>6.3</v>
          </cell>
          <cell r="I910">
            <v>49.5</v>
          </cell>
          <cell r="J910">
            <v>8</v>
          </cell>
          <cell r="K910">
            <v>19.5</v>
          </cell>
          <cell r="L910">
            <v>63.73</v>
          </cell>
          <cell r="M910">
            <v>74</v>
          </cell>
          <cell r="N910" t="str">
            <v>70.67999999999999</v>
          </cell>
          <cell r="O910">
            <v>5.2</v>
          </cell>
          <cell r="P910">
            <v>28.8</v>
          </cell>
          <cell r="S910">
            <v>31.9</v>
          </cell>
          <cell r="T910">
            <v>19.7</v>
          </cell>
          <cell r="U910">
            <v>3</v>
          </cell>
        </row>
        <row r="911">
          <cell r="B911" t="str">
            <v>Female</v>
          </cell>
          <cell r="F911">
            <v>8</v>
          </cell>
          <cell r="G911">
            <v>33.6</v>
          </cell>
          <cell r="H911">
            <v>11.9</v>
          </cell>
          <cell r="I911">
            <v>33.200000000000003</v>
          </cell>
          <cell r="K911">
            <v>16</v>
          </cell>
          <cell r="L911">
            <v>62.09</v>
          </cell>
          <cell r="O911">
            <v>12.4</v>
          </cell>
          <cell r="S911">
            <v>56.3</v>
          </cell>
          <cell r="U911">
            <v>3</v>
          </cell>
        </row>
        <row r="912">
          <cell r="B912" t="str">
            <v>Female</v>
          </cell>
          <cell r="F912">
            <v>15</v>
          </cell>
          <cell r="G912">
            <v>41.4</v>
          </cell>
          <cell r="H912">
            <v>6.1</v>
          </cell>
          <cell r="I912">
            <v>49.7</v>
          </cell>
          <cell r="J912">
            <v>5</v>
          </cell>
          <cell r="K912">
            <v>13</v>
          </cell>
          <cell r="L912">
            <v>68.75</v>
          </cell>
          <cell r="M912">
            <v>14</v>
          </cell>
          <cell r="N912">
            <v>71.400000000000006</v>
          </cell>
          <cell r="O912">
            <v>5.7</v>
          </cell>
          <cell r="P912">
            <v>27.8</v>
          </cell>
          <cell r="T912">
            <v>18.8</v>
          </cell>
          <cell r="U912">
            <v>3</v>
          </cell>
        </row>
        <row r="913">
          <cell r="B913" t="str">
            <v>Female</v>
          </cell>
          <cell r="F913">
            <v>8</v>
          </cell>
          <cell r="G913">
            <v>23</v>
          </cell>
          <cell r="H913">
            <v>4</v>
          </cell>
          <cell r="I913">
            <v>60.2</v>
          </cell>
          <cell r="J913">
            <v>5</v>
          </cell>
          <cell r="K913">
            <v>6</v>
          </cell>
          <cell r="L913">
            <v>156.69999999999999</v>
          </cell>
          <cell r="M913">
            <v>54</v>
          </cell>
          <cell r="O913">
            <v>3</v>
          </cell>
          <cell r="P913">
            <v>2.2999999999999998</v>
          </cell>
          <cell r="S913">
            <v>12.7</v>
          </cell>
          <cell r="T913">
            <v>9.9</v>
          </cell>
          <cell r="U913">
            <v>1</v>
          </cell>
        </row>
        <row r="914">
          <cell r="B914" t="str">
            <v>Female</v>
          </cell>
          <cell r="F914">
            <v>11</v>
          </cell>
          <cell r="G914">
            <v>18.899999999999999</v>
          </cell>
          <cell r="H914">
            <v>9</v>
          </cell>
          <cell r="I914">
            <v>66.3</v>
          </cell>
          <cell r="J914">
            <v>2</v>
          </cell>
          <cell r="K914">
            <v>11</v>
          </cell>
          <cell r="L914">
            <v>159.81</v>
          </cell>
          <cell r="M914">
            <v>15</v>
          </cell>
          <cell r="N914">
            <v>29.7</v>
          </cell>
          <cell r="O914">
            <v>5.3</v>
          </cell>
          <cell r="P914">
            <v>12.2</v>
          </cell>
          <cell r="S914">
            <v>16.8</v>
          </cell>
          <cell r="T914">
            <v>17.8</v>
          </cell>
        </row>
        <row r="915">
          <cell r="B915" t="str">
            <v>Male</v>
          </cell>
          <cell r="F915">
            <v>12</v>
          </cell>
          <cell r="G915">
            <v>27.7</v>
          </cell>
          <cell r="H915">
            <v>2.4</v>
          </cell>
          <cell r="I915">
            <v>63.4</v>
          </cell>
          <cell r="J915">
            <v>2</v>
          </cell>
          <cell r="K915">
            <v>18.2</v>
          </cell>
          <cell r="L915">
            <v>87.24</v>
          </cell>
          <cell r="M915">
            <v>13</v>
          </cell>
          <cell r="N915" t="str">
            <v>69.47999999999999</v>
          </cell>
          <cell r="O915">
            <v>1</v>
          </cell>
          <cell r="P915">
            <v>18.5</v>
          </cell>
          <cell r="T915">
            <v>11.7</v>
          </cell>
          <cell r="U915">
            <v>3</v>
          </cell>
        </row>
        <row r="916">
          <cell r="B916" t="str">
            <v>Female</v>
          </cell>
          <cell r="F916">
            <v>0</v>
          </cell>
          <cell r="G916">
            <v>5.0999999999999996</v>
          </cell>
          <cell r="H916">
            <v>6</v>
          </cell>
          <cell r="I916">
            <v>81</v>
          </cell>
          <cell r="J916">
            <v>0</v>
          </cell>
          <cell r="K916" t="str">
            <v>3.9000000000000004</v>
          </cell>
          <cell r="L916">
            <v>56.08</v>
          </cell>
          <cell r="M916">
            <v>14</v>
          </cell>
          <cell r="N916">
            <v>30.36</v>
          </cell>
          <cell r="O916">
            <v>1.7</v>
          </cell>
          <cell r="S916">
            <v>4.0999999999999996</v>
          </cell>
          <cell r="T916">
            <v>4</v>
          </cell>
          <cell r="U916">
            <v>4</v>
          </cell>
        </row>
        <row r="917">
          <cell r="B917" t="str">
            <v>Male</v>
          </cell>
          <cell r="F917">
            <v>0</v>
          </cell>
          <cell r="G917">
            <v>21.8</v>
          </cell>
          <cell r="H917">
            <v>3.4</v>
          </cell>
          <cell r="I917">
            <v>65</v>
          </cell>
          <cell r="J917">
            <v>2</v>
          </cell>
          <cell r="K917">
            <v>3</v>
          </cell>
          <cell r="L917">
            <v>107.4</v>
          </cell>
          <cell r="M917">
            <v>26</v>
          </cell>
          <cell r="N917">
            <v>64.599999999999994</v>
          </cell>
          <cell r="O917">
            <v>7.8</v>
          </cell>
          <cell r="P917">
            <v>3.2</v>
          </cell>
          <cell r="S917">
            <v>21.6</v>
          </cell>
          <cell r="U917">
            <v>2</v>
          </cell>
        </row>
        <row r="918">
          <cell r="B918" t="str">
            <v>Male</v>
          </cell>
          <cell r="F918">
            <v>9</v>
          </cell>
          <cell r="G918">
            <v>33.9</v>
          </cell>
          <cell r="H918">
            <v>12.6</v>
          </cell>
          <cell r="I918">
            <v>43.7</v>
          </cell>
          <cell r="J918">
            <v>6</v>
          </cell>
          <cell r="K918">
            <v>15</v>
          </cell>
          <cell r="L918">
            <v>43.81</v>
          </cell>
          <cell r="N918">
            <v>33.6</v>
          </cell>
          <cell r="O918">
            <v>5.3</v>
          </cell>
          <cell r="P918">
            <v>28.9</v>
          </cell>
          <cell r="S918">
            <v>37.1</v>
          </cell>
          <cell r="T918">
            <v>25</v>
          </cell>
          <cell r="U918">
            <v>3</v>
          </cell>
        </row>
        <row r="919">
          <cell r="B919" t="str">
            <v>Female</v>
          </cell>
          <cell r="F919">
            <v>2</v>
          </cell>
          <cell r="G919">
            <v>26.8</v>
          </cell>
          <cell r="H919">
            <v>5.7</v>
          </cell>
          <cell r="I919">
            <v>68</v>
          </cell>
          <cell r="J919">
            <v>1</v>
          </cell>
          <cell r="K919">
            <v>14</v>
          </cell>
          <cell r="L919">
            <v>82.09</v>
          </cell>
          <cell r="M919">
            <v>29</v>
          </cell>
          <cell r="N919">
            <v>68.5</v>
          </cell>
          <cell r="O919">
            <v>11.3</v>
          </cell>
          <cell r="P919">
            <v>26.4</v>
          </cell>
          <cell r="S919">
            <v>2</v>
          </cell>
          <cell r="T919">
            <v>12.2</v>
          </cell>
          <cell r="U919">
            <v>4</v>
          </cell>
        </row>
        <row r="920">
          <cell r="B920" t="str">
            <v>Female</v>
          </cell>
          <cell r="F920">
            <v>13</v>
          </cell>
          <cell r="G920">
            <v>21.3</v>
          </cell>
          <cell r="H920">
            <v>8.4</v>
          </cell>
          <cell r="I920">
            <v>73.099999999999994</v>
          </cell>
          <cell r="J920">
            <v>0</v>
          </cell>
          <cell r="K920">
            <v>9</v>
          </cell>
          <cell r="L920">
            <v>97.49</v>
          </cell>
          <cell r="M920">
            <v>68</v>
          </cell>
          <cell r="O920">
            <v>1</v>
          </cell>
          <cell r="P920">
            <v>0</v>
          </cell>
          <cell r="S920">
            <v>10.7</v>
          </cell>
          <cell r="T920">
            <v>12.6</v>
          </cell>
          <cell r="U920">
            <v>5</v>
          </cell>
        </row>
        <row r="921">
          <cell r="B921" t="str">
            <v>Male</v>
          </cell>
          <cell r="F921">
            <v>34</v>
          </cell>
          <cell r="G921">
            <v>55.4</v>
          </cell>
          <cell r="H921">
            <v>19.399999999999999</v>
          </cell>
          <cell r="I921">
            <v>6.1</v>
          </cell>
          <cell r="J921">
            <v>12</v>
          </cell>
          <cell r="K921">
            <v>24</v>
          </cell>
          <cell r="L921">
            <v>62.53</v>
          </cell>
          <cell r="M921">
            <v>22</v>
          </cell>
          <cell r="N921">
            <v>71</v>
          </cell>
          <cell r="O921">
            <v>1.5</v>
          </cell>
          <cell r="P921">
            <v>56.7</v>
          </cell>
          <cell r="S921">
            <v>100</v>
          </cell>
          <cell r="T921">
            <v>47.3</v>
          </cell>
          <cell r="U921">
            <v>3</v>
          </cell>
        </row>
        <row r="922">
          <cell r="B922" t="str">
            <v>Female</v>
          </cell>
          <cell r="F922">
            <v>9</v>
          </cell>
          <cell r="G922">
            <v>18.899999999999999</v>
          </cell>
          <cell r="H922">
            <v>5.4</v>
          </cell>
          <cell r="I922">
            <v>66.3</v>
          </cell>
          <cell r="J922">
            <v>1</v>
          </cell>
          <cell r="K922">
            <v>15</v>
          </cell>
          <cell r="L922">
            <v>132.88</v>
          </cell>
          <cell r="M922">
            <v>61</v>
          </cell>
          <cell r="N922">
            <v>44</v>
          </cell>
          <cell r="O922">
            <v>3.4</v>
          </cell>
          <cell r="P922">
            <v>19.7</v>
          </cell>
          <cell r="S922">
            <v>12.5</v>
          </cell>
          <cell r="T922">
            <v>15.2</v>
          </cell>
          <cell r="U922">
            <v>2</v>
          </cell>
        </row>
        <row r="923">
          <cell r="B923" t="str">
            <v>Female</v>
          </cell>
          <cell r="F923">
            <v>13</v>
          </cell>
          <cell r="G923">
            <v>20.8</v>
          </cell>
          <cell r="H923">
            <v>9.6999999999999993</v>
          </cell>
          <cell r="I923">
            <v>59.4</v>
          </cell>
          <cell r="J923">
            <v>6</v>
          </cell>
          <cell r="K923">
            <v>12</v>
          </cell>
          <cell r="L923">
            <v>77.41</v>
          </cell>
          <cell r="M923">
            <v>16</v>
          </cell>
          <cell r="N923">
            <v>24.7</v>
          </cell>
          <cell r="O923">
            <v>11.6</v>
          </cell>
          <cell r="P923">
            <v>25.1</v>
          </cell>
          <cell r="S923">
            <v>35.200000000000003</v>
          </cell>
          <cell r="T923">
            <v>19.3</v>
          </cell>
          <cell r="U923">
            <v>2</v>
          </cell>
        </row>
        <row r="924">
          <cell r="B924" t="str">
            <v>Female</v>
          </cell>
          <cell r="F924">
            <v>9</v>
          </cell>
          <cell r="G924">
            <v>24.8</v>
          </cell>
          <cell r="H924">
            <v>6.9</v>
          </cell>
          <cell r="I924">
            <v>61.2</v>
          </cell>
          <cell r="J924">
            <v>4</v>
          </cell>
          <cell r="K924">
            <v>14</v>
          </cell>
          <cell r="L924">
            <v>150.08000000000001</v>
          </cell>
          <cell r="M924">
            <v>11</v>
          </cell>
          <cell r="N924">
            <v>66.3</v>
          </cell>
          <cell r="O924">
            <v>5.0999999999999996</v>
          </cell>
          <cell r="P924">
            <v>19.3</v>
          </cell>
          <cell r="T924">
            <v>7.2</v>
          </cell>
          <cell r="U924">
            <v>2</v>
          </cell>
        </row>
        <row r="925">
          <cell r="B925" t="str">
            <v>Female</v>
          </cell>
          <cell r="F925">
            <v>14</v>
          </cell>
          <cell r="G925">
            <v>26.5</v>
          </cell>
          <cell r="H925">
            <v>12.3</v>
          </cell>
          <cell r="I925">
            <v>63.4</v>
          </cell>
          <cell r="J925">
            <v>7</v>
          </cell>
          <cell r="K925">
            <v>19</v>
          </cell>
          <cell r="L925">
            <v>149.69</v>
          </cell>
          <cell r="M925">
            <v>38</v>
          </cell>
          <cell r="N925">
            <v>46.3</v>
          </cell>
          <cell r="P925">
            <v>22.7</v>
          </cell>
          <cell r="S925">
            <v>41.6</v>
          </cell>
          <cell r="T925">
            <v>27.8</v>
          </cell>
          <cell r="U925">
            <v>2</v>
          </cell>
        </row>
        <row r="926">
          <cell r="B926" t="str">
            <v>Male</v>
          </cell>
          <cell r="F926">
            <v>21</v>
          </cell>
          <cell r="G926">
            <v>46.5</v>
          </cell>
          <cell r="I926">
            <v>36.5</v>
          </cell>
          <cell r="J926">
            <v>6</v>
          </cell>
          <cell r="K926">
            <v>18</v>
          </cell>
          <cell r="L926">
            <v>83.28</v>
          </cell>
          <cell r="M926">
            <v>0</v>
          </cell>
          <cell r="N926">
            <v>57.8</v>
          </cell>
          <cell r="O926">
            <v>5.6</v>
          </cell>
          <cell r="P926">
            <v>30.4</v>
          </cell>
          <cell r="S926">
            <v>45.4</v>
          </cell>
          <cell r="T926">
            <v>28.1</v>
          </cell>
          <cell r="U926">
            <v>2</v>
          </cell>
        </row>
        <row r="927">
          <cell r="B927" t="str">
            <v>Male</v>
          </cell>
          <cell r="F927">
            <v>14</v>
          </cell>
          <cell r="G927">
            <v>22.6</v>
          </cell>
          <cell r="H927">
            <v>8.8000000000000007</v>
          </cell>
          <cell r="I927">
            <v>68</v>
          </cell>
          <cell r="J927">
            <v>3</v>
          </cell>
          <cell r="K927">
            <v>8</v>
          </cell>
          <cell r="L927">
            <v>102.3</v>
          </cell>
          <cell r="M927">
            <v>0</v>
          </cell>
          <cell r="N927">
            <v>57.5</v>
          </cell>
          <cell r="O927">
            <v>0.6</v>
          </cell>
          <cell r="P927">
            <v>22.2</v>
          </cell>
          <cell r="U927">
            <v>2</v>
          </cell>
        </row>
        <row r="928">
          <cell r="B928" t="str">
            <v>Female</v>
          </cell>
          <cell r="F928">
            <v>20</v>
          </cell>
          <cell r="G928">
            <v>44.9</v>
          </cell>
          <cell r="H928">
            <v>13.3</v>
          </cell>
          <cell r="I928">
            <v>52.8</v>
          </cell>
          <cell r="J928">
            <v>8</v>
          </cell>
          <cell r="K928">
            <v>27.3</v>
          </cell>
          <cell r="L928">
            <v>123.94</v>
          </cell>
          <cell r="M928">
            <v>7</v>
          </cell>
          <cell r="N928">
            <v>60.84</v>
          </cell>
          <cell r="O928">
            <v>14.9</v>
          </cell>
          <cell r="P928">
            <v>40</v>
          </cell>
          <cell r="S928">
            <v>76.900000000000006</v>
          </cell>
          <cell r="T928">
            <v>29.8</v>
          </cell>
          <cell r="U928">
            <v>3</v>
          </cell>
        </row>
        <row r="929">
          <cell r="B929" t="str">
            <v>Female</v>
          </cell>
          <cell r="F929">
            <v>0</v>
          </cell>
          <cell r="H929">
            <v>3.9</v>
          </cell>
          <cell r="I929">
            <v>75.5</v>
          </cell>
          <cell r="J929">
            <v>2</v>
          </cell>
          <cell r="K929">
            <v>6.5</v>
          </cell>
          <cell r="L929">
            <v>45.47</v>
          </cell>
          <cell r="M929">
            <v>4</v>
          </cell>
          <cell r="N929">
            <v>83.28</v>
          </cell>
          <cell r="O929">
            <v>7.5</v>
          </cell>
          <cell r="P929">
            <v>0</v>
          </cell>
          <cell r="S929">
            <v>0</v>
          </cell>
          <cell r="T929">
            <v>5.6</v>
          </cell>
          <cell r="U929">
            <v>1</v>
          </cell>
        </row>
        <row r="930">
          <cell r="B930" t="str">
            <v>Female</v>
          </cell>
          <cell r="F930">
            <v>3</v>
          </cell>
          <cell r="G930">
            <v>19.2</v>
          </cell>
          <cell r="H930">
            <v>7.1</v>
          </cell>
          <cell r="I930">
            <v>59.3</v>
          </cell>
          <cell r="K930">
            <v>8</v>
          </cell>
          <cell r="L930">
            <v>155</v>
          </cell>
          <cell r="M930">
            <v>58</v>
          </cell>
          <cell r="N930">
            <v>56</v>
          </cell>
          <cell r="O930">
            <v>3.7</v>
          </cell>
          <cell r="S930">
            <v>16.8</v>
          </cell>
          <cell r="T930">
            <v>20.5</v>
          </cell>
          <cell r="U930">
            <v>1</v>
          </cell>
        </row>
        <row r="931">
          <cell r="B931" t="str">
            <v>Female</v>
          </cell>
          <cell r="F931">
            <v>23</v>
          </cell>
          <cell r="G931">
            <v>39</v>
          </cell>
          <cell r="H931">
            <v>13.5</v>
          </cell>
          <cell r="I931">
            <v>43.6</v>
          </cell>
          <cell r="J931">
            <v>4</v>
          </cell>
          <cell r="K931">
            <v>20</v>
          </cell>
          <cell r="L931">
            <v>121.5</v>
          </cell>
          <cell r="M931">
            <v>48</v>
          </cell>
          <cell r="N931">
            <v>46.4</v>
          </cell>
          <cell r="O931">
            <v>8</v>
          </cell>
          <cell r="P931">
            <v>21.3</v>
          </cell>
          <cell r="S931">
            <v>53.9</v>
          </cell>
          <cell r="T931">
            <v>31.5</v>
          </cell>
          <cell r="U931">
            <v>2</v>
          </cell>
        </row>
        <row r="932">
          <cell r="B932" t="str">
            <v>Male</v>
          </cell>
          <cell r="F932">
            <v>8</v>
          </cell>
          <cell r="G932">
            <v>33.799999999999997</v>
          </cell>
          <cell r="H932">
            <v>7.1</v>
          </cell>
          <cell r="I932">
            <v>45.4</v>
          </cell>
          <cell r="K932">
            <v>13</v>
          </cell>
          <cell r="L932">
            <v>56.07</v>
          </cell>
          <cell r="M932">
            <v>5</v>
          </cell>
          <cell r="N932">
            <v>41.6</v>
          </cell>
          <cell r="O932">
            <v>7.3</v>
          </cell>
          <cell r="S932">
            <v>27.3</v>
          </cell>
          <cell r="T932">
            <v>20.3</v>
          </cell>
          <cell r="U932">
            <v>1</v>
          </cell>
        </row>
        <row r="933">
          <cell r="B933" t="str">
            <v>Male</v>
          </cell>
          <cell r="F933">
            <v>0</v>
          </cell>
          <cell r="G933">
            <v>21.1</v>
          </cell>
          <cell r="H933">
            <v>6.7</v>
          </cell>
          <cell r="I933">
            <v>64</v>
          </cell>
          <cell r="J933">
            <v>4</v>
          </cell>
          <cell r="K933">
            <v>9</v>
          </cell>
          <cell r="L933">
            <v>207.28</v>
          </cell>
          <cell r="M933">
            <v>4</v>
          </cell>
          <cell r="N933">
            <v>19.399999999999999</v>
          </cell>
          <cell r="O933">
            <v>8.8000000000000007</v>
          </cell>
          <cell r="P933">
            <v>1.3</v>
          </cell>
          <cell r="S933">
            <v>0</v>
          </cell>
          <cell r="T933">
            <v>2.5</v>
          </cell>
          <cell r="U933">
            <v>1</v>
          </cell>
        </row>
        <row r="934">
          <cell r="B934" t="str">
            <v>Male</v>
          </cell>
          <cell r="F934">
            <v>17</v>
          </cell>
          <cell r="G934">
            <v>25</v>
          </cell>
          <cell r="H934">
            <v>6.9</v>
          </cell>
          <cell r="I934">
            <v>62.2</v>
          </cell>
          <cell r="K934">
            <v>14</v>
          </cell>
          <cell r="L934">
            <v>107.19</v>
          </cell>
          <cell r="M934">
            <v>21</v>
          </cell>
          <cell r="N934">
            <v>69.099999999999994</v>
          </cell>
          <cell r="O934">
            <v>4</v>
          </cell>
          <cell r="P934">
            <v>27.8</v>
          </cell>
          <cell r="S934">
            <v>13.1</v>
          </cell>
          <cell r="T934">
            <v>18</v>
          </cell>
          <cell r="U934">
            <v>3</v>
          </cell>
        </row>
        <row r="935">
          <cell r="B935" t="str">
            <v>Female</v>
          </cell>
          <cell r="F935">
            <v>5</v>
          </cell>
          <cell r="G935">
            <v>21.6</v>
          </cell>
          <cell r="H935">
            <v>11.2</v>
          </cell>
          <cell r="I935">
            <v>49.7</v>
          </cell>
          <cell r="J935">
            <v>3</v>
          </cell>
          <cell r="K935">
            <v>11</v>
          </cell>
          <cell r="L935">
            <v>58.62</v>
          </cell>
          <cell r="M935">
            <v>8</v>
          </cell>
          <cell r="N935">
            <v>51.2</v>
          </cell>
          <cell r="P935">
            <v>23.4</v>
          </cell>
          <cell r="T935">
            <v>19.2</v>
          </cell>
          <cell r="U935">
            <v>2</v>
          </cell>
        </row>
        <row r="936">
          <cell r="B936" t="str">
            <v>Male</v>
          </cell>
          <cell r="F936">
            <v>20</v>
          </cell>
          <cell r="G936">
            <v>29.9</v>
          </cell>
          <cell r="H936">
            <v>12.1</v>
          </cell>
          <cell r="I936">
            <v>33.4</v>
          </cell>
          <cell r="J936">
            <v>8</v>
          </cell>
          <cell r="K936">
            <v>12</v>
          </cell>
          <cell r="L936">
            <v>216.07</v>
          </cell>
          <cell r="M936">
            <v>10</v>
          </cell>
          <cell r="N936">
            <v>61.7</v>
          </cell>
          <cell r="O936">
            <v>5.3</v>
          </cell>
          <cell r="P936">
            <v>11.9</v>
          </cell>
          <cell r="S936">
            <v>25.8</v>
          </cell>
          <cell r="U936">
            <v>2</v>
          </cell>
        </row>
        <row r="937">
          <cell r="B937" t="str">
            <v>Female</v>
          </cell>
          <cell r="F937">
            <v>2</v>
          </cell>
          <cell r="G937">
            <v>16.2</v>
          </cell>
          <cell r="H937">
            <v>5.7</v>
          </cell>
          <cell r="I937">
            <v>68.3</v>
          </cell>
          <cell r="J937">
            <v>1</v>
          </cell>
          <cell r="K937">
            <v>6</v>
          </cell>
          <cell r="L937">
            <v>79.41</v>
          </cell>
          <cell r="M937">
            <v>1</v>
          </cell>
          <cell r="N937">
            <v>26.3</v>
          </cell>
          <cell r="O937">
            <v>7.2</v>
          </cell>
          <cell r="P937">
            <v>6.1</v>
          </cell>
          <cell r="S937">
            <v>33</v>
          </cell>
          <cell r="T937">
            <v>12.7</v>
          </cell>
          <cell r="U937">
            <v>4</v>
          </cell>
        </row>
        <row r="938">
          <cell r="B938" t="str">
            <v>Female</v>
          </cell>
          <cell r="F938">
            <v>17</v>
          </cell>
          <cell r="G938">
            <v>33.799999999999997</v>
          </cell>
          <cell r="H938">
            <v>12.7</v>
          </cell>
          <cell r="I938">
            <v>42.6</v>
          </cell>
          <cell r="K938">
            <v>19.5</v>
          </cell>
          <cell r="L938">
            <v>139.91999999999999</v>
          </cell>
          <cell r="M938">
            <v>59</v>
          </cell>
          <cell r="N938">
            <v>48.48</v>
          </cell>
          <cell r="O938">
            <v>7.5</v>
          </cell>
          <cell r="P938">
            <v>34.299999999999997</v>
          </cell>
          <cell r="S938">
            <v>55.7</v>
          </cell>
          <cell r="T938">
            <v>26.5</v>
          </cell>
          <cell r="U938">
            <v>2</v>
          </cell>
        </row>
        <row r="939">
          <cell r="B939" t="str">
            <v>Male</v>
          </cell>
          <cell r="F939">
            <v>16</v>
          </cell>
          <cell r="G939">
            <v>39.799999999999997</v>
          </cell>
          <cell r="H939">
            <v>10.199999999999999</v>
          </cell>
          <cell r="I939">
            <v>47.2</v>
          </cell>
          <cell r="J939">
            <v>10</v>
          </cell>
          <cell r="K939">
            <v>19</v>
          </cell>
          <cell r="L939">
            <v>125.59</v>
          </cell>
          <cell r="M939">
            <v>66</v>
          </cell>
          <cell r="N939">
            <v>36.700000000000003</v>
          </cell>
          <cell r="O939">
            <v>6.5</v>
          </cell>
          <cell r="P939">
            <v>21.8</v>
          </cell>
          <cell r="S939">
            <v>45.6</v>
          </cell>
          <cell r="T939">
            <v>24.7</v>
          </cell>
        </row>
        <row r="940">
          <cell r="B940" t="str">
            <v>Male</v>
          </cell>
          <cell r="F940">
            <v>13</v>
          </cell>
          <cell r="G940">
            <v>11.9</v>
          </cell>
          <cell r="H940">
            <v>6.7</v>
          </cell>
          <cell r="I940">
            <v>63.1</v>
          </cell>
          <cell r="K940">
            <v>4</v>
          </cell>
          <cell r="L940">
            <v>159.96</v>
          </cell>
          <cell r="M940">
            <v>6</v>
          </cell>
          <cell r="N940">
            <v>15</v>
          </cell>
          <cell r="O940">
            <v>1</v>
          </cell>
          <cell r="P940">
            <v>6.8</v>
          </cell>
          <cell r="S940">
            <v>29</v>
          </cell>
          <cell r="T940">
            <v>10.4</v>
          </cell>
          <cell r="U940">
            <v>5</v>
          </cell>
        </row>
        <row r="941">
          <cell r="B941" t="str">
            <v>Female</v>
          </cell>
          <cell r="F941">
            <v>5</v>
          </cell>
          <cell r="G941">
            <v>16.7</v>
          </cell>
          <cell r="I941">
            <v>67.900000000000006</v>
          </cell>
          <cell r="K941" t="str">
            <v>3.9000000000000004</v>
          </cell>
          <cell r="L941">
            <v>68.760000000000005</v>
          </cell>
          <cell r="M941">
            <v>1</v>
          </cell>
          <cell r="N941">
            <v>74.040000000000006</v>
          </cell>
          <cell r="O941">
            <v>15.8</v>
          </cell>
          <cell r="P941">
            <v>7.2</v>
          </cell>
          <cell r="S941">
            <v>18.600000000000001</v>
          </cell>
          <cell r="T941">
            <v>10.6</v>
          </cell>
          <cell r="U941">
            <v>1</v>
          </cell>
        </row>
        <row r="942">
          <cell r="B942" t="str">
            <v>Male</v>
          </cell>
          <cell r="F942">
            <v>9</v>
          </cell>
          <cell r="G942">
            <v>21.2</v>
          </cell>
          <cell r="H942">
            <v>7</v>
          </cell>
          <cell r="I942">
            <v>44.1</v>
          </cell>
          <cell r="J942">
            <v>2</v>
          </cell>
          <cell r="K942">
            <v>13</v>
          </cell>
          <cell r="L942">
            <v>61.56</v>
          </cell>
          <cell r="M942">
            <v>19</v>
          </cell>
          <cell r="N942" t="str">
            <v>52.559999999999995</v>
          </cell>
          <cell r="O942">
            <v>5</v>
          </cell>
          <cell r="P942">
            <v>15</v>
          </cell>
          <cell r="S942">
            <v>19.899999999999999</v>
          </cell>
          <cell r="T942">
            <v>23.7</v>
          </cell>
          <cell r="U942">
            <v>2</v>
          </cell>
        </row>
        <row r="943">
          <cell r="B943" t="str">
            <v>Female</v>
          </cell>
          <cell r="F943">
            <v>7</v>
          </cell>
          <cell r="G943">
            <v>25.8</v>
          </cell>
          <cell r="H943">
            <v>9.6999999999999993</v>
          </cell>
          <cell r="I943">
            <v>57.1</v>
          </cell>
          <cell r="J943">
            <v>5</v>
          </cell>
          <cell r="K943">
            <v>9</v>
          </cell>
          <cell r="L943">
            <v>53.66</v>
          </cell>
          <cell r="M943">
            <v>39</v>
          </cell>
          <cell r="N943">
            <v>67.099999999999994</v>
          </cell>
          <cell r="O943">
            <v>5.8</v>
          </cell>
          <cell r="P943">
            <v>11.1</v>
          </cell>
          <cell r="S943">
            <v>47.1</v>
          </cell>
          <cell r="U943">
            <v>3</v>
          </cell>
        </row>
        <row r="944">
          <cell r="B944" t="str">
            <v>Male</v>
          </cell>
          <cell r="F944">
            <v>15</v>
          </cell>
          <cell r="G944">
            <v>26.7</v>
          </cell>
          <cell r="H944">
            <v>6.4</v>
          </cell>
          <cell r="I944">
            <v>70.900000000000006</v>
          </cell>
          <cell r="J944">
            <v>3</v>
          </cell>
          <cell r="K944">
            <v>12</v>
          </cell>
          <cell r="L944">
            <v>81.680000000000007</v>
          </cell>
          <cell r="M944">
            <v>8</v>
          </cell>
          <cell r="N944">
            <v>13</v>
          </cell>
          <cell r="O944">
            <v>10.6</v>
          </cell>
          <cell r="P944">
            <v>5.6</v>
          </cell>
          <cell r="S944">
            <v>40.200000000000003</v>
          </cell>
          <cell r="T944">
            <v>24.4</v>
          </cell>
          <cell r="U944">
            <v>2</v>
          </cell>
        </row>
        <row r="945">
          <cell r="B945" t="str">
            <v>Male</v>
          </cell>
          <cell r="F945">
            <v>9</v>
          </cell>
          <cell r="G945">
            <v>41.3</v>
          </cell>
          <cell r="H945">
            <v>14</v>
          </cell>
          <cell r="I945">
            <v>29.7</v>
          </cell>
          <cell r="J945">
            <v>9</v>
          </cell>
          <cell r="K945">
            <v>24</v>
          </cell>
          <cell r="L945">
            <v>81.11</v>
          </cell>
          <cell r="M945">
            <v>20</v>
          </cell>
          <cell r="N945">
            <v>20.8</v>
          </cell>
          <cell r="O945">
            <v>13.8</v>
          </cell>
          <cell r="P945">
            <v>36.4</v>
          </cell>
          <cell r="S945">
            <v>36.200000000000003</v>
          </cell>
          <cell r="T945">
            <v>31.7</v>
          </cell>
          <cell r="U945">
            <v>1</v>
          </cell>
        </row>
        <row r="946">
          <cell r="B946" t="str">
            <v>Male</v>
          </cell>
          <cell r="F946">
            <v>14</v>
          </cell>
          <cell r="G946">
            <v>28.9</v>
          </cell>
          <cell r="H946">
            <v>5.0999999999999996</v>
          </cell>
          <cell r="I946">
            <v>58.7</v>
          </cell>
          <cell r="J946">
            <v>5</v>
          </cell>
          <cell r="K946">
            <v>10</v>
          </cell>
          <cell r="L946">
            <v>55.94</v>
          </cell>
          <cell r="M946">
            <v>8</v>
          </cell>
          <cell r="N946">
            <v>38.9</v>
          </cell>
          <cell r="O946">
            <v>0.2</v>
          </cell>
          <cell r="P946">
            <v>21.9</v>
          </cell>
          <cell r="T946">
            <v>13.3</v>
          </cell>
          <cell r="U946">
            <v>4</v>
          </cell>
        </row>
        <row r="947">
          <cell r="B947" t="str">
            <v>Female</v>
          </cell>
          <cell r="F947">
            <v>7</v>
          </cell>
          <cell r="G947">
            <v>21.2</v>
          </cell>
          <cell r="H947">
            <v>4.5</v>
          </cell>
          <cell r="I947">
            <v>50.9</v>
          </cell>
          <cell r="J947">
            <v>2</v>
          </cell>
          <cell r="K947">
            <v>10</v>
          </cell>
          <cell r="L947">
            <v>91.56</v>
          </cell>
          <cell r="M947">
            <v>2</v>
          </cell>
          <cell r="N947">
            <v>40.799999999999997</v>
          </cell>
          <cell r="O947">
            <v>2.2999999999999998</v>
          </cell>
          <cell r="P947">
            <v>23</v>
          </cell>
          <cell r="S947">
            <v>29.6</v>
          </cell>
          <cell r="U947">
            <v>2</v>
          </cell>
        </row>
        <row r="948">
          <cell r="B948" t="str">
            <v>Female</v>
          </cell>
          <cell r="F948">
            <v>22</v>
          </cell>
          <cell r="G948">
            <v>42.5</v>
          </cell>
          <cell r="H948">
            <v>9.4</v>
          </cell>
          <cell r="I948">
            <v>47.8</v>
          </cell>
          <cell r="J948">
            <v>8</v>
          </cell>
          <cell r="K948">
            <v>21</v>
          </cell>
          <cell r="L948">
            <v>84.62</v>
          </cell>
          <cell r="M948">
            <v>15</v>
          </cell>
          <cell r="N948">
            <v>12.7</v>
          </cell>
          <cell r="O948">
            <v>7</v>
          </cell>
          <cell r="P948">
            <v>22.1</v>
          </cell>
          <cell r="S948">
            <v>49.6</v>
          </cell>
          <cell r="T948">
            <v>35</v>
          </cell>
          <cell r="U948">
            <v>2</v>
          </cell>
        </row>
        <row r="949">
          <cell r="B949" t="str">
            <v>Female</v>
          </cell>
          <cell r="F949">
            <v>4</v>
          </cell>
          <cell r="G949">
            <v>10.9</v>
          </cell>
          <cell r="H949">
            <v>2.1</v>
          </cell>
          <cell r="I949">
            <v>81.3</v>
          </cell>
          <cell r="J949">
            <v>1</v>
          </cell>
          <cell r="K949">
            <v>4</v>
          </cell>
          <cell r="L949">
            <v>175.53</v>
          </cell>
          <cell r="M949">
            <v>15</v>
          </cell>
          <cell r="N949">
            <v>59.8</v>
          </cell>
          <cell r="O949">
            <v>2.4</v>
          </cell>
          <cell r="P949">
            <v>13.2</v>
          </cell>
          <cell r="S949">
            <v>17</v>
          </cell>
          <cell r="T949">
            <v>8.6999999999999993</v>
          </cell>
          <cell r="U949">
            <v>3</v>
          </cell>
        </row>
        <row r="950">
          <cell r="B950" t="str">
            <v>Male</v>
          </cell>
          <cell r="F950">
            <v>20</v>
          </cell>
          <cell r="G950">
            <v>41.1</v>
          </cell>
          <cell r="H950">
            <v>15.1</v>
          </cell>
          <cell r="I950">
            <v>41.5</v>
          </cell>
          <cell r="J950">
            <v>11</v>
          </cell>
          <cell r="K950">
            <v>18</v>
          </cell>
          <cell r="L950">
            <v>88.74</v>
          </cell>
          <cell r="M950">
            <v>19</v>
          </cell>
          <cell r="N950">
            <v>35.700000000000003</v>
          </cell>
          <cell r="P950">
            <v>62.4</v>
          </cell>
          <cell r="S950">
            <v>34.1</v>
          </cell>
          <cell r="T950">
            <v>40.6</v>
          </cell>
          <cell r="U950">
            <v>3</v>
          </cell>
        </row>
        <row r="951">
          <cell r="B951" t="str">
            <v>Female</v>
          </cell>
          <cell r="F951">
            <v>16</v>
          </cell>
          <cell r="G951">
            <v>33.9</v>
          </cell>
          <cell r="H951">
            <v>7.5</v>
          </cell>
          <cell r="I951">
            <v>53.1</v>
          </cell>
          <cell r="J951">
            <v>7</v>
          </cell>
          <cell r="K951">
            <v>11</v>
          </cell>
          <cell r="L951">
            <v>152.15</v>
          </cell>
          <cell r="M951">
            <v>49</v>
          </cell>
          <cell r="N951">
            <v>7</v>
          </cell>
          <cell r="O951">
            <v>15</v>
          </cell>
          <cell r="P951">
            <v>23.8</v>
          </cell>
          <cell r="S951">
            <v>48.3</v>
          </cell>
          <cell r="T951">
            <v>26.7</v>
          </cell>
          <cell r="U951">
            <v>1</v>
          </cell>
        </row>
        <row r="952">
          <cell r="B952" t="str">
            <v>Male</v>
          </cell>
          <cell r="F952">
            <v>6</v>
          </cell>
          <cell r="G952">
            <v>30.3</v>
          </cell>
          <cell r="H952">
            <v>8.6</v>
          </cell>
          <cell r="I952">
            <v>45.8</v>
          </cell>
          <cell r="J952">
            <v>7</v>
          </cell>
          <cell r="K952">
            <v>14</v>
          </cell>
          <cell r="L952">
            <v>50.05</v>
          </cell>
          <cell r="M952">
            <v>5</v>
          </cell>
          <cell r="N952">
            <v>47.3</v>
          </cell>
          <cell r="O952">
            <v>11.8</v>
          </cell>
          <cell r="P952">
            <v>20.399999999999999</v>
          </cell>
          <cell r="S952">
            <v>42.5</v>
          </cell>
          <cell r="T952">
            <v>10.5</v>
          </cell>
          <cell r="U952">
            <v>3</v>
          </cell>
        </row>
        <row r="953">
          <cell r="B953" t="str">
            <v>Female</v>
          </cell>
          <cell r="F953">
            <v>18</v>
          </cell>
          <cell r="G953">
            <v>19.5</v>
          </cell>
          <cell r="H953">
            <v>11.1</v>
          </cell>
          <cell r="I953">
            <v>55.5</v>
          </cell>
          <cell r="J953">
            <v>8</v>
          </cell>
          <cell r="K953">
            <v>14</v>
          </cell>
          <cell r="L953">
            <v>110.72</v>
          </cell>
          <cell r="M953">
            <v>34</v>
          </cell>
          <cell r="N953">
            <v>65.3</v>
          </cell>
          <cell r="O953">
            <v>9.5</v>
          </cell>
          <cell r="P953">
            <v>13.6</v>
          </cell>
          <cell r="S953">
            <v>47.6</v>
          </cell>
          <cell r="T953">
            <v>25</v>
          </cell>
          <cell r="U953">
            <v>1</v>
          </cell>
        </row>
        <row r="954">
          <cell r="B954" t="str">
            <v>Female</v>
          </cell>
          <cell r="F954">
            <v>10</v>
          </cell>
          <cell r="G954">
            <v>40.5</v>
          </cell>
          <cell r="H954">
            <v>10.1</v>
          </cell>
          <cell r="I954">
            <v>46.3</v>
          </cell>
          <cell r="J954">
            <v>5</v>
          </cell>
          <cell r="K954">
            <v>18</v>
          </cell>
          <cell r="L954">
            <v>140.25</v>
          </cell>
          <cell r="M954">
            <v>14</v>
          </cell>
          <cell r="N954">
            <v>52.7</v>
          </cell>
          <cell r="O954">
            <v>0.4</v>
          </cell>
          <cell r="P954">
            <v>29.4</v>
          </cell>
          <cell r="S954">
            <v>23.9</v>
          </cell>
          <cell r="T954">
            <v>27.2</v>
          </cell>
          <cell r="U954">
            <v>1</v>
          </cell>
        </row>
        <row r="955">
          <cell r="B955" t="str">
            <v>Female</v>
          </cell>
          <cell r="F955">
            <v>5</v>
          </cell>
          <cell r="G955">
            <v>16.2</v>
          </cell>
          <cell r="H955">
            <v>1.3</v>
          </cell>
          <cell r="I955">
            <v>60.1</v>
          </cell>
          <cell r="K955">
            <v>7</v>
          </cell>
          <cell r="L955">
            <v>187.28</v>
          </cell>
          <cell r="M955">
            <v>102</v>
          </cell>
          <cell r="N955">
            <v>69.8</v>
          </cell>
          <cell r="O955">
            <v>7.7</v>
          </cell>
          <cell r="P955">
            <v>25.5</v>
          </cell>
          <cell r="S955">
            <v>29.7</v>
          </cell>
          <cell r="T955">
            <v>4.9000000000000004</v>
          </cell>
          <cell r="U955">
            <v>2</v>
          </cell>
        </row>
        <row r="956">
          <cell r="B956" t="str">
            <v>Female</v>
          </cell>
          <cell r="F956">
            <v>19</v>
          </cell>
          <cell r="G956">
            <v>41.4</v>
          </cell>
          <cell r="H956">
            <v>16.899999999999999</v>
          </cell>
          <cell r="I956">
            <v>47.5</v>
          </cell>
          <cell r="J956">
            <v>3</v>
          </cell>
          <cell r="K956">
            <v>20</v>
          </cell>
          <cell r="L956">
            <v>171.92</v>
          </cell>
          <cell r="N956">
            <v>57.6</v>
          </cell>
          <cell r="O956">
            <v>1.3</v>
          </cell>
          <cell r="P956">
            <v>43.2</v>
          </cell>
          <cell r="S956">
            <v>47.4</v>
          </cell>
          <cell r="T956">
            <v>33.4</v>
          </cell>
          <cell r="U956">
            <v>2</v>
          </cell>
        </row>
        <row r="957">
          <cell r="B957" t="str">
            <v>Male</v>
          </cell>
          <cell r="F957">
            <v>7</v>
          </cell>
          <cell r="H957">
            <v>9.1999999999999993</v>
          </cell>
          <cell r="I957">
            <v>69.099999999999994</v>
          </cell>
          <cell r="J957">
            <v>5</v>
          </cell>
          <cell r="K957">
            <v>9</v>
          </cell>
          <cell r="L957">
            <v>106.87</v>
          </cell>
          <cell r="M957">
            <v>16</v>
          </cell>
          <cell r="N957">
            <v>47.8</v>
          </cell>
          <cell r="O957">
            <v>5.2</v>
          </cell>
          <cell r="P957">
            <v>32.6</v>
          </cell>
          <cell r="S957">
            <v>24.7</v>
          </cell>
          <cell r="T957">
            <v>15.9</v>
          </cell>
          <cell r="U957">
            <v>2</v>
          </cell>
        </row>
        <row r="958">
          <cell r="B958" t="str">
            <v>Female</v>
          </cell>
          <cell r="F958">
            <v>3</v>
          </cell>
          <cell r="H958">
            <v>7.6</v>
          </cell>
          <cell r="I958">
            <v>62.3</v>
          </cell>
          <cell r="J958">
            <v>5</v>
          </cell>
          <cell r="K958">
            <v>5</v>
          </cell>
          <cell r="L958">
            <v>135.22</v>
          </cell>
          <cell r="M958">
            <v>33</v>
          </cell>
          <cell r="N958">
            <v>20.3</v>
          </cell>
          <cell r="O958">
            <v>4</v>
          </cell>
          <cell r="P958">
            <v>5</v>
          </cell>
          <cell r="S958">
            <v>24.7</v>
          </cell>
          <cell r="T958">
            <v>11.8</v>
          </cell>
          <cell r="U958">
            <v>1</v>
          </cell>
        </row>
        <row r="959">
          <cell r="B959" t="str">
            <v>Male</v>
          </cell>
          <cell r="F959">
            <v>9</v>
          </cell>
          <cell r="G959">
            <v>31.3</v>
          </cell>
          <cell r="H959">
            <v>8.1</v>
          </cell>
          <cell r="I959">
            <v>53.8</v>
          </cell>
          <cell r="J959">
            <v>7</v>
          </cell>
          <cell r="K959">
            <v>15</v>
          </cell>
          <cell r="L959">
            <v>97.54</v>
          </cell>
          <cell r="M959">
            <v>6</v>
          </cell>
          <cell r="N959">
            <v>32.700000000000003</v>
          </cell>
          <cell r="P959">
            <v>25.1</v>
          </cell>
          <cell r="S959">
            <v>27.9</v>
          </cell>
          <cell r="T959">
            <v>17.899999999999999</v>
          </cell>
          <cell r="U959">
            <v>1</v>
          </cell>
        </row>
        <row r="960">
          <cell r="B960" t="str">
            <v>Female</v>
          </cell>
          <cell r="F960">
            <v>24</v>
          </cell>
          <cell r="G960">
            <v>57.5</v>
          </cell>
          <cell r="H960">
            <v>14.4</v>
          </cell>
          <cell r="I960">
            <v>18.399999999999999</v>
          </cell>
          <cell r="K960">
            <v>25</v>
          </cell>
          <cell r="L960">
            <v>78.760000000000005</v>
          </cell>
          <cell r="M960">
            <v>41</v>
          </cell>
          <cell r="N960">
            <v>45</v>
          </cell>
          <cell r="O960">
            <v>7.8</v>
          </cell>
          <cell r="P960">
            <v>59.3</v>
          </cell>
          <cell r="T960">
            <v>42.1</v>
          </cell>
          <cell r="U960">
            <v>2</v>
          </cell>
        </row>
        <row r="961">
          <cell r="B961" t="str">
            <v>Female</v>
          </cell>
          <cell r="F961">
            <v>5</v>
          </cell>
          <cell r="G961">
            <v>26.9</v>
          </cell>
          <cell r="H961">
            <v>10.199999999999999</v>
          </cell>
          <cell r="I961">
            <v>68.7</v>
          </cell>
          <cell r="J961">
            <v>2</v>
          </cell>
          <cell r="K961">
            <v>13</v>
          </cell>
          <cell r="L961">
            <v>76.11</v>
          </cell>
          <cell r="M961">
            <v>17</v>
          </cell>
          <cell r="N961">
            <v>67.2</v>
          </cell>
          <cell r="O961">
            <v>7</v>
          </cell>
          <cell r="P961">
            <v>9.3000000000000007</v>
          </cell>
          <cell r="S961">
            <v>23.5</v>
          </cell>
          <cell r="T961">
            <v>19.399999999999999</v>
          </cell>
          <cell r="U961">
            <v>4</v>
          </cell>
        </row>
        <row r="962">
          <cell r="B962" t="str">
            <v>Male</v>
          </cell>
          <cell r="F962">
            <v>1</v>
          </cell>
          <cell r="G962">
            <v>18.600000000000001</v>
          </cell>
          <cell r="H962">
            <v>11.2</v>
          </cell>
          <cell r="I962">
            <v>71.7</v>
          </cell>
          <cell r="J962">
            <v>1</v>
          </cell>
          <cell r="K962">
            <v>5</v>
          </cell>
          <cell r="L962">
            <v>176.22</v>
          </cell>
          <cell r="M962">
            <v>11</v>
          </cell>
          <cell r="O962">
            <v>4.7</v>
          </cell>
          <cell r="P962">
            <v>22.6</v>
          </cell>
          <cell r="S962">
            <v>38.4</v>
          </cell>
          <cell r="T962">
            <v>13.1</v>
          </cell>
          <cell r="U962">
            <v>4</v>
          </cell>
        </row>
        <row r="963">
          <cell r="B963" t="str">
            <v>Male</v>
          </cell>
          <cell r="F963">
            <v>0</v>
          </cell>
          <cell r="G963">
            <v>18.3</v>
          </cell>
          <cell r="H963">
            <v>8.6</v>
          </cell>
          <cell r="I963">
            <v>64.5</v>
          </cell>
          <cell r="K963">
            <v>5</v>
          </cell>
          <cell r="L963">
            <v>178.07</v>
          </cell>
          <cell r="M963">
            <v>3</v>
          </cell>
          <cell r="N963">
            <v>41.7</v>
          </cell>
          <cell r="O963">
            <v>4.5</v>
          </cell>
          <cell r="P963">
            <v>7.3</v>
          </cell>
          <cell r="S963">
            <v>29.8</v>
          </cell>
          <cell r="T963">
            <v>15</v>
          </cell>
          <cell r="U963">
            <v>2</v>
          </cell>
        </row>
        <row r="964">
          <cell r="B964" t="str">
            <v>Male</v>
          </cell>
          <cell r="F964">
            <v>6</v>
          </cell>
          <cell r="G964">
            <v>16.600000000000001</v>
          </cell>
          <cell r="H964">
            <v>11</v>
          </cell>
          <cell r="I964">
            <v>30.4</v>
          </cell>
          <cell r="K964">
            <v>10</v>
          </cell>
          <cell r="L964">
            <v>176.62</v>
          </cell>
          <cell r="M964">
            <v>22</v>
          </cell>
          <cell r="N964">
            <v>65</v>
          </cell>
          <cell r="O964">
            <v>4.5999999999999996</v>
          </cell>
          <cell r="P964">
            <v>31.8</v>
          </cell>
          <cell r="S964">
            <v>43.1</v>
          </cell>
          <cell r="T964">
            <v>20.6</v>
          </cell>
          <cell r="U964">
            <v>3</v>
          </cell>
        </row>
        <row r="965">
          <cell r="B965" t="str">
            <v>Male</v>
          </cell>
          <cell r="F965">
            <v>0</v>
          </cell>
          <cell r="G965">
            <v>16.5</v>
          </cell>
          <cell r="H965">
            <v>7</v>
          </cell>
          <cell r="I965">
            <v>73.599999999999994</v>
          </cell>
          <cell r="J965">
            <v>2</v>
          </cell>
          <cell r="K965">
            <v>19</v>
          </cell>
          <cell r="L965">
            <v>114.08</v>
          </cell>
          <cell r="M965">
            <v>108</v>
          </cell>
          <cell r="N965">
            <v>57.4</v>
          </cell>
          <cell r="O965">
            <v>3.7</v>
          </cell>
          <cell r="P965">
            <v>16.7</v>
          </cell>
          <cell r="S965">
            <v>0</v>
          </cell>
          <cell r="T965">
            <v>13.1</v>
          </cell>
          <cell r="U965">
            <v>3</v>
          </cell>
        </row>
        <row r="966">
          <cell r="B966" t="str">
            <v>Female</v>
          </cell>
          <cell r="F966">
            <v>10</v>
          </cell>
          <cell r="G966">
            <v>11.9</v>
          </cell>
          <cell r="H966">
            <v>3.6</v>
          </cell>
          <cell r="I966">
            <v>53.2</v>
          </cell>
          <cell r="J966">
            <v>1</v>
          </cell>
          <cell r="K966">
            <v>7</v>
          </cell>
          <cell r="L966">
            <v>85.27</v>
          </cell>
          <cell r="M966">
            <v>21</v>
          </cell>
          <cell r="N966">
            <v>75.2</v>
          </cell>
          <cell r="P966">
            <v>0</v>
          </cell>
          <cell r="S966">
            <v>17</v>
          </cell>
          <cell r="U966">
            <v>3</v>
          </cell>
        </row>
        <row r="967">
          <cell r="B967" t="str">
            <v>Female</v>
          </cell>
          <cell r="F967">
            <v>21</v>
          </cell>
          <cell r="G967">
            <v>45</v>
          </cell>
          <cell r="H967">
            <v>10</v>
          </cell>
          <cell r="I967">
            <v>50.4</v>
          </cell>
          <cell r="J967">
            <v>9</v>
          </cell>
          <cell r="K967">
            <v>19</v>
          </cell>
          <cell r="L967">
            <v>213.81</v>
          </cell>
          <cell r="M967">
            <v>1</v>
          </cell>
          <cell r="N967">
            <v>19.3</v>
          </cell>
          <cell r="O967">
            <v>3</v>
          </cell>
          <cell r="P967">
            <v>38.1</v>
          </cell>
          <cell r="S967">
            <v>63.2</v>
          </cell>
        </row>
        <row r="968">
          <cell r="B968" t="str">
            <v>Male</v>
          </cell>
          <cell r="F968">
            <v>19</v>
          </cell>
          <cell r="G968">
            <v>24</v>
          </cell>
          <cell r="I968">
            <v>65.400000000000006</v>
          </cell>
          <cell r="J968">
            <v>10</v>
          </cell>
          <cell r="K968" t="str">
            <v>16.900000000000002</v>
          </cell>
          <cell r="L968">
            <v>133.69999999999999</v>
          </cell>
          <cell r="M968">
            <v>3</v>
          </cell>
          <cell r="N968" t="str">
            <v>43.559999999999995</v>
          </cell>
          <cell r="O968">
            <v>6.1</v>
          </cell>
          <cell r="P968">
            <v>13.7</v>
          </cell>
          <cell r="S968">
            <v>45.1</v>
          </cell>
          <cell r="T968">
            <v>17.8</v>
          </cell>
          <cell r="U968">
            <v>2</v>
          </cell>
        </row>
        <row r="969">
          <cell r="B969" t="str">
            <v>Male</v>
          </cell>
          <cell r="F969">
            <v>14</v>
          </cell>
          <cell r="G969">
            <v>26.8</v>
          </cell>
          <cell r="H969">
            <v>8.6999999999999993</v>
          </cell>
          <cell r="I969">
            <v>64</v>
          </cell>
          <cell r="J969">
            <v>5</v>
          </cell>
          <cell r="K969">
            <v>11</v>
          </cell>
          <cell r="L969">
            <v>60.33</v>
          </cell>
          <cell r="M969">
            <v>0</v>
          </cell>
          <cell r="N969">
            <v>30.1</v>
          </cell>
          <cell r="O969">
            <v>3.3</v>
          </cell>
          <cell r="P969">
            <v>23.8</v>
          </cell>
          <cell r="T969">
            <v>19.2</v>
          </cell>
        </row>
        <row r="970">
          <cell r="B970" t="str">
            <v>Male</v>
          </cell>
          <cell r="F970">
            <v>25</v>
          </cell>
          <cell r="G970">
            <v>39.5</v>
          </cell>
          <cell r="H970">
            <v>11.2</v>
          </cell>
          <cell r="I970">
            <v>16.2</v>
          </cell>
          <cell r="J970">
            <v>5</v>
          </cell>
          <cell r="K970">
            <v>21</v>
          </cell>
          <cell r="L970">
            <v>70.510000000000005</v>
          </cell>
          <cell r="M970">
            <v>0</v>
          </cell>
          <cell r="N970">
            <v>33.5</v>
          </cell>
          <cell r="O970">
            <v>5.6</v>
          </cell>
          <cell r="P970">
            <v>35.200000000000003</v>
          </cell>
          <cell r="S970">
            <v>55.8</v>
          </cell>
          <cell r="T970">
            <v>30.7</v>
          </cell>
          <cell r="U970">
            <v>4</v>
          </cell>
        </row>
        <row r="971">
          <cell r="B971" t="str">
            <v>Female</v>
          </cell>
          <cell r="F971">
            <v>11</v>
          </cell>
          <cell r="G971">
            <v>21.3</v>
          </cell>
          <cell r="H971">
            <v>7.9</v>
          </cell>
          <cell r="I971">
            <v>61.5</v>
          </cell>
          <cell r="J971">
            <v>4</v>
          </cell>
          <cell r="K971">
            <v>13</v>
          </cell>
          <cell r="L971">
            <v>121.26</v>
          </cell>
          <cell r="M971">
            <v>5</v>
          </cell>
          <cell r="N971">
            <v>29.4</v>
          </cell>
          <cell r="P971">
            <v>15.6</v>
          </cell>
          <cell r="S971">
            <v>57.3</v>
          </cell>
          <cell r="T971">
            <v>20.3</v>
          </cell>
          <cell r="U971">
            <v>1</v>
          </cell>
        </row>
        <row r="972">
          <cell r="B972" t="str">
            <v>Male</v>
          </cell>
          <cell r="F972">
            <v>35</v>
          </cell>
          <cell r="G972">
            <v>41</v>
          </cell>
          <cell r="I972">
            <v>43.6</v>
          </cell>
          <cell r="J972">
            <v>9</v>
          </cell>
          <cell r="K972">
            <v>18</v>
          </cell>
          <cell r="L972">
            <v>98.17</v>
          </cell>
          <cell r="M972">
            <v>5</v>
          </cell>
          <cell r="N972">
            <v>31.5</v>
          </cell>
          <cell r="O972">
            <v>2.4</v>
          </cell>
          <cell r="P972">
            <v>42.8</v>
          </cell>
          <cell r="S972">
            <v>31.9</v>
          </cell>
          <cell r="T972">
            <v>37.9</v>
          </cell>
          <cell r="U972">
            <v>1</v>
          </cell>
        </row>
        <row r="973">
          <cell r="B973" t="str">
            <v>Female</v>
          </cell>
          <cell r="F973">
            <v>9</v>
          </cell>
          <cell r="G973">
            <v>23.6</v>
          </cell>
          <cell r="H973">
            <v>10.4</v>
          </cell>
          <cell r="I973">
            <v>55</v>
          </cell>
          <cell r="J973">
            <v>5</v>
          </cell>
          <cell r="K973">
            <v>10</v>
          </cell>
          <cell r="L973">
            <v>123.26</v>
          </cell>
          <cell r="M973">
            <v>36</v>
          </cell>
          <cell r="N973">
            <v>33.200000000000003</v>
          </cell>
          <cell r="O973">
            <v>7.6</v>
          </cell>
          <cell r="P973">
            <v>25.6</v>
          </cell>
          <cell r="S973">
            <v>42.7</v>
          </cell>
          <cell r="T973">
            <v>23.7</v>
          </cell>
          <cell r="U973">
            <v>1</v>
          </cell>
        </row>
        <row r="974">
          <cell r="B974" t="str">
            <v>Male</v>
          </cell>
          <cell r="F974">
            <v>5</v>
          </cell>
          <cell r="G974">
            <v>27.2</v>
          </cell>
          <cell r="H974">
            <v>5.5</v>
          </cell>
          <cell r="I974">
            <v>61.7</v>
          </cell>
          <cell r="J974">
            <v>2</v>
          </cell>
          <cell r="K974">
            <v>4</v>
          </cell>
          <cell r="L974">
            <v>130.41</v>
          </cell>
          <cell r="M974">
            <v>45</v>
          </cell>
          <cell r="N974">
            <v>47.1</v>
          </cell>
          <cell r="O974">
            <v>0.6</v>
          </cell>
          <cell r="P974">
            <v>16.2</v>
          </cell>
          <cell r="S974">
            <v>22.7</v>
          </cell>
          <cell r="T974">
            <v>7.7</v>
          </cell>
          <cell r="U974">
            <v>1</v>
          </cell>
        </row>
        <row r="975">
          <cell r="B975" t="str">
            <v>Male</v>
          </cell>
          <cell r="F975">
            <v>16</v>
          </cell>
          <cell r="G975">
            <v>26.6</v>
          </cell>
          <cell r="H975">
            <v>10.8</v>
          </cell>
          <cell r="I975">
            <v>58.6</v>
          </cell>
          <cell r="K975">
            <v>18.2</v>
          </cell>
          <cell r="L975">
            <v>132.71</v>
          </cell>
          <cell r="M975">
            <v>12</v>
          </cell>
          <cell r="N975" t="str">
            <v>40.440000000000005</v>
          </cell>
          <cell r="O975">
            <v>1.7</v>
          </cell>
          <cell r="P975">
            <v>32.4</v>
          </cell>
          <cell r="S975">
            <v>48.4</v>
          </cell>
          <cell r="T975">
            <v>27.6</v>
          </cell>
          <cell r="U975">
            <v>3</v>
          </cell>
        </row>
        <row r="976">
          <cell r="B976" t="str">
            <v>Male</v>
          </cell>
          <cell r="F976">
            <v>20</v>
          </cell>
          <cell r="G976">
            <v>47.5</v>
          </cell>
          <cell r="H976">
            <v>11</v>
          </cell>
          <cell r="I976">
            <v>27.6</v>
          </cell>
          <cell r="J976">
            <v>4</v>
          </cell>
          <cell r="K976">
            <v>24.7</v>
          </cell>
          <cell r="L976">
            <v>97.95</v>
          </cell>
          <cell r="M976">
            <v>43</v>
          </cell>
          <cell r="N976">
            <v>71.16</v>
          </cell>
          <cell r="P976">
            <v>40.200000000000003</v>
          </cell>
          <cell r="S976">
            <v>65.900000000000006</v>
          </cell>
          <cell r="T976">
            <v>41.2</v>
          </cell>
          <cell r="U976">
            <v>1</v>
          </cell>
        </row>
        <row r="977">
          <cell r="B977" t="str">
            <v>Male</v>
          </cell>
          <cell r="F977">
            <v>0</v>
          </cell>
          <cell r="H977">
            <v>3</v>
          </cell>
          <cell r="I977">
            <v>61.1</v>
          </cell>
          <cell r="J977">
            <v>1</v>
          </cell>
          <cell r="K977" t="str">
            <v>3.9000000000000004</v>
          </cell>
          <cell r="L977">
            <v>156.51</v>
          </cell>
          <cell r="M977">
            <v>7</v>
          </cell>
          <cell r="N977">
            <v>46.8</v>
          </cell>
          <cell r="O977">
            <v>5.3</v>
          </cell>
          <cell r="P977">
            <v>0</v>
          </cell>
          <cell r="S977">
            <v>53.9</v>
          </cell>
          <cell r="U977">
            <v>3</v>
          </cell>
        </row>
        <row r="978">
          <cell r="B978" t="str">
            <v>Male</v>
          </cell>
          <cell r="F978">
            <v>5</v>
          </cell>
          <cell r="G978">
            <v>14.2</v>
          </cell>
          <cell r="I978">
            <v>68.099999999999994</v>
          </cell>
          <cell r="J978">
            <v>1</v>
          </cell>
          <cell r="K978">
            <v>6</v>
          </cell>
          <cell r="L978">
            <v>125.43</v>
          </cell>
          <cell r="M978">
            <v>15</v>
          </cell>
          <cell r="N978">
            <v>26.8</v>
          </cell>
          <cell r="O978">
            <v>0.5</v>
          </cell>
          <cell r="P978">
            <v>0</v>
          </cell>
          <cell r="S978">
            <v>13.7</v>
          </cell>
          <cell r="T978">
            <v>11.3</v>
          </cell>
          <cell r="U978">
            <v>2</v>
          </cell>
        </row>
        <row r="979">
          <cell r="B979" t="str">
            <v>Female</v>
          </cell>
          <cell r="F979">
            <v>0</v>
          </cell>
          <cell r="G979">
            <v>23.6</v>
          </cell>
          <cell r="H979">
            <v>4.9000000000000004</v>
          </cell>
          <cell r="I979">
            <v>71.7</v>
          </cell>
          <cell r="J979">
            <v>3</v>
          </cell>
          <cell r="K979">
            <v>3</v>
          </cell>
          <cell r="L979">
            <v>122.76</v>
          </cell>
          <cell r="M979">
            <v>28</v>
          </cell>
          <cell r="N979">
            <v>68.7</v>
          </cell>
          <cell r="O979">
            <v>6</v>
          </cell>
          <cell r="P979">
            <v>0</v>
          </cell>
          <cell r="S979">
            <v>4.0999999999999996</v>
          </cell>
          <cell r="T979">
            <v>13.9</v>
          </cell>
          <cell r="U979">
            <v>2</v>
          </cell>
        </row>
        <row r="980">
          <cell r="B980" t="str">
            <v>Male</v>
          </cell>
          <cell r="F980">
            <v>12</v>
          </cell>
          <cell r="G980">
            <v>29</v>
          </cell>
          <cell r="H980">
            <v>7.5</v>
          </cell>
          <cell r="I980">
            <v>38.700000000000003</v>
          </cell>
          <cell r="J980">
            <v>5</v>
          </cell>
          <cell r="K980">
            <v>10</v>
          </cell>
          <cell r="L980">
            <v>105.64</v>
          </cell>
          <cell r="M980">
            <v>3</v>
          </cell>
          <cell r="N980">
            <v>31.4</v>
          </cell>
          <cell r="O980">
            <v>2.8</v>
          </cell>
          <cell r="P980">
            <v>35.799999999999997</v>
          </cell>
          <cell r="S980">
            <v>63.1</v>
          </cell>
          <cell r="T980">
            <v>17.600000000000001</v>
          </cell>
          <cell r="U980">
            <v>2</v>
          </cell>
        </row>
        <row r="981">
          <cell r="B981" t="str">
            <v>Female</v>
          </cell>
          <cell r="F981">
            <v>5</v>
          </cell>
          <cell r="G981">
            <v>26.9</v>
          </cell>
          <cell r="H981">
            <v>6.9</v>
          </cell>
          <cell r="I981">
            <v>51.2</v>
          </cell>
          <cell r="J981">
            <v>2</v>
          </cell>
          <cell r="K981">
            <v>9.1</v>
          </cell>
          <cell r="L981">
            <v>108.99</v>
          </cell>
          <cell r="M981">
            <v>17</v>
          </cell>
          <cell r="N981">
            <v>34.08</v>
          </cell>
          <cell r="P981">
            <v>0</v>
          </cell>
          <cell r="S981">
            <v>0.3</v>
          </cell>
          <cell r="T981">
            <v>13</v>
          </cell>
          <cell r="U981">
            <v>2</v>
          </cell>
        </row>
        <row r="982">
          <cell r="B982" t="str">
            <v>Female</v>
          </cell>
          <cell r="F982">
            <v>13</v>
          </cell>
          <cell r="G982">
            <v>27.7</v>
          </cell>
          <cell r="H982">
            <v>12</v>
          </cell>
          <cell r="I982">
            <v>66.3</v>
          </cell>
          <cell r="J982">
            <v>4</v>
          </cell>
          <cell r="K982">
            <v>10.4</v>
          </cell>
          <cell r="L982">
            <v>203.55</v>
          </cell>
          <cell r="M982">
            <v>2</v>
          </cell>
          <cell r="N982" t="str">
            <v>18.119999999999997</v>
          </cell>
          <cell r="O982">
            <v>14.8</v>
          </cell>
          <cell r="P982">
            <v>24.5</v>
          </cell>
          <cell r="S982">
            <v>13.2</v>
          </cell>
          <cell r="T982">
            <v>19.7</v>
          </cell>
          <cell r="U982">
            <v>2</v>
          </cell>
        </row>
        <row r="983">
          <cell r="B983" t="str">
            <v>Male</v>
          </cell>
          <cell r="F983">
            <v>15</v>
          </cell>
          <cell r="G983">
            <v>25.4</v>
          </cell>
          <cell r="H983">
            <v>9.1</v>
          </cell>
          <cell r="I983">
            <v>64.900000000000006</v>
          </cell>
          <cell r="J983">
            <v>2</v>
          </cell>
          <cell r="K983">
            <v>16</v>
          </cell>
          <cell r="L983">
            <v>115.94</v>
          </cell>
          <cell r="M983">
            <v>39</v>
          </cell>
          <cell r="N983">
            <v>35.799999999999997</v>
          </cell>
          <cell r="O983">
            <v>13.4</v>
          </cell>
          <cell r="P983">
            <v>16.600000000000001</v>
          </cell>
          <cell r="S983">
            <v>29.3</v>
          </cell>
          <cell r="T983">
            <v>16.100000000000001</v>
          </cell>
          <cell r="U983">
            <v>1</v>
          </cell>
        </row>
        <row r="984">
          <cell r="B984" t="str">
            <v>Other</v>
          </cell>
          <cell r="F984">
            <v>0</v>
          </cell>
          <cell r="G984">
            <v>11.7</v>
          </cell>
          <cell r="I984">
            <v>64.8</v>
          </cell>
          <cell r="J984">
            <v>0</v>
          </cell>
          <cell r="K984" t="str">
            <v>11.700000000000001</v>
          </cell>
          <cell r="L984">
            <v>64.62</v>
          </cell>
          <cell r="N984" t="str">
            <v>38.879999999999995</v>
          </cell>
          <cell r="P984">
            <v>10.9</v>
          </cell>
          <cell r="S984">
            <v>0</v>
          </cell>
          <cell r="T984">
            <v>0</v>
          </cell>
          <cell r="U984">
            <v>4</v>
          </cell>
        </row>
        <row r="985">
          <cell r="B985" t="str">
            <v>Male</v>
          </cell>
          <cell r="F985">
            <v>9</v>
          </cell>
          <cell r="G985">
            <v>14.7</v>
          </cell>
          <cell r="H985">
            <v>3</v>
          </cell>
          <cell r="I985">
            <v>93.1</v>
          </cell>
          <cell r="J985">
            <v>1</v>
          </cell>
          <cell r="K985">
            <v>3</v>
          </cell>
          <cell r="L985">
            <v>97.93</v>
          </cell>
          <cell r="M985">
            <v>24</v>
          </cell>
          <cell r="N985">
            <v>4</v>
          </cell>
          <cell r="O985">
            <v>5.5</v>
          </cell>
          <cell r="S985">
            <v>0</v>
          </cell>
          <cell r="T985">
            <v>9.1</v>
          </cell>
        </row>
        <row r="986">
          <cell r="B986" t="str">
            <v>Male</v>
          </cell>
          <cell r="F986">
            <v>10</v>
          </cell>
          <cell r="G986">
            <v>16</v>
          </cell>
          <cell r="H986">
            <v>8.1999999999999993</v>
          </cell>
          <cell r="I986">
            <v>56.7</v>
          </cell>
          <cell r="J986">
            <v>4</v>
          </cell>
          <cell r="K986">
            <v>6</v>
          </cell>
          <cell r="L986">
            <v>70.59</v>
          </cell>
          <cell r="M986">
            <v>18</v>
          </cell>
          <cell r="N986">
            <v>38.700000000000003</v>
          </cell>
          <cell r="O986">
            <v>18</v>
          </cell>
          <cell r="P986">
            <v>4.0999999999999996</v>
          </cell>
          <cell r="S986">
            <v>23.6</v>
          </cell>
          <cell r="T986">
            <v>16.899999999999999</v>
          </cell>
          <cell r="U986">
            <v>2</v>
          </cell>
        </row>
        <row r="987">
          <cell r="B987" t="str">
            <v>Male</v>
          </cell>
          <cell r="F987">
            <v>1</v>
          </cell>
          <cell r="G987">
            <v>1</v>
          </cell>
          <cell r="H987">
            <v>2</v>
          </cell>
          <cell r="I987">
            <v>71.599999999999994</v>
          </cell>
          <cell r="J987">
            <v>1</v>
          </cell>
          <cell r="K987">
            <v>5</v>
          </cell>
          <cell r="L987">
            <v>173.16</v>
          </cell>
          <cell r="M987">
            <v>20</v>
          </cell>
          <cell r="N987">
            <v>15.9</v>
          </cell>
          <cell r="O987">
            <v>1.4</v>
          </cell>
          <cell r="P987">
            <v>15.5</v>
          </cell>
          <cell r="S987">
            <v>0</v>
          </cell>
          <cell r="T987">
            <v>7.9</v>
          </cell>
          <cell r="U987">
            <v>2</v>
          </cell>
        </row>
        <row r="988">
          <cell r="B988" t="str">
            <v>Female</v>
          </cell>
          <cell r="F988">
            <v>10</v>
          </cell>
          <cell r="G988">
            <v>26.8</v>
          </cell>
          <cell r="H988">
            <v>9.6</v>
          </cell>
          <cell r="I988">
            <v>71.099999999999994</v>
          </cell>
          <cell r="J988">
            <v>2</v>
          </cell>
          <cell r="K988" t="str">
            <v>7.800000000000001</v>
          </cell>
          <cell r="L988">
            <v>86.21</v>
          </cell>
          <cell r="M988">
            <v>13</v>
          </cell>
          <cell r="N988" t="str">
            <v>56.879999999999995</v>
          </cell>
          <cell r="O988">
            <v>1.2</v>
          </cell>
          <cell r="P988">
            <v>5.0999999999999996</v>
          </cell>
          <cell r="S988">
            <v>14.7</v>
          </cell>
          <cell r="U988">
            <v>3</v>
          </cell>
        </row>
        <row r="989">
          <cell r="B989" t="str">
            <v>Female</v>
          </cell>
          <cell r="F989">
            <v>7</v>
          </cell>
          <cell r="G989">
            <v>25.7</v>
          </cell>
          <cell r="H989">
            <v>6.2</v>
          </cell>
          <cell r="I989">
            <v>48.3</v>
          </cell>
          <cell r="J989">
            <v>5</v>
          </cell>
          <cell r="K989">
            <v>13</v>
          </cell>
          <cell r="L989">
            <v>115.25</v>
          </cell>
          <cell r="M989">
            <v>11</v>
          </cell>
          <cell r="O989">
            <v>3</v>
          </cell>
          <cell r="P989">
            <v>25.8</v>
          </cell>
          <cell r="S989">
            <v>21.7</v>
          </cell>
          <cell r="T989">
            <v>25.8</v>
          </cell>
          <cell r="U989">
            <v>4</v>
          </cell>
        </row>
        <row r="990">
          <cell r="B990" t="str">
            <v>Female</v>
          </cell>
          <cell r="F990">
            <v>2</v>
          </cell>
          <cell r="G990">
            <v>17.100000000000001</v>
          </cell>
          <cell r="H990">
            <v>8.6999999999999993</v>
          </cell>
          <cell r="I990">
            <v>54.9</v>
          </cell>
          <cell r="J990">
            <v>2</v>
          </cell>
          <cell r="K990">
            <v>7</v>
          </cell>
          <cell r="L990">
            <v>150.11000000000001</v>
          </cell>
          <cell r="M990">
            <v>11</v>
          </cell>
          <cell r="N990">
            <v>31.5</v>
          </cell>
          <cell r="O990">
            <v>1.3</v>
          </cell>
          <cell r="P990">
            <v>33.5</v>
          </cell>
          <cell r="S990">
            <v>4.4000000000000004</v>
          </cell>
          <cell r="T990">
            <v>17.5</v>
          </cell>
          <cell r="U990">
            <v>2</v>
          </cell>
        </row>
        <row r="991">
          <cell r="B991" t="str">
            <v>Male</v>
          </cell>
          <cell r="F991">
            <v>6</v>
          </cell>
          <cell r="G991">
            <v>13.9</v>
          </cell>
          <cell r="H991">
            <v>3.9</v>
          </cell>
          <cell r="I991">
            <v>73.900000000000006</v>
          </cell>
          <cell r="J991">
            <v>1</v>
          </cell>
          <cell r="K991">
            <v>4</v>
          </cell>
          <cell r="L991">
            <v>61.64</v>
          </cell>
          <cell r="M991">
            <v>16</v>
          </cell>
          <cell r="N991">
            <v>24.3</v>
          </cell>
          <cell r="O991">
            <v>4.3</v>
          </cell>
          <cell r="P991">
            <v>2.9</v>
          </cell>
          <cell r="S991">
            <v>0</v>
          </cell>
          <cell r="T991">
            <v>6.3</v>
          </cell>
          <cell r="U991">
            <v>3</v>
          </cell>
        </row>
        <row r="992">
          <cell r="B992" t="str">
            <v>Female</v>
          </cell>
          <cell r="F992">
            <v>5</v>
          </cell>
          <cell r="H992">
            <v>4.5</v>
          </cell>
          <cell r="I992">
            <v>67.8</v>
          </cell>
          <cell r="K992">
            <v>5.2</v>
          </cell>
          <cell r="L992">
            <v>195.61</v>
          </cell>
          <cell r="M992">
            <v>17</v>
          </cell>
          <cell r="N992">
            <v>24.12</v>
          </cell>
          <cell r="O992">
            <v>5.3</v>
          </cell>
          <cell r="P992">
            <v>11.4</v>
          </cell>
          <cell r="S992">
            <v>0</v>
          </cell>
          <cell r="T992">
            <v>9.5</v>
          </cell>
          <cell r="U992">
            <v>3</v>
          </cell>
        </row>
        <row r="993">
          <cell r="B993" t="str">
            <v>Male</v>
          </cell>
          <cell r="F993">
            <v>11</v>
          </cell>
          <cell r="G993">
            <v>31.6</v>
          </cell>
          <cell r="H993">
            <v>5.4</v>
          </cell>
          <cell r="I993">
            <v>55.8</v>
          </cell>
          <cell r="J993">
            <v>7</v>
          </cell>
          <cell r="K993">
            <v>10</v>
          </cell>
          <cell r="L993">
            <v>97.44</v>
          </cell>
          <cell r="M993">
            <v>77</v>
          </cell>
          <cell r="N993">
            <v>26</v>
          </cell>
          <cell r="O993">
            <v>8.6999999999999993</v>
          </cell>
          <cell r="P993">
            <v>16.399999999999999</v>
          </cell>
          <cell r="S993">
            <v>41.5</v>
          </cell>
          <cell r="T993">
            <v>16.399999999999999</v>
          </cell>
          <cell r="U993">
            <v>4</v>
          </cell>
        </row>
        <row r="994">
          <cell r="B994" t="str">
            <v>Male</v>
          </cell>
          <cell r="F994">
            <v>15</v>
          </cell>
          <cell r="H994">
            <v>7.8</v>
          </cell>
          <cell r="I994">
            <v>69.599999999999994</v>
          </cell>
          <cell r="J994">
            <v>3</v>
          </cell>
          <cell r="K994">
            <v>10</v>
          </cell>
          <cell r="L994">
            <v>89.94</v>
          </cell>
          <cell r="M994">
            <v>46</v>
          </cell>
          <cell r="N994">
            <v>81.2</v>
          </cell>
          <cell r="O994">
            <v>18.8</v>
          </cell>
          <cell r="P994">
            <v>24.1</v>
          </cell>
          <cell r="S994">
            <v>46.1</v>
          </cell>
          <cell r="T994">
            <v>15.7</v>
          </cell>
          <cell r="U994">
            <v>3</v>
          </cell>
        </row>
        <row r="995">
          <cell r="B995" t="str">
            <v>Male</v>
          </cell>
          <cell r="F995">
            <v>9</v>
          </cell>
          <cell r="G995">
            <v>31.6</v>
          </cell>
          <cell r="H995">
            <v>8.6</v>
          </cell>
          <cell r="I995">
            <v>52.9</v>
          </cell>
          <cell r="J995">
            <v>3</v>
          </cell>
          <cell r="K995" t="str">
            <v>11.700000000000001</v>
          </cell>
          <cell r="L995">
            <v>138.72999999999999</v>
          </cell>
          <cell r="M995">
            <v>24</v>
          </cell>
          <cell r="N995">
            <v>76.8</v>
          </cell>
          <cell r="O995">
            <v>2</v>
          </cell>
          <cell r="P995">
            <v>22.9</v>
          </cell>
          <cell r="S995">
            <v>5.0999999999999996</v>
          </cell>
          <cell r="U995">
            <v>5</v>
          </cell>
        </row>
        <row r="996">
          <cell r="B996" t="str">
            <v>Male</v>
          </cell>
          <cell r="F996">
            <v>15</v>
          </cell>
          <cell r="G996">
            <v>21.9</v>
          </cell>
          <cell r="H996">
            <v>7.7</v>
          </cell>
          <cell r="I996">
            <v>37.4</v>
          </cell>
          <cell r="J996">
            <v>3</v>
          </cell>
          <cell r="K996">
            <v>11</v>
          </cell>
          <cell r="L996">
            <v>73.540000000000006</v>
          </cell>
          <cell r="M996">
            <v>124</v>
          </cell>
          <cell r="N996">
            <v>23.5</v>
          </cell>
          <cell r="O996">
            <v>10.8</v>
          </cell>
          <cell r="P996">
            <v>34.299999999999997</v>
          </cell>
          <cell r="S996">
            <v>30.9</v>
          </cell>
          <cell r="T996">
            <v>19.3</v>
          </cell>
          <cell r="U996">
            <v>5</v>
          </cell>
        </row>
        <row r="997">
          <cell r="B997" t="str">
            <v>Female</v>
          </cell>
          <cell r="F997">
            <v>8</v>
          </cell>
          <cell r="G997">
            <v>19.399999999999999</v>
          </cell>
          <cell r="H997">
            <v>5.4</v>
          </cell>
          <cell r="I997">
            <v>56</v>
          </cell>
          <cell r="J997">
            <v>1</v>
          </cell>
          <cell r="K997">
            <v>4</v>
          </cell>
          <cell r="L997">
            <v>185.62</v>
          </cell>
          <cell r="N997">
            <v>18.7</v>
          </cell>
          <cell r="P997">
            <v>19.600000000000001</v>
          </cell>
          <cell r="S997">
            <v>20.5</v>
          </cell>
          <cell r="T997">
            <v>12.3</v>
          </cell>
          <cell r="U997">
            <v>2</v>
          </cell>
        </row>
        <row r="998">
          <cell r="B998" t="str">
            <v>Female</v>
          </cell>
          <cell r="F998">
            <v>4</v>
          </cell>
          <cell r="G998">
            <v>24.9</v>
          </cell>
          <cell r="H998">
            <v>6.7</v>
          </cell>
          <cell r="I998">
            <v>72.5</v>
          </cell>
          <cell r="J998">
            <v>3</v>
          </cell>
          <cell r="K998">
            <v>9</v>
          </cell>
          <cell r="L998">
            <v>184.59</v>
          </cell>
          <cell r="M998">
            <v>55</v>
          </cell>
          <cell r="N998">
            <v>34.299999999999997</v>
          </cell>
          <cell r="O998">
            <v>9.6</v>
          </cell>
          <cell r="P998">
            <v>20.3</v>
          </cell>
          <cell r="S998">
            <v>8.9</v>
          </cell>
          <cell r="U998">
            <v>1</v>
          </cell>
        </row>
        <row r="999">
          <cell r="B999" t="str">
            <v>Female</v>
          </cell>
          <cell r="F999">
            <v>5</v>
          </cell>
          <cell r="G999">
            <v>22.5</v>
          </cell>
          <cell r="H999">
            <v>2.7</v>
          </cell>
          <cell r="I999">
            <v>81.099999999999994</v>
          </cell>
          <cell r="J999">
            <v>1</v>
          </cell>
          <cell r="K999">
            <v>2</v>
          </cell>
          <cell r="L999">
            <v>129.74</v>
          </cell>
          <cell r="M999">
            <v>9</v>
          </cell>
          <cell r="N999">
            <v>69</v>
          </cell>
          <cell r="O999">
            <v>13.5</v>
          </cell>
          <cell r="P999">
            <v>11.6</v>
          </cell>
          <cell r="T999">
            <v>8.8000000000000007</v>
          </cell>
          <cell r="U999">
            <v>1</v>
          </cell>
        </row>
        <row r="1000">
          <cell r="B1000" t="str">
            <v>Male</v>
          </cell>
          <cell r="F1000">
            <v>2</v>
          </cell>
          <cell r="H1000">
            <v>5.5</v>
          </cell>
          <cell r="I1000">
            <v>84.6</v>
          </cell>
          <cell r="J1000">
            <v>0</v>
          </cell>
          <cell r="K1000" t="str">
            <v>3.9000000000000004</v>
          </cell>
          <cell r="L1000">
            <v>54.88</v>
          </cell>
          <cell r="M1000">
            <v>1</v>
          </cell>
          <cell r="N1000" t="str">
            <v>38.879999999999995</v>
          </cell>
          <cell r="P1000">
            <v>7.6</v>
          </cell>
          <cell r="S1000">
            <v>21.6</v>
          </cell>
          <cell r="T1000">
            <v>9</v>
          </cell>
          <cell r="U1000">
            <v>2</v>
          </cell>
        </row>
        <row r="1001">
          <cell r="B1001" t="str">
            <v>Female</v>
          </cell>
          <cell r="F1001">
            <v>8</v>
          </cell>
          <cell r="G1001">
            <v>15.7</v>
          </cell>
          <cell r="H1001">
            <v>4.5999999999999996</v>
          </cell>
          <cell r="I1001">
            <v>63.2</v>
          </cell>
          <cell r="J1001">
            <v>2</v>
          </cell>
          <cell r="K1001">
            <v>9</v>
          </cell>
          <cell r="L1001">
            <v>85.52</v>
          </cell>
          <cell r="M1001">
            <v>42</v>
          </cell>
          <cell r="N1001">
            <v>29.9</v>
          </cell>
          <cell r="O1001">
            <v>2.1</v>
          </cell>
          <cell r="P1001">
            <v>5.7</v>
          </cell>
          <cell r="S1001">
            <v>0</v>
          </cell>
          <cell r="T1001">
            <v>2</v>
          </cell>
          <cell r="U1001">
            <v>3</v>
          </cell>
        </row>
        <row r="1002">
          <cell r="B1002" t="str">
            <v>Female</v>
          </cell>
          <cell r="F1002">
            <v>16</v>
          </cell>
          <cell r="G1002">
            <v>22.4</v>
          </cell>
          <cell r="H1002">
            <v>7.4</v>
          </cell>
          <cell r="I1002">
            <v>55.2</v>
          </cell>
          <cell r="J1002">
            <v>2</v>
          </cell>
          <cell r="K1002">
            <v>13</v>
          </cell>
          <cell r="L1002">
            <v>192.41</v>
          </cell>
          <cell r="M1002">
            <v>55</v>
          </cell>
          <cell r="N1002">
            <v>80.900000000000006</v>
          </cell>
          <cell r="O1002">
            <v>5.0999999999999996</v>
          </cell>
          <cell r="P1002">
            <v>10.6</v>
          </cell>
          <cell r="S1002">
            <v>12.2</v>
          </cell>
          <cell r="T1002">
            <v>20.5</v>
          </cell>
          <cell r="U1002">
            <v>3</v>
          </cell>
        </row>
        <row r="1003">
          <cell r="B1003" t="str">
            <v>Male</v>
          </cell>
          <cell r="F1003">
            <v>7</v>
          </cell>
          <cell r="G1003">
            <v>25.4</v>
          </cell>
          <cell r="H1003">
            <v>4.3</v>
          </cell>
          <cell r="I1003">
            <v>73.900000000000006</v>
          </cell>
          <cell r="K1003">
            <v>6</v>
          </cell>
          <cell r="L1003">
            <v>184.34</v>
          </cell>
          <cell r="M1003">
            <v>62</v>
          </cell>
          <cell r="N1003">
            <v>75.7</v>
          </cell>
          <cell r="O1003">
            <v>16.2</v>
          </cell>
          <cell r="P1003">
            <v>8.9</v>
          </cell>
          <cell r="T1003">
            <v>13.3</v>
          </cell>
          <cell r="U1003">
            <v>1</v>
          </cell>
        </row>
        <row r="1004">
          <cell r="B1004" t="str">
            <v>Male</v>
          </cell>
          <cell r="F1004">
            <v>6</v>
          </cell>
          <cell r="G1004">
            <v>21.5</v>
          </cell>
          <cell r="H1004">
            <v>7.3</v>
          </cell>
          <cell r="I1004">
            <v>83.9</v>
          </cell>
          <cell r="K1004">
            <v>10</v>
          </cell>
          <cell r="L1004">
            <v>182.23</v>
          </cell>
          <cell r="M1004">
            <v>15</v>
          </cell>
          <cell r="O1004">
            <v>5.2</v>
          </cell>
          <cell r="P1004">
            <v>0</v>
          </cell>
          <cell r="S1004">
            <v>4.5999999999999996</v>
          </cell>
          <cell r="T1004">
            <v>16.2</v>
          </cell>
          <cell r="U1004">
            <v>2</v>
          </cell>
        </row>
        <row r="1005">
          <cell r="B1005" t="str">
            <v>Male</v>
          </cell>
          <cell r="F1005">
            <v>6</v>
          </cell>
          <cell r="G1005">
            <v>17.2</v>
          </cell>
          <cell r="H1005">
            <v>7.8</v>
          </cell>
          <cell r="I1005">
            <v>56.7</v>
          </cell>
          <cell r="J1005">
            <v>2</v>
          </cell>
          <cell r="K1005">
            <v>4</v>
          </cell>
          <cell r="L1005">
            <v>134.66</v>
          </cell>
          <cell r="M1005">
            <v>54</v>
          </cell>
          <cell r="N1005">
            <v>16.100000000000001</v>
          </cell>
          <cell r="O1005">
            <v>2.4</v>
          </cell>
          <cell r="P1005">
            <v>7</v>
          </cell>
          <cell r="S1005">
            <v>28</v>
          </cell>
          <cell r="U1005">
            <v>1</v>
          </cell>
        </row>
        <row r="1006">
          <cell r="B1006" t="str">
            <v>Female</v>
          </cell>
          <cell r="F1006">
            <v>14</v>
          </cell>
          <cell r="G1006">
            <v>48.1</v>
          </cell>
          <cell r="H1006">
            <v>12.6</v>
          </cell>
          <cell r="I1006">
            <v>45.8</v>
          </cell>
          <cell r="J1006">
            <v>6</v>
          </cell>
          <cell r="K1006">
            <v>20</v>
          </cell>
          <cell r="L1006">
            <v>133.30000000000001</v>
          </cell>
          <cell r="N1006">
            <v>58.3</v>
          </cell>
          <cell r="O1006">
            <v>10.7</v>
          </cell>
          <cell r="P1006">
            <v>49.9</v>
          </cell>
          <cell r="S1006">
            <v>38.5</v>
          </cell>
          <cell r="T1006">
            <v>41</v>
          </cell>
          <cell r="U1006">
            <v>3</v>
          </cell>
        </row>
        <row r="1007">
          <cell r="B1007" t="str">
            <v>Female</v>
          </cell>
          <cell r="F1007">
            <v>19</v>
          </cell>
          <cell r="G1007">
            <v>26.2</v>
          </cell>
          <cell r="I1007">
            <v>47.7</v>
          </cell>
          <cell r="J1007">
            <v>2</v>
          </cell>
          <cell r="K1007">
            <v>28</v>
          </cell>
          <cell r="L1007">
            <v>122.86</v>
          </cell>
          <cell r="M1007">
            <v>28</v>
          </cell>
          <cell r="N1007">
            <v>15.6</v>
          </cell>
          <cell r="O1007">
            <v>3.2</v>
          </cell>
          <cell r="P1007">
            <v>8</v>
          </cell>
          <cell r="S1007">
            <v>32.6</v>
          </cell>
          <cell r="T1007">
            <v>18.8</v>
          </cell>
          <cell r="U1007">
            <v>1</v>
          </cell>
        </row>
        <row r="1008">
          <cell r="B1008" t="str">
            <v>Female</v>
          </cell>
          <cell r="F1008">
            <v>17</v>
          </cell>
          <cell r="G1008">
            <v>49.5</v>
          </cell>
          <cell r="H1008">
            <v>17.2</v>
          </cell>
          <cell r="I1008">
            <v>28.2</v>
          </cell>
          <cell r="K1008">
            <v>20</v>
          </cell>
          <cell r="L1008">
            <v>116.81</v>
          </cell>
          <cell r="M1008">
            <v>13</v>
          </cell>
          <cell r="N1008">
            <v>12.4</v>
          </cell>
          <cell r="O1008">
            <v>0.8</v>
          </cell>
          <cell r="P1008">
            <v>38.4</v>
          </cell>
          <cell r="S1008">
            <v>59.4</v>
          </cell>
          <cell r="T1008">
            <v>46</v>
          </cell>
          <cell r="U1008">
            <v>1</v>
          </cell>
        </row>
        <row r="1009">
          <cell r="B1009" t="str">
            <v>Male</v>
          </cell>
          <cell r="F1009">
            <v>15</v>
          </cell>
          <cell r="G1009">
            <v>32.4</v>
          </cell>
          <cell r="H1009">
            <v>13.1</v>
          </cell>
          <cell r="I1009">
            <v>34.5</v>
          </cell>
          <cell r="J1009">
            <v>11</v>
          </cell>
          <cell r="K1009">
            <v>16</v>
          </cell>
          <cell r="L1009">
            <v>95.84</v>
          </cell>
          <cell r="M1009">
            <v>23</v>
          </cell>
          <cell r="N1009">
            <v>12.4</v>
          </cell>
          <cell r="O1009">
            <v>14</v>
          </cell>
          <cell r="P1009">
            <v>17.3</v>
          </cell>
          <cell r="S1009">
            <v>39.799999999999997</v>
          </cell>
          <cell r="T1009">
            <v>29.7</v>
          </cell>
          <cell r="U1009">
            <v>1</v>
          </cell>
        </row>
        <row r="1010">
          <cell r="B1010" t="str">
            <v>Female</v>
          </cell>
          <cell r="F1010">
            <v>14</v>
          </cell>
          <cell r="G1010">
            <v>26.5</v>
          </cell>
          <cell r="H1010">
            <v>7.3</v>
          </cell>
          <cell r="I1010">
            <v>47.4</v>
          </cell>
          <cell r="J1010">
            <v>2</v>
          </cell>
          <cell r="K1010">
            <v>11</v>
          </cell>
          <cell r="L1010">
            <v>118.93</v>
          </cell>
          <cell r="M1010">
            <v>30</v>
          </cell>
          <cell r="N1010">
            <v>7</v>
          </cell>
          <cell r="O1010">
            <v>5.0999999999999996</v>
          </cell>
          <cell r="P1010">
            <v>12.9</v>
          </cell>
          <cell r="S1010">
            <v>43.1</v>
          </cell>
          <cell r="T1010">
            <v>16.8</v>
          </cell>
          <cell r="U1010">
            <v>3</v>
          </cell>
        </row>
        <row r="1011">
          <cell r="B1011" t="str">
            <v>Male</v>
          </cell>
          <cell r="F1011">
            <v>19</v>
          </cell>
          <cell r="G1011">
            <v>37.799999999999997</v>
          </cell>
          <cell r="H1011">
            <v>16.600000000000001</v>
          </cell>
          <cell r="I1011">
            <v>25.1</v>
          </cell>
          <cell r="J1011">
            <v>3</v>
          </cell>
          <cell r="K1011">
            <v>19.5</v>
          </cell>
          <cell r="L1011">
            <v>212.54</v>
          </cell>
          <cell r="M1011">
            <v>49</v>
          </cell>
          <cell r="N1011" t="str">
            <v>95.75999999999999</v>
          </cell>
          <cell r="O1011">
            <v>1</v>
          </cell>
          <cell r="P1011">
            <v>24.6</v>
          </cell>
          <cell r="S1011">
            <v>47.3</v>
          </cell>
          <cell r="T1011">
            <v>28.2</v>
          </cell>
          <cell r="U1011">
            <v>1</v>
          </cell>
        </row>
        <row r="1012">
          <cell r="B1012" t="str">
            <v>Male</v>
          </cell>
          <cell r="F1012">
            <v>13</v>
          </cell>
          <cell r="G1012">
            <v>11.4</v>
          </cell>
          <cell r="H1012">
            <v>8.1999999999999993</v>
          </cell>
          <cell r="I1012">
            <v>67</v>
          </cell>
          <cell r="J1012">
            <v>3</v>
          </cell>
          <cell r="K1012">
            <v>5.2</v>
          </cell>
          <cell r="L1012">
            <v>69.23</v>
          </cell>
          <cell r="M1012">
            <v>14</v>
          </cell>
          <cell r="N1012">
            <v>30.36</v>
          </cell>
          <cell r="O1012">
            <v>3.3</v>
          </cell>
          <cell r="P1012">
            <v>0</v>
          </cell>
          <cell r="S1012">
            <v>22.5</v>
          </cell>
          <cell r="T1012">
            <v>11.3</v>
          </cell>
          <cell r="U1012">
            <v>4</v>
          </cell>
        </row>
        <row r="1013">
          <cell r="B1013" t="str">
            <v>Male</v>
          </cell>
          <cell r="F1013">
            <v>4</v>
          </cell>
          <cell r="G1013">
            <v>18.3</v>
          </cell>
          <cell r="H1013">
            <v>6.2</v>
          </cell>
          <cell r="I1013">
            <v>60.1</v>
          </cell>
          <cell r="J1013">
            <v>5</v>
          </cell>
          <cell r="K1013">
            <v>11</v>
          </cell>
          <cell r="L1013">
            <v>106.49</v>
          </cell>
          <cell r="M1013">
            <v>79</v>
          </cell>
          <cell r="N1013">
            <v>19.7</v>
          </cell>
          <cell r="O1013">
            <v>3.3</v>
          </cell>
          <cell r="P1013">
            <v>11.7</v>
          </cell>
          <cell r="S1013">
            <v>39.700000000000003</v>
          </cell>
          <cell r="T1013">
            <v>14.6</v>
          </cell>
          <cell r="U1013">
            <v>4</v>
          </cell>
        </row>
        <row r="1014">
          <cell r="B1014" t="str">
            <v>Male</v>
          </cell>
          <cell r="F1014">
            <v>11</v>
          </cell>
          <cell r="G1014">
            <v>5.9</v>
          </cell>
          <cell r="H1014">
            <v>3.2</v>
          </cell>
          <cell r="I1014">
            <v>82.3</v>
          </cell>
          <cell r="J1014">
            <v>0</v>
          </cell>
          <cell r="K1014">
            <v>1</v>
          </cell>
          <cell r="L1014">
            <v>97.25</v>
          </cell>
          <cell r="M1014">
            <v>162</v>
          </cell>
          <cell r="N1014">
            <v>40.799999999999997</v>
          </cell>
          <cell r="O1014">
            <v>3.5</v>
          </cell>
          <cell r="P1014">
            <v>24.1</v>
          </cell>
          <cell r="S1014">
            <v>0</v>
          </cell>
          <cell r="T1014">
            <v>6.3</v>
          </cell>
          <cell r="U1014">
            <v>5</v>
          </cell>
        </row>
        <row r="1015">
          <cell r="B1015" t="str">
            <v>Female</v>
          </cell>
          <cell r="F1015">
            <v>36</v>
          </cell>
          <cell r="G1015">
            <v>66.400000000000006</v>
          </cell>
          <cell r="H1015">
            <v>22.6</v>
          </cell>
          <cell r="I1015">
            <v>16.899999999999999</v>
          </cell>
          <cell r="J1015">
            <v>13</v>
          </cell>
          <cell r="K1015">
            <v>26</v>
          </cell>
          <cell r="L1015">
            <v>104.94</v>
          </cell>
          <cell r="M1015">
            <v>6</v>
          </cell>
          <cell r="N1015">
            <v>49.3</v>
          </cell>
          <cell r="O1015">
            <v>1.3</v>
          </cell>
          <cell r="P1015">
            <v>54</v>
          </cell>
          <cell r="S1015">
            <v>89</v>
          </cell>
          <cell r="U1015">
            <v>3</v>
          </cell>
        </row>
        <row r="1016">
          <cell r="B1016" t="str">
            <v>Female</v>
          </cell>
          <cell r="F1016">
            <v>10</v>
          </cell>
          <cell r="G1016">
            <v>35</v>
          </cell>
          <cell r="H1016">
            <v>10.8</v>
          </cell>
          <cell r="I1016">
            <v>72.599999999999994</v>
          </cell>
          <cell r="J1016">
            <v>3</v>
          </cell>
          <cell r="K1016">
            <v>12</v>
          </cell>
          <cell r="L1016">
            <v>126.26</v>
          </cell>
          <cell r="M1016">
            <v>81</v>
          </cell>
          <cell r="N1016">
            <v>34.200000000000003</v>
          </cell>
          <cell r="O1016">
            <v>4.2</v>
          </cell>
          <cell r="P1016">
            <v>17.899999999999999</v>
          </cell>
          <cell r="S1016">
            <v>23.3</v>
          </cell>
          <cell r="T1016">
            <v>20.2</v>
          </cell>
          <cell r="U1016">
            <v>3</v>
          </cell>
        </row>
        <row r="1017">
          <cell r="B1017" t="str">
            <v>Male</v>
          </cell>
          <cell r="F1017">
            <v>15</v>
          </cell>
          <cell r="G1017">
            <v>36.9</v>
          </cell>
          <cell r="H1017">
            <v>7.7</v>
          </cell>
          <cell r="I1017">
            <v>52.2</v>
          </cell>
          <cell r="J1017">
            <v>5</v>
          </cell>
          <cell r="K1017">
            <v>20.8</v>
          </cell>
          <cell r="L1017">
            <v>100.94</v>
          </cell>
          <cell r="M1017">
            <v>3</v>
          </cell>
          <cell r="N1017" t="str">
            <v>64.55999999999999</v>
          </cell>
          <cell r="O1017">
            <v>4.4000000000000004</v>
          </cell>
          <cell r="P1017">
            <v>6</v>
          </cell>
          <cell r="S1017">
            <v>23.5</v>
          </cell>
          <cell r="T1017">
            <v>15.6</v>
          </cell>
          <cell r="U1017">
            <v>3</v>
          </cell>
        </row>
        <row r="1018">
          <cell r="B1018" t="str">
            <v>Male</v>
          </cell>
          <cell r="F1018">
            <v>8</v>
          </cell>
          <cell r="G1018">
            <v>21.9</v>
          </cell>
          <cell r="H1018">
            <v>6</v>
          </cell>
          <cell r="I1018">
            <v>62.6</v>
          </cell>
          <cell r="J1018">
            <v>4</v>
          </cell>
          <cell r="K1018" t="str">
            <v>16.900000000000002</v>
          </cell>
          <cell r="L1018">
            <v>145.16</v>
          </cell>
          <cell r="M1018">
            <v>14</v>
          </cell>
          <cell r="N1018" t="str">
            <v>109.91999999999999</v>
          </cell>
          <cell r="O1018">
            <v>5.5</v>
          </cell>
          <cell r="P1018">
            <v>1.6</v>
          </cell>
          <cell r="S1018">
            <v>0.1</v>
          </cell>
          <cell r="T1018">
            <v>12.6</v>
          </cell>
          <cell r="U1018">
            <v>2</v>
          </cell>
        </row>
        <row r="1019">
          <cell r="B1019" t="str">
            <v>Male</v>
          </cell>
          <cell r="F1019">
            <v>19</v>
          </cell>
          <cell r="G1019">
            <v>29.1</v>
          </cell>
          <cell r="H1019">
            <v>10.4</v>
          </cell>
          <cell r="I1019">
            <v>50.5</v>
          </cell>
          <cell r="J1019">
            <v>4</v>
          </cell>
          <cell r="K1019" t="str">
            <v>23.400000000000002</v>
          </cell>
          <cell r="L1019">
            <v>93.02</v>
          </cell>
          <cell r="M1019">
            <v>1</v>
          </cell>
          <cell r="N1019">
            <v>46.8</v>
          </cell>
          <cell r="O1019">
            <v>7.1</v>
          </cell>
          <cell r="P1019">
            <v>41.7</v>
          </cell>
          <cell r="S1019">
            <v>56.1</v>
          </cell>
          <cell r="T1019">
            <v>18.3</v>
          </cell>
          <cell r="U1019">
            <v>3</v>
          </cell>
        </row>
        <row r="1020">
          <cell r="B1020" t="str">
            <v>Male</v>
          </cell>
          <cell r="F1020">
            <v>15</v>
          </cell>
          <cell r="G1020">
            <v>29.2</v>
          </cell>
          <cell r="H1020">
            <v>8.6999999999999993</v>
          </cell>
          <cell r="I1020">
            <v>57.2</v>
          </cell>
          <cell r="J1020">
            <v>4</v>
          </cell>
          <cell r="K1020">
            <v>11</v>
          </cell>
          <cell r="L1020">
            <v>170.59</v>
          </cell>
          <cell r="M1020">
            <v>16</v>
          </cell>
          <cell r="N1020">
            <v>32.299999999999997</v>
          </cell>
          <cell r="O1020">
            <v>1.2</v>
          </cell>
          <cell r="P1020">
            <v>8.3000000000000007</v>
          </cell>
          <cell r="S1020">
            <v>41.7</v>
          </cell>
          <cell r="T1020">
            <v>25.9</v>
          </cell>
          <cell r="U1020">
            <v>3</v>
          </cell>
        </row>
        <row r="1021">
          <cell r="B1021" t="str">
            <v>Male</v>
          </cell>
          <cell r="F1021">
            <v>9</v>
          </cell>
          <cell r="H1021">
            <v>10.199999999999999</v>
          </cell>
          <cell r="I1021">
            <v>61.6</v>
          </cell>
          <cell r="J1021">
            <v>5</v>
          </cell>
          <cell r="K1021">
            <v>18.2</v>
          </cell>
          <cell r="L1021">
            <v>84.04</v>
          </cell>
          <cell r="M1021">
            <v>68</v>
          </cell>
          <cell r="N1021">
            <v>44.52</v>
          </cell>
          <cell r="O1021">
            <v>17.7</v>
          </cell>
          <cell r="P1021">
            <v>24.3</v>
          </cell>
          <cell r="S1021">
            <v>10.6</v>
          </cell>
          <cell r="T1021">
            <v>21.4</v>
          </cell>
          <cell r="U1021">
            <v>1</v>
          </cell>
        </row>
        <row r="1022">
          <cell r="B1022" t="str">
            <v>Female</v>
          </cell>
          <cell r="F1022">
            <v>23</v>
          </cell>
          <cell r="G1022">
            <v>47</v>
          </cell>
          <cell r="I1022">
            <v>41.6</v>
          </cell>
          <cell r="J1022">
            <v>9</v>
          </cell>
          <cell r="K1022">
            <v>27.3</v>
          </cell>
          <cell r="L1022">
            <v>170.62</v>
          </cell>
          <cell r="M1022">
            <v>1</v>
          </cell>
          <cell r="N1022">
            <v>28.32</v>
          </cell>
          <cell r="O1022">
            <v>13.6</v>
          </cell>
          <cell r="P1022">
            <v>49.5</v>
          </cell>
          <cell r="S1022">
            <v>73.7</v>
          </cell>
          <cell r="T1022">
            <v>33.700000000000003</v>
          </cell>
        </row>
        <row r="1023">
          <cell r="B1023" t="str">
            <v>Female</v>
          </cell>
          <cell r="F1023">
            <v>10</v>
          </cell>
          <cell r="G1023">
            <v>33.799999999999997</v>
          </cell>
          <cell r="H1023">
            <v>12.1</v>
          </cell>
          <cell r="I1023">
            <v>54</v>
          </cell>
          <cell r="J1023">
            <v>6</v>
          </cell>
          <cell r="K1023" t="str">
            <v>15.600000000000001</v>
          </cell>
          <cell r="L1023">
            <v>146.91</v>
          </cell>
          <cell r="M1023">
            <v>3</v>
          </cell>
          <cell r="N1023">
            <v>68.040000000000006</v>
          </cell>
          <cell r="O1023">
            <v>0.6</v>
          </cell>
          <cell r="P1023">
            <v>44.2</v>
          </cell>
          <cell r="S1023">
            <v>52.9</v>
          </cell>
          <cell r="T1023">
            <v>24.9</v>
          </cell>
          <cell r="U1023">
            <v>1</v>
          </cell>
        </row>
        <row r="1024">
          <cell r="B1024" t="str">
            <v>Female</v>
          </cell>
          <cell r="F1024">
            <v>8</v>
          </cell>
          <cell r="G1024">
            <v>27.3</v>
          </cell>
          <cell r="H1024">
            <v>8.6999999999999993</v>
          </cell>
          <cell r="I1024">
            <v>39.700000000000003</v>
          </cell>
          <cell r="J1024">
            <v>9</v>
          </cell>
          <cell r="K1024">
            <v>14</v>
          </cell>
          <cell r="L1024">
            <v>77.66</v>
          </cell>
          <cell r="M1024">
            <v>25</v>
          </cell>
          <cell r="N1024">
            <v>57.8</v>
          </cell>
          <cell r="O1024">
            <v>7.1</v>
          </cell>
          <cell r="P1024">
            <v>22.8</v>
          </cell>
          <cell r="S1024">
            <v>8.6</v>
          </cell>
          <cell r="T1024">
            <v>19</v>
          </cell>
          <cell r="U1024">
            <v>2</v>
          </cell>
        </row>
        <row r="1025">
          <cell r="B1025" t="str">
            <v>Female</v>
          </cell>
          <cell r="F1025">
            <v>10</v>
          </cell>
          <cell r="H1025">
            <v>5.5</v>
          </cell>
          <cell r="I1025">
            <v>62</v>
          </cell>
          <cell r="J1025">
            <v>2</v>
          </cell>
          <cell r="K1025">
            <v>19</v>
          </cell>
          <cell r="L1025">
            <v>92.71</v>
          </cell>
          <cell r="M1025">
            <v>46</v>
          </cell>
          <cell r="N1025">
            <v>10.5</v>
          </cell>
          <cell r="P1025">
            <v>6</v>
          </cell>
          <cell r="S1025">
            <v>0</v>
          </cell>
          <cell r="T1025">
            <v>5.8</v>
          </cell>
          <cell r="U1025">
            <v>3</v>
          </cell>
        </row>
        <row r="1026">
          <cell r="B1026" t="str">
            <v>Male</v>
          </cell>
          <cell r="F1026">
            <v>16</v>
          </cell>
          <cell r="G1026">
            <v>23.2</v>
          </cell>
          <cell r="H1026">
            <v>6.5</v>
          </cell>
          <cell r="I1026">
            <v>56.8</v>
          </cell>
          <cell r="J1026">
            <v>4</v>
          </cell>
          <cell r="K1026">
            <v>22.1</v>
          </cell>
          <cell r="L1026">
            <v>94.82</v>
          </cell>
          <cell r="M1026">
            <v>8</v>
          </cell>
          <cell r="N1026">
            <v>42.12</v>
          </cell>
          <cell r="O1026">
            <v>10.6</v>
          </cell>
          <cell r="P1026">
            <v>22.6</v>
          </cell>
          <cell r="S1026">
            <v>32.799999999999997</v>
          </cell>
          <cell r="T1026">
            <v>25.4</v>
          </cell>
          <cell r="U1026">
            <v>1</v>
          </cell>
        </row>
        <row r="1027">
          <cell r="B1027" t="str">
            <v>Male</v>
          </cell>
          <cell r="F1027">
            <v>3</v>
          </cell>
          <cell r="G1027">
            <v>16.100000000000001</v>
          </cell>
          <cell r="H1027">
            <v>4.3</v>
          </cell>
          <cell r="I1027">
            <v>77.2</v>
          </cell>
          <cell r="J1027">
            <v>3</v>
          </cell>
          <cell r="K1027">
            <v>11</v>
          </cell>
          <cell r="L1027">
            <v>112.77</v>
          </cell>
          <cell r="M1027">
            <v>19</v>
          </cell>
          <cell r="N1027">
            <v>64.099999999999994</v>
          </cell>
          <cell r="O1027">
            <v>6.8</v>
          </cell>
          <cell r="P1027">
            <v>11.5</v>
          </cell>
          <cell r="S1027">
            <v>18</v>
          </cell>
          <cell r="T1027">
            <v>7.1</v>
          </cell>
          <cell r="U1027">
            <v>3</v>
          </cell>
        </row>
        <row r="1028">
          <cell r="B1028" t="str">
            <v>Female</v>
          </cell>
          <cell r="F1028">
            <v>6</v>
          </cell>
          <cell r="G1028">
            <v>21.4</v>
          </cell>
          <cell r="H1028">
            <v>10.4</v>
          </cell>
          <cell r="I1028">
            <v>57.4</v>
          </cell>
          <cell r="J1028">
            <v>8</v>
          </cell>
          <cell r="K1028" t="str">
            <v>11.700000000000001</v>
          </cell>
          <cell r="L1028">
            <v>74</v>
          </cell>
          <cell r="M1028">
            <v>3</v>
          </cell>
          <cell r="N1028">
            <v>42.72</v>
          </cell>
          <cell r="O1028">
            <v>14.8</v>
          </cell>
          <cell r="P1028">
            <v>13.8</v>
          </cell>
          <cell r="S1028">
            <v>16</v>
          </cell>
          <cell r="T1028">
            <v>11.7</v>
          </cell>
          <cell r="U1028">
            <v>2</v>
          </cell>
        </row>
        <row r="1029">
          <cell r="B1029" t="str">
            <v>Male</v>
          </cell>
          <cell r="F1029">
            <v>2</v>
          </cell>
          <cell r="G1029">
            <v>20.5</v>
          </cell>
          <cell r="H1029">
            <v>7</v>
          </cell>
          <cell r="I1029">
            <v>69.3</v>
          </cell>
          <cell r="J1029">
            <v>2</v>
          </cell>
          <cell r="K1029">
            <v>11</v>
          </cell>
          <cell r="L1029">
            <v>200.85</v>
          </cell>
          <cell r="M1029">
            <v>120</v>
          </cell>
          <cell r="N1029">
            <v>33</v>
          </cell>
          <cell r="O1029">
            <v>5.4</v>
          </cell>
          <cell r="P1029">
            <v>4.8</v>
          </cell>
          <cell r="S1029">
            <v>14.8</v>
          </cell>
          <cell r="T1029">
            <v>14.3</v>
          </cell>
          <cell r="U1029">
            <v>2</v>
          </cell>
        </row>
        <row r="1030">
          <cell r="B1030" t="str">
            <v>Male</v>
          </cell>
          <cell r="F1030">
            <v>11</v>
          </cell>
          <cell r="G1030">
            <v>8.5</v>
          </cell>
          <cell r="H1030">
            <v>5.8</v>
          </cell>
          <cell r="I1030">
            <v>61.9</v>
          </cell>
          <cell r="J1030">
            <v>0</v>
          </cell>
          <cell r="K1030">
            <v>2</v>
          </cell>
          <cell r="L1030">
            <v>134.38</v>
          </cell>
          <cell r="M1030">
            <v>5</v>
          </cell>
          <cell r="N1030">
            <v>57.2</v>
          </cell>
          <cell r="O1030">
            <v>5</v>
          </cell>
          <cell r="P1030">
            <v>8.4</v>
          </cell>
          <cell r="S1030">
            <v>28</v>
          </cell>
          <cell r="T1030">
            <v>2.1</v>
          </cell>
          <cell r="U1030">
            <v>2</v>
          </cell>
        </row>
        <row r="1031">
          <cell r="B1031" t="str">
            <v>Male</v>
          </cell>
          <cell r="F1031">
            <v>0</v>
          </cell>
          <cell r="G1031">
            <v>13.4</v>
          </cell>
          <cell r="H1031">
            <v>5.7</v>
          </cell>
          <cell r="I1031">
            <v>62.1</v>
          </cell>
          <cell r="J1031">
            <v>1</v>
          </cell>
          <cell r="K1031">
            <v>4</v>
          </cell>
          <cell r="L1031">
            <v>155.31</v>
          </cell>
          <cell r="M1031">
            <v>53</v>
          </cell>
          <cell r="N1031">
            <v>37.799999999999997</v>
          </cell>
          <cell r="O1031">
            <v>8.8000000000000007</v>
          </cell>
          <cell r="P1031">
            <v>20.399999999999999</v>
          </cell>
          <cell r="S1031">
            <v>0</v>
          </cell>
          <cell r="T1031">
            <v>14.8</v>
          </cell>
          <cell r="U1031">
            <v>3</v>
          </cell>
        </row>
        <row r="1032">
          <cell r="B1032" t="str">
            <v>Female</v>
          </cell>
          <cell r="F1032">
            <v>31</v>
          </cell>
          <cell r="G1032">
            <v>47.4</v>
          </cell>
          <cell r="H1032">
            <v>13.4</v>
          </cell>
          <cell r="I1032">
            <v>43.4</v>
          </cell>
          <cell r="J1032">
            <v>7</v>
          </cell>
          <cell r="K1032">
            <v>26</v>
          </cell>
          <cell r="L1032">
            <v>170.46</v>
          </cell>
          <cell r="M1032">
            <v>170</v>
          </cell>
          <cell r="N1032">
            <v>43.8</v>
          </cell>
          <cell r="O1032">
            <v>12.8</v>
          </cell>
          <cell r="P1032">
            <v>49.6</v>
          </cell>
          <cell r="S1032">
            <v>56.3</v>
          </cell>
          <cell r="T1032">
            <v>29.6</v>
          </cell>
          <cell r="U1032">
            <v>4</v>
          </cell>
        </row>
        <row r="1033">
          <cell r="B1033" t="str">
            <v>Male</v>
          </cell>
          <cell r="F1033">
            <v>14</v>
          </cell>
          <cell r="G1033">
            <v>35.5</v>
          </cell>
          <cell r="H1033">
            <v>8.9</v>
          </cell>
          <cell r="I1033">
            <v>54.2</v>
          </cell>
          <cell r="J1033">
            <v>3</v>
          </cell>
          <cell r="K1033">
            <v>19</v>
          </cell>
          <cell r="L1033">
            <v>143.5</v>
          </cell>
          <cell r="M1033">
            <v>37</v>
          </cell>
          <cell r="N1033">
            <v>56.5</v>
          </cell>
          <cell r="O1033">
            <v>7.9</v>
          </cell>
          <cell r="P1033">
            <v>24.8</v>
          </cell>
          <cell r="U1033">
            <v>4</v>
          </cell>
        </row>
        <row r="1034">
          <cell r="B1034" t="str">
            <v>Female</v>
          </cell>
          <cell r="F1034">
            <v>13</v>
          </cell>
          <cell r="G1034">
            <v>23.8</v>
          </cell>
          <cell r="H1034">
            <v>5.6</v>
          </cell>
          <cell r="I1034">
            <v>72.7</v>
          </cell>
          <cell r="J1034">
            <v>3</v>
          </cell>
          <cell r="K1034">
            <v>14.3</v>
          </cell>
          <cell r="L1034">
            <v>146.82</v>
          </cell>
          <cell r="M1034">
            <v>42</v>
          </cell>
          <cell r="N1034">
            <v>64.319999999999993</v>
          </cell>
          <cell r="O1034">
            <v>3.6</v>
          </cell>
          <cell r="P1034">
            <v>10.7</v>
          </cell>
          <cell r="S1034">
            <v>0.3</v>
          </cell>
          <cell r="T1034">
            <v>21.1</v>
          </cell>
          <cell r="U1034">
            <v>2</v>
          </cell>
        </row>
        <row r="1035">
          <cell r="B1035" t="str">
            <v>Female</v>
          </cell>
          <cell r="F1035">
            <v>19</v>
          </cell>
          <cell r="G1035">
            <v>34.1</v>
          </cell>
          <cell r="H1035">
            <v>7.9</v>
          </cell>
          <cell r="I1035">
            <v>41.6</v>
          </cell>
          <cell r="J1035">
            <v>6</v>
          </cell>
          <cell r="K1035">
            <v>14</v>
          </cell>
          <cell r="L1035">
            <v>76.31</v>
          </cell>
          <cell r="M1035">
            <v>1</v>
          </cell>
          <cell r="N1035">
            <v>60.1</v>
          </cell>
          <cell r="O1035">
            <v>1.9</v>
          </cell>
          <cell r="P1035">
            <v>18.2</v>
          </cell>
          <cell r="S1035">
            <v>29.2</v>
          </cell>
          <cell r="T1035">
            <v>25.9</v>
          </cell>
        </row>
        <row r="1036">
          <cell r="B1036" t="str">
            <v>Male</v>
          </cell>
          <cell r="F1036">
            <v>4</v>
          </cell>
          <cell r="G1036">
            <v>22.8</v>
          </cell>
          <cell r="H1036">
            <v>10.6</v>
          </cell>
          <cell r="I1036">
            <v>71.900000000000006</v>
          </cell>
          <cell r="J1036">
            <v>1</v>
          </cell>
          <cell r="K1036">
            <v>13</v>
          </cell>
          <cell r="L1036">
            <v>125.79</v>
          </cell>
          <cell r="M1036">
            <v>13</v>
          </cell>
          <cell r="N1036">
            <v>46.3</v>
          </cell>
          <cell r="O1036">
            <v>8.9</v>
          </cell>
          <cell r="P1036">
            <v>1.6</v>
          </cell>
          <cell r="S1036">
            <v>51.6</v>
          </cell>
          <cell r="T1036">
            <v>7.2</v>
          </cell>
        </row>
        <row r="1037">
          <cell r="B1037" t="str">
            <v>Female</v>
          </cell>
          <cell r="F1037">
            <v>2</v>
          </cell>
          <cell r="G1037">
            <v>12.9</v>
          </cell>
          <cell r="I1037">
            <v>80.099999999999994</v>
          </cell>
          <cell r="J1037">
            <v>0</v>
          </cell>
          <cell r="K1037" t="str">
            <v>7.800000000000001</v>
          </cell>
          <cell r="L1037">
            <v>176.36</v>
          </cell>
          <cell r="M1037">
            <v>24</v>
          </cell>
          <cell r="N1037" t="str">
            <v>52.440000000000005</v>
          </cell>
          <cell r="O1037">
            <v>6.6</v>
          </cell>
          <cell r="P1037">
            <v>0</v>
          </cell>
          <cell r="S1037">
            <v>0</v>
          </cell>
          <cell r="T1037">
            <v>8.1</v>
          </cell>
          <cell r="U1037">
            <v>2</v>
          </cell>
        </row>
        <row r="1038">
          <cell r="B1038" t="str">
            <v>Female</v>
          </cell>
          <cell r="F1038">
            <v>15</v>
          </cell>
          <cell r="G1038">
            <v>24.6</v>
          </cell>
          <cell r="H1038">
            <v>6.5</v>
          </cell>
          <cell r="I1038">
            <v>57.2</v>
          </cell>
          <cell r="J1038">
            <v>1</v>
          </cell>
          <cell r="K1038">
            <v>12</v>
          </cell>
          <cell r="L1038">
            <v>188.74</v>
          </cell>
          <cell r="M1038">
            <v>3</v>
          </cell>
          <cell r="N1038">
            <v>30.6</v>
          </cell>
          <cell r="O1038">
            <v>5.0999999999999996</v>
          </cell>
          <cell r="P1038">
            <v>30.2</v>
          </cell>
          <cell r="S1038">
            <v>43.9</v>
          </cell>
          <cell r="T1038">
            <v>15.6</v>
          </cell>
          <cell r="U1038">
            <v>2</v>
          </cell>
        </row>
        <row r="1039">
          <cell r="B1039" t="str">
            <v>Male</v>
          </cell>
          <cell r="F1039">
            <v>25</v>
          </cell>
          <cell r="G1039">
            <v>46.6</v>
          </cell>
          <cell r="H1039">
            <v>15.1</v>
          </cell>
          <cell r="I1039">
            <v>15.2</v>
          </cell>
          <cell r="J1039">
            <v>16</v>
          </cell>
          <cell r="K1039">
            <v>26</v>
          </cell>
          <cell r="L1039">
            <v>110.36</v>
          </cell>
          <cell r="M1039">
            <v>47</v>
          </cell>
          <cell r="N1039">
            <v>20.6</v>
          </cell>
          <cell r="O1039">
            <v>1.9</v>
          </cell>
          <cell r="P1039">
            <v>51.1</v>
          </cell>
          <cell r="S1039">
            <v>73.900000000000006</v>
          </cell>
          <cell r="T1039">
            <v>43.7</v>
          </cell>
          <cell r="U1039">
            <v>1</v>
          </cell>
        </row>
        <row r="1040">
          <cell r="B1040" t="str">
            <v>Female</v>
          </cell>
          <cell r="F1040">
            <v>8</v>
          </cell>
          <cell r="G1040">
            <v>21.2</v>
          </cell>
          <cell r="H1040">
            <v>6.5</v>
          </cell>
          <cell r="I1040">
            <v>61.3</v>
          </cell>
          <cell r="J1040">
            <v>2</v>
          </cell>
          <cell r="K1040">
            <v>13</v>
          </cell>
          <cell r="L1040">
            <v>148.69</v>
          </cell>
          <cell r="M1040">
            <v>17</v>
          </cell>
          <cell r="N1040">
            <v>11.3</v>
          </cell>
          <cell r="O1040">
            <v>9.6999999999999993</v>
          </cell>
          <cell r="P1040">
            <v>33.4</v>
          </cell>
          <cell r="S1040">
            <v>28</v>
          </cell>
          <cell r="T1040">
            <v>16.5</v>
          </cell>
          <cell r="U1040">
            <v>3</v>
          </cell>
        </row>
        <row r="1041">
          <cell r="B1041" t="str">
            <v>Female</v>
          </cell>
          <cell r="F1041">
            <v>20</v>
          </cell>
          <cell r="G1041">
            <v>37.9</v>
          </cell>
          <cell r="H1041">
            <v>13.2</v>
          </cell>
          <cell r="I1041">
            <v>46.8</v>
          </cell>
          <cell r="J1041">
            <v>3</v>
          </cell>
          <cell r="K1041">
            <v>17</v>
          </cell>
          <cell r="L1041">
            <v>46.54</v>
          </cell>
          <cell r="M1041">
            <v>3</v>
          </cell>
          <cell r="N1041">
            <v>44</v>
          </cell>
          <cell r="O1041">
            <v>9.1</v>
          </cell>
          <cell r="P1041">
            <v>35.5</v>
          </cell>
          <cell r="S1041">
            <v>63.3</v>
          </cell>
          <cell r="T1041">
            <v>26</v>
          </cell>
          <cell r="U1041">
            <v>2</v>
          </cell>
        </row>
        <row r="1042">
          <cell r="B1042" t="str">
            <v>Female</v>
          </cell>
          <cell r="F1042">
            <v>10</v>
          </cell>
          <cell r="H1042">
            <v>6</v>
          </cell>
          <cell r="I1042">
            <v>74.599999999999994</v>
          </cell>
          <cell r="J1042">
            <v>3</v>
          </cell>
          <cell r="K1042">
            <v>8</v>
          </cell>
          <cell r="L1042">
            <v>50.9</v>
          </cell>
          <cell r="M1042">
            <v>31</v>
          </cell>
          <cell r="N1042">
            <v>30.8</v>
          </cell>
          <cell r="O1042">
            <v>2.6</v>
          </cell>
          <cell r="P1042">
            <v>14.2</v>
          </cell>
          <cell r="S1042">
            <v>27.6</v>
          </cell>
          <cell r="U1042">
            <v>2</v>
          </cell>
        </row>
        <row r="1043">
          <cell r="B1043" t="str">
            <v>Male</v>
          </cell>
          <cell r="F1043">
            <v>6</v>
          </cell>
          <cell r="G1043">
            <v>25.2</v>
          </cell>
          <cell r="H1043">
            <v>6</v>
          </cell>
          <cell r="I1043">
            <v>69.5</v>
          </cell>
          <cell r="J1043">
            <v>4</v>
          </cell>
          <cell r="K1043">
            <v>7</v>
          </cell>
          <cell r="L1043">
            <v>269.37</v>
          </cell>
          <cell r="M1043">
            <v>109</v>
          </cell>
          <cell r="N1043">
            <v>56.8</v>
          </cell>
          <cell r="O1043">
            <v>10.7</v>
          </cell>
          <cell r="P1043">
            <v>16.8</v>
          </cell>
          <cell r="S1043">
            <v>0</v>
          </cell>
          <cell r="T1043">
            <v>16.8</v>
          </cell>
          <cell r="U1043">
            <v>3</v>
          </cell>
        </row>
        <row r="1044">
          <cell r="B1044" t="str">
            <v>Female</v>
          </cell>
          <cell r="F1044">
            <v>14</v>
          </cell>
          <cell r="G1044">
            <v>28.2</v>
          </cell>
          <cell r="H1044">
            <v>11.6</v>
          </cell>
          <cell r="I1044">
            <v>61.2</v>
          </cell>
          <cell r="J1044">
            <v>5</v>
          </cell>
          <cell r="K1044">
            <v>17</v>
          </cell>
          <cell r="L1044">
            <v>57.66</v>
          </cell>
          <cell r="M1044">
            <v>65</v>
          </cell>
          <cell r="N1044">
            <v>33.200000000000003</v>
          </cell>
          <cell r="O1044">
            <v>6.4</v>
          </cell>
          <cell r="P1044">
            <v>17.3</v>
          </cell>
          <cell r="S1044">
            <v>17.7</v>
          </cell>
          <cell r="T1044">
            <v>25.6</v>
          </cell>
          <cell r="U1044">
            <v>2</v>
          </cell>
        </row>
        <row r="1045">
          <cell r="B1045" t="str">
            <v>Male</v>
          </cell>
          <cell r="F1045">
            <v>2</v>
          </cell>
          <cell r="G1045">
            <v>18</v>
          </cell>
          <cell r="H1045">
            <v>4.8</v>
          </cell>
          <cell r="I1045">
            <v>72.099999999999994</v>
          </cell>
          <cell r="J1045">
            <v>0</v>
          </cell>
          <cell r="K1045">
            <v>6</v>
          </cell>
          <cell r="L1045">
            <v>122.84</v>
          </cell>
          <cell r="M1045">
            <v>48</v>
          </cell>
          <cell r="N1045">
            <v>30.2</v>
          </cell>
          <cell r="O1045">
            <v>8.6</v>
          </cell>
          <cell r="P1045">
            <v>0</v>
          </cell>
          <cell r="S1045">
            <v>20.7</v>
          </cell>
          <cell r="T1045">
            <v>7.3</v>
          </cell>
          <cell r="U1045">
            <v>2</v>
          </cell>
        </row>
        <row r="1046">
          <cell r="B1046" t="str">
            <v>Female</v>
          </cell>
          <cell r="F1046">
            <v>14</v>
          </cell>
          <cell r="I1046">
            <v>73.8</v>
          </cell>
          <cell r="K1046" t="str">
            <v>16.900000000000002</v>
          </cell>
          <cell r="L1046">
            <v>88.53</v>
          </cell>
          <cell r="M1046">
            <v>20</v>
          </cell>
          <cell r="N1046" t="str">
            <v>36.239999999999995</v>
          </cell>
          <cell r="O1046">
            <v>2.9</v>
          </cell>
          <cell r="P1046">
            <v>14.3</v>
          </cell>
          <cell r="S1046">
            <v>31.2</v>
          </cell>
          <cell r="T1046">
            <v>13.8</v>
          </cell>
          <cell r="U1046">
            <v>2</v>
          </cell>
        </row>
        <row r="1047">
          <cell r="B1047" t="str">
            <v>Male</v>
          </cell>
          <cell r="F1047">
            <v>25</v>
          </cell>
          <cell r="G1047">
            <v>43.5</v>
          </cell>
          <cell r="H1047">
            <v>7.8</v>
          </cell>
          <cell r="I1047">
            <v>43.7</v>
          </cell>
          <cell r="J1047">
            <v>4</v>
          </cell>
          <cell r="K1047">
            <v>17</v>
          </cell>
          <cell r="L1047">
            <v>66.09</v>
          </cell>
          <cell r="M1047">
            <v>32</v>
          </cell>
          <cell r="N1047">
            <v>29.6</v>
          </cell>
          <cell r="O1047">
            <v>10.8</v>
          </cell>
          <cell r="P1047">
            <v>33.5</v>
          </cell>
          <cell r="S1047">
            <v>51</v>
          </cell>
          <cell r="T1047">
            <v>40.4</v>
          </cell>
          <cell r="U1047">
            <v>4</v>
          </cell>
        </row>
        <row r="1048">
          <cell r="B1048" t="str">
            <v>Male</v>
          </cell>
          <cell r="F1048">
            <v>21</v>
          </cell>
          <cell r="G1048">
            <v>28.7</v>
          </cell>
          <cell r="H1048">
            <v>9.1</v>
          </cell>
          <cell r="I1048">
            <v>50.2</v>
          </cell>
          <cell r="J1048">
            <v>3</v>
          </cell>
          <cell r="K1048">
            <v>13</v>
          </cell>
          <cell r="L1048">
            <v>82.85</v>
          </cell>
          <cell r="M1048">
            <v>12</v>
          </cell>
          <cell r="N1048">
            <v>5.7</v>
          </cell>
          <cell r="O1048">
            <v>7.2</v>
          </cell>
          <cell r="P1048">
            <v>16.3</v>
          </cell>
          <cell r="S1048">
            <v>23.3</v>
          </cell>
          <cell r="U1048">
            <v>4</v>
          </cell>
        </row>
        <row r="1049">
          <cell r="B1049" t="str">
            <v>Male</v>
          </cell>
          <cell r="F1049">
            <v>0</v>
          </cell>
          <cell r="H1049">
            <v>3.7</v>
          </cell>
          <cell r="I1049">
            <v>75.099999999999994</v>
          </cell>
          <cell r="J1049">
            <v>0</v>
          </cell>
          <cell r="K1049">
            <v>4</v>
          </cell>
          <cell r="L1049">
            <v>164.96</v>
          </cell>
          <cell r="M1049">
            <v>46</v>
          </cell>
          <cell r="O1049">
            <v>7.7</v>
          </cell>
          <cell r="P1049">
            <v>0</v>
          </cell>
          <cell r="S1049">
            <v>0</v>
          </cell>
          <cell r="T1049">
            <v>7.6</v>
          </cell>
          <cell r="U1049">
            <v>2</v>
          </cell>
        </row>
        <row r="1050">
          <cell r="B1050" t="str">
            <v>Male</v>
          </cell>
          <cell r="F1050">
            <v>14</v>
          </cell>
          <cell r="G1050">
            <v>19.899999999999999</v>
          </cell>
          <cell r="H1050">
            <v>6.8</v>
          </cell>
          <cell r="I1050">
            <v>74.599999999999994</v>
          </cell>
          <cell r="J1050">
            <v>0</v>
          </cell>
          <cell r="K1050">
            <v>8</v>
          </cell>
          <cell r="L1050">
            <v>133.25</v>
          </cell>
          <cell r="M1050">
            <v>13</v>
          </cell>
          <cell r="N1050">
            <v>44.1</v>
          </cell>
          <cell r="O1050">
            <v>3</v>
          </cell>
          <cell r="P1050">
            <v>0</v>
          </cell>
          <cell r="S1050">
            <v>2.6</v>
          </cell>
          <cell r="T1050">
            <v>7.1</v>
          </cell>
          <cell r="U1050">
            <v>3</v>
          </cell>
        </row>
        <row r="1051">
          <cell r="B1051" t="str">
            <v>Male</v>
          </cell>
          <cell r="F1051">
            <v>10</v>
          </cell>
          <cell r="G1051">
            <v>16.600000000000001</v>
          </cell>
          <cell r="H1051">
            <v>1.2</v>
          </cell>
          <cell r="I1051">
            <v>68.3</v>
          </cell>
          <cell r="J1051">
            <v>3</v>
          </cell>
          <cell r="K1051">
            <v>8</v>
          </cell>
          <cell r="L1051">
            <v>108.18</v>
          </cell>
          <cell r="M1051">
            <v>21</v>
          </cell>
          <cell r="N1051">
            <v>34.700000000000003</v>
          </cell>
          <cell r="O1051">
            <v>8</v>
          </cell>
          <cell r="P1051">
            <v>0</v>
          </cell>
          <cell r="S1051">
            <v>11.9</v>
          </cell>
          <cell r="T1051">
            <v>11.2</v>
          </cell>
          <cell r="U1051">
            <v>1</v>
          </cell>
        </row>
        <row r="1052">
          <cell r="B1052" t="str">
            <v>Male</v>
          </cell>
          <cell r="F1052">
            <v>27</v>
          </cell>
          <cell r="G1052">
            <v>33.700000000000003</v>
          </cell>
          <cell r="H1052">
            <v>17.600000000000001</v>
          </cell>
          <cell r="I1052">
            <v>24.3</v>
          </cell>
          <cell r="J1052">
            <v>11</v>
          </cell>
          <cell r="K1052">
            <v>26</v>
          </cell>
          <cell r="L1052">
            <v>137.5</v>
          </cell>
          <cell r="M1052">
            <v>80</v>
          </cell>
          <cell r="N1052" t="str">
            <v>60.599999999999994</v>
          </cell>
          <cell r="O1052">
            <v>13.4</v>
          </cell>
          <cell r="P1052">
            <v>32.700000000000003</v>
          </cell>
          <cell r="T1052">
            <v>32.700000000000003</v>
          </cell>
          <cell r="U1052">
            <v>5</v>
          </cell>
        </row>
        <row r="1053">
          <cell r="B1053" t="str">
            <v>Female</v>
          </cell>
          <cell r="F1053">
            <v>6</v>
          </cell>
          <cell r="G1053">
            <v>26.9</v>
          </cell>
          <cell r="H1053">
            <v>4.3</v>
          </cell>
          <cell r="I1053">
            <v>71.099999999999994</v>
          </cell>
          <cell r="J1053">
            <v>6</v>
          </cell>
          <cell r="K1053">
            <v>6.5</v>
          </cell>
          <cell r="L1053">
            <v>96.14</v>
          </cell>
          <cell r="M1053">
            <v>18</v>
          </cell>
          <cell r="N1053">
            <v>60.48</v>
          </cell>
          <cell r="O1053">
            <v>4.2</v>
          </cell>
          <cell r="P1053">
            <v>0</v>
          </cell>
          <cell r="S1053">
            <v>11.9</v>
          </cell>
          <cell r="T1053">
            <v>22.6</v>
          </cell>
          <cell r="U1053">
            <v>2</v>
          </cell>
        </row>
        <row r="1054">
          <cell r="B1054" t="str">
            <v>Male</v>
          </cell>
          <cell r="F1054">
            <v>6</v>
          </cell>
          <cell r="G1054">
            <v>19.8</v>
          </cell>
          <cell r="H1054">
            <v>7.2</v>
          </cell>
          <cell r="I1054">
            <v>75.3</v>
          </cell>
          <cell r="J1054">
            <v>1</v>
          </cell>
          <cell r="K1054">
            <v>5</v>
          </cell>
          <cell r="L1054">
            <v>40.520000000000003</v>
          </cell>
          <cell r="M1054">
            <v>26</v>
          </cell>
          <cell r="N1054">
            <v>33.1</v>
          </cell>
          <cell r="O1054">
            <v>1.8</v>
          </cell>
          <cell r="P1054">
            <v>8.5</v>
          </cell>
          <cell r="S1054">
            <v>22.4</v>
          </cell>
          <cell r="T1054">
            <v>7.9</v>
          </cell>
          <cell r="U1054">
            <v>3</v>
          </cell>
        </row>
        <row r="1055">
          <cell r="B1055" t="str">
            <v>Male</v>
          </cell>
          <cell r="F1055">
            <v>11</v>
          </cell>
          <cell r="G1055">
            <v>22.4</v>
          </cell>
          <cell r="H1055">
            <v>8.3000000000000007</v>
          </cell>
          <cell r="I1055">
            <v>65.5</v>
          </cell>
          <cell r="J1055">
            <v>5</v>
          </cell>
          <cell r="K1055">
            <v>10</v>
          </cell>
          <cell r="L1055">
            <v>158.19</v>
          </cell>
          <cell r="M1055">
            <v>3</v>
          </cell>
          <cell r="N1055">
            <v>4.2</v>
          </cell>
          <cell r="O1055">
            <v>8.4</v>
          </cell>
          <cell r="P1055">
            <v>29.2</v>
          </cell>
          <cell r="S1055">
            <v>28.7</v>
          </cell>
          <cell r="T1055">
            <v>25.1</v>
          </cell>
          <cell r="U1055">
            <v>1</v>
          </cell>
        </row>
        <row r="1056">
          <cell r="B1056" t="str">
            <v>Male</v>
          </cell>
          <cell r="F1056">
            <v>13</v>
          </cell>
          <cell r="G1056">
            <v>19</v>
          </cell>
          <cell r="H1056">
            <v>5.3</v>
          </cell>
          <cell r="I1056">
            <v>62.7</v>
          </cell>
          <cell r="J1056">
            <v>0</v>
          </cell>
          <cell r="K1056" t="str">
            <v>3.9000000000000004</v>
          </cell>
          <cell r="L1056">
            <v>194.96</v>
          </cell>
          <cell r="M1056">
            <v>6</v>
          </cell>
          <cell r="N1056">
            <v>36.6</v>
          </cell>
          <cell r="O1056">
            <v>8.6</v>
          </cell>
          <cell r="P1056">
            <v>14.8</v>
          </cell>
          <cell r="S1056">
            <v>0</v>
          </cell>
          <cell r="T1056">
            <v>13.5</v>
          </cell>
          <cell r="U1056">
            <v>1</v>
          </cell>
        </row>
        <row r="1057">
          <cell r="B1057" t="str">
            <v>Female</v>
          </cell>
          <cell r="F1057">
            <v>7</v>
          </cell>
          <cell r="G1057">
            <v>12.6</v>
          </cell>
          <cell r="H1057">
            <v>4.5999999999999996</v>
          </cell>
          <cell r="I1057">
            <v>68.2</v>
          </cell>
          <cell r="J1057">
            <v>1</v>
          </cell>
          <cell r="K1057">
            <v>12</v>
          </cell>
          <cell r="L1057">
            <v>141.27000000000001</v>
          </cell>
          <cell r="M1057">
            <v>4</v>
          </cell>
          <cell r="N1057">
            <v>33.299999999999997</v>
          </cell>
          <cell r="O1057">
            <v>3.3</v>
          </cell>
          <cell r="P1057">
            <v>8.1999999999999993</v>
          </cell>
          <cell r="S1057">
            <v>18.3</v>
          </cell>
          <cell r="T1057">
            <v>22.4</v>
          </cell>
          <cell r="U1057">
            <v>5</v>
          </cell>
        </row>
        <row r="1058">
          <cell r="B1058" t="str">
            <v>Female</v>
          </cell>
          <cell r="F1058">
            <v>10</v>
          </cell>
          <cell r="G1058">
            <v>25.9</v>
          </cell>
          <cell r="H1058">
            <v>8.3000000000000007</v>
          </cell>
          <cell r="I1058">
            <v>69.900000000000006</v>
          </cell>
          <cell r="J1058">
            <v>2</v>
          </cell>
          <cell r="K1058">
            <v>8</v>
          </cell>
          <cell r="L1058">
            <v>192.23</v>
          </cell>
          <cell r="M1058">
            <v>2</v>
          </cell>
          <cell r="N1058">
            <v>48.6</v>
          </cell>
          <cell r="O1058">
            <v>9.1999999999999993</v>
          </cell>
          <cell r="P1058">
            <v>20.2</v>
          </cell>
          <cell r="T1058">
            <v>10.199999999999999</v>
          </cell>
          <cell r="U1058">
            <v>2</v>
          </cell>
        </row>
        <row r="1059">
          <cell r="B1059" t="str">
            <v>Male</v>
          </cell>
          <cell r="F1059">
            <v>13</v>
          </cell>
          <cell r="G1059">
            <v>24.8</v>
          </cell>
          <cell r="H1059">
            <v>7.3</v>
          </cell>
          <cell r="I1059">
            <v>60.8</v>
          </cell>
          <cell r="J1059">
            <v>5</v>
          </cell>
          <cell r="K1059">
            <v>12</v>
          </cell>
          <cell r="L1059">
            <v>134.27000000000001</v>
          </cell>
          <cell r="M1059">
            <v>38</v>
          </cell>
          <cell r="N1059">
            <v>33.299999999999997</v>
          </cell>
          <cell r="O1059">
            <v>4.5</v>
          </cell>
          <cell r="P1059">
            <v>12.4</v>
          </cell>
          <cell r="S1059">
            <v>41.4</v>
          </cell>
          <cell r="T1059">
            <v>14</v>
          </cell>
          <cell r="U1059">
            <v>3</v>
          </cell>
        </row>
        <row r="1060">
          <cell r="B1060" t="str">
            <v>Male</v>
          </cell>
          <cell r="F1060">
            <v>10</v>
          </cell>
          <cell r="G1060">
            <v>43.7</v>
          </cell>
          <cell r="H1060">
            <v>11.2</v>
          </cell>
          <cell r="I1060">
            <v>21.9</v>
          </cell>
          <cell r="K1060">
            <v>18</v>
          </cell>
          <cell r="L1060">
            <v>100.01</v>
          </cell>
          <cell r="N1060">
            <v>39.6</v>
          </cell>
          <cell r="O1060">
            <v>6.2</v>
          </cell>
          <cell r="P1060">
            <v>49.7</v>
          </cell>
          <cell r="T1060">
            <v>33.5</v>
          </cell>
          <cell r="U1060">
            <v>2</v>
          </cell>
        </row>
        <row r="1061">
          <cell r="B1061" t="str">
            <v>Male</v>
          </cell>
          <cell r="F1061">
            <v>0</v>
          </cell>
          <cell r="G1061">
            <v>10.4</v>
          </cell>
          <cell r="H1061">
            <v>5.6</v>
          </cell>
          <cell r="I1061">
            <v>66.8</v>
          </cell>
          <cell r="J1061">
            <v>2</v>
          </cell>
          <cell r="K1061">
            <v>5</v>
          </cell>
          <cell r="L1061">
            <v>131.87</v>
          </cell>
          <cell r="M1061">
            <v>25</v>
          </cell>
          <cell r="N1061">
            <v>62.2</v>
          </cell>
          <cell r="O1061">
            <v>5.8</v>
          </cell>
          <cell r="P1061">
            <v>24.6</v>
          </cell>
          <cell r="S1061">
            <v>12.7</v>
          </cell>
          <cell r="U1061">
            <v>2</v>
          </cell>
        </row>
        <row r="1062">
          <cell r="B1062" t="str">
            <v>Female</v>
          </cell>
          <cell r="F1062">
            <v>16</v>
          </cell>
          <cell r="G1062">
            <v>34.5</v>
          </cell>
          <cell r="H1062">
            <v>9.6</v>
          </cell>
          <cell r="I1062">
            <v>62.1</v>
          </cell>
          <cell r="J1062">
            <v>7</v>
          </cell>
          <cell r="K1062">
            <v>18</v>
          </cell>
          <cell r="L1062">
            <v>166.54</v>
          </cell>
          <cell r="M1062">
            <v>7</v>
          </cell>
          <cell r="N1062">
            <v>22.8</v>
          </cell>
          <cell r="O1062">
            <v>4.4000000000000004</v>
          </cell>
          <cell r="P1062">
            <v>34.299999999999997</v>
          </cell>
          <cell r="S1062">
            <v>41.1</v>
          </cell>
        </row>
        <row r="1063">
          <cell r="B1063" t="str">
            <v>Female</v>
          </cell>
          <cell r="F1063">
            <v>7</v>
          </cell>
          <cell r="G1063">
            <v>28.3</v>
          </cell>
          <cell r="H1063">
            <v>4.3</v>
          </cell>
          <cell r="I1063">
            <v>50.9</v>
          </cell>
          <cell r="J1063">
            <v>6</v>
          </cell>
          <cell r="K1063" t="str">
            <v>11.700000000000001</v>
          </cell>
          <cell r="L1063">
            <v>81.180000000000007</v>
          </cell>
          <cell r="M1063">
            <v>6</v>
          </cell>
          <cell r="N1063">
            <v>72</v>
          </cell>
          <cell r="O1063">
            <v>4.8</v>
          </cell>
          <cell r="P1063">
            <v>23.7</v>
          </cell>
          <cell r="S1063">
            <v>38.700000000000003</v>
          </cell>
          <cell r="T1063">
            <v>14.5</v>
          </cell>
          <cell r="U1063">
            <v>1</v>
          </cell>
        </row>
        <row r="1064">
          <cell r="B1064" t="str">
            <v>Male</v>
          </cell>
          <cell r="F1064">
            <v>19</v>
          </cell>
          <cell r="G1064">
            <v>38.1</v>
          </cell>
          <cell r="H1064">
            <v>11.9</v>
          </cell>
          <cell r="I1064">
            <v>47.7</v>
          </cell>
          <cell r="J1064">
            <v>8</v>
          </cell>
          <cell r="K1064">
            <v>16</v>
          </cell>
          <cell r="L1064">
            <v>51.31</v>
          </cell>
          <cell r="M1064">
            <v>8</v>
          </cell>
          <cell r="N1064">
            <v>82.5</v>
          </cell>
          <cell r="O1064">
            <v>12.4</v>
          </cell>
          <cell r="P1064">
            <v>27.9</v>
          </cell>
          <cell r="S1064">
            <v>70.900000000000006</v>
          </cell>
          <cell r="T1064">
            <v>21.7</v>
          </cell>
          <cell r="U1064">
            <v>3</v>
          </cell>
        </row>
        <row r="1065">
          <cell r="B1065" t="str">
            <v>Female</v>
          </cell>
          <cell r="F1065">
            <v>19</v>
          </cell>
          <cell r="G1065">
            <v>43.2</v>
          </cell>
          <cell r="I1065">
            <v>33.799999999999997</v>
          </cell>
          <cell r="J1065">
            <v>6</v>
          </cell>
          <cell r="K1065" t="str">
            <v>23.400000000000002</v>
          </cell>
          <cell r="L1065">
            <v>135.63</v>
          </cell>
          <cell r="M1065">
            <v>3</v>
          </cell>
          <cell r="N1065">
            <v>13.08</v>
          </cell>
          <cell r="O1065">
            <v>7.2</v>
          </cell>
          <cell r="P1065">
            <v>34.4</v>
          </cell>
          <cell r="S1065">
            <v>40.700000000000003</v>
          </cell>
          <cell r="U1065">
            <v>1</v>
          </cell>
        </row>
        <row r="1066">
          <cell r="B1066" t="str">
            <v>Male</v>
          </cell>
          <cell r="F1066">
            <v>14</v>
          </cell>
          <cell r="G1066">
            <v>20.6</v>
          </cell>
          <cell r="H1066">
            <v>3.4</v>
          </cell>
          <cell r="I1066">
            <v>74.2</v>
          </cell>
          <cell r="J1066">
            <v>3</v>
          </cell>
          <cell r="K1066">
            <v>9</v>
          </cell>
          <cell r="L1066">
            <v>105.07</v>
          </cell>
          <cell r="M1066">
            <v>14</v>
          </cell>
          <cell r="N1066">
            <v>36.200000000000003</v>
          </cell>
          <cell r="O1066">
            <v>16.2</v>
          </cell>
          <cell r="P1066">
            <v>0</v>
          </cell>
          <cell r="T1066">
            <v>12.5</v>
          </cell>
          <cell r="U1066">
            <v>3</v>
          </cell>
        </row>
        <row r="1067">
          <cell r="B1067" t="str">
            <v>Female</v>
          </cell>
          <cell r="F1067">
            <v>7</v>
          </cell>
          <cell r="G1067">
            <v>32.4</v>
          </cell>
          <cell r="H1067">
            <v>9.6999999999999993</v>
          </cell>
          <cell r="I1067">
            <v>62.2</v>
          </cell>
          <cell r="J1067">
            <v>5</v>
          </cell>
          <cell r="K1067">
            <v>14</v>
          </cell>
          <cell r="L1067">
            <v>54.38</v>
          </cell>
          <cell r="M1067">
            <v>2</v>
          </cell>
          <cell r="N1067">
            <v>10</v>
          </cell>
          <cell r="O1067">
            <v>1.8</v>
          </cell>
          <cell r="P1067">
            <v>22.4</v>
          </cell>
          <cell r="T1067">
            <v>29.6</v>
          </cell>
          <cell r="U1067">
            <v>2</v>
          </cell>
        </row>
        <row r="1068">
          <cell r="B1068" t="str">
            <v>Female</v>
          </cell>
          <cell r="F1068">
            <v>10</v>
          </cell>
          <cell r="G1068">
            <v>25.2</v>
          </cell>
          <cell r="H1068">
            <v>7.8</v>
          </cell>
          <cell r="I1068">
            <v>43.8</v>
          </cell>
          <cell r="J1068">
            <v>4</v>
          </cell>
          <cell r="K1068" t="str">
            <v>15.600000000000001</v>
          </cell>
          <cell r="L1068">
            <v>166.84</v>
          </cell>
          <cell r="N1068" t="str">
            <v>79.91999999999999</v>
          </cell>
          <cell r="O1068">
            <v>4.5</v>
          </cell>
          <cell r="P1068">
            <v>14.5</v>
          </cell>
          <cell r="S1068">
            <v>22.2</v>
          </cell>
          <cell r="T1068">
            <v>21.9</v>
          </cell>
          <cell r="U1068">
            <v>5</v>
          </cell>
        </row>
        <row r="1069">
          <cell r="B1069" t="str">
            <v>Male</v>
          </cell>
          <cell r="F1069">
            <v>24</v>
          </cell>
          <cell r="G1069">
            <v>40.4</v>
          </cell>
          <cell r="H1069">
            <v>14.2</v>
          </cell>
          <cell r="I1069">
            <v>33.4</v>
          </cell>
          <cell r="J1069">
            <v>6</v>
          </cell>
          <cell r="K1069">
            <v>20</v>
          </cell>
          <cell r="L1069">
            <v>119.93</v>
          </cell>
          <cell r="M1069">
            <v>142</v>
          </cell>
          <cell r="N1069">
            <v>16.7</v>
          </cell>
          <cell r="O1069">
            <v>1.9</v>
          </cell>
          <cell r="P1069">
            <v>61.4</v>
          </cell>
          <cell r="S1069">
            <v>38.799999999999997</v>
          </cell>
          <cell r="T1069">
            <v>29</v>
          </cell>
          <cell r="U1069">
            <v>3</v>
          </cell>
        </row>
        <row r="1070">
          <cell r="B1070" t="str">
            <v>Male</v>
          </cell>
          <cell r="F1070">
            <v>0</v>
          </cell>
          <cell r="H1070">
            <v>3.5</v>
          </cell>
          <cell r="I1070">
            <v>75.400000000000006</v>
          </cell>
          <cell r="J1070">
            <v>2</v>
          </cell>
          <cell r="K1070" t="str">
            <v>11.700000000000001</v>
          </cell>
          <cell r="L1070">
            <v>106.5</v>
          </cell>
          <cell r="M1070">
            <v>8</v>
          </cell>
          <cell r="N1070">
            <v>42.48</v>
          </cell>
          <cell r="O1070">
            <v>1.2</v>
          </cell>
          <cell r="P1070">
            <v>16.7</v>
          </cell>
          <cell r="S1070">
            <v>0</v>
          </cell>
          <cell r="T1070">
            <v>14.6</v>
          </cell>
          <cell r="U1070">
            <v>2</v>
          </cell>
        </row>
        <row r="1071">
          <cell r="B1071" t="str">
            <v>Female</v>
          </cell>
          <cell r="F1071">
            <v>17</v>
          </cell>
          <cell r="G1071">
            <v>30.4</v>
          </cell>
          <cell r="H1071">
            <v>9.1999999999999993</v>
          </cell>
          <cell r="I1071">
            <v>39.700000000000003</v>
          </cell>
          <cell r="J1071">
            <v>3</v>
          </cell>
          <cell r="K1071">
            <v>10</v>
          </cell>
          <cell r="L1071">
            <v>62.49</v>
          </cell>
          <cell r="M1071">
            <v>20</v>
          </cell>
          <cell r="N1071">
            <v>33.1</v>
          </cell>
          <cell r="O1071">
            <v>7.4</v>
          </cell>
          <cell r="P1071">
            <v>19.8</v>
          </cell>
          <cell r="S1071">
            <v>40.6</v>
          </cell>
          <cell r="T1071">
            <v>12.1</v>
          </cell>
          <cell r="U1071">
            <v>1</v>
          </cell>
        </row>
        <row r="1072">
          <cell r="B1072" t="str">
            <v>Male</v>
          </cell>
          <cell r="F1072">
            <v>27</v>
          </cell>
          <cell r="G1072">
            <v>47.5</v>
          </cell>
          <cell r="H1072">
            <v>14.4</v>
          </cell>
          <cell r="I1072">
            <v>21.2</v>
          </cell>
          <cell r="J1072">
            <v>8</v>
          </cell>
          <cell r="K1072">
            <v>24</v>
          </cell>
          <cell r="L1072">
            <v>112.87</v>
          </cell>
          <cell r="M1072">
            <v>3</v>
          </cell>
          <cell r="N1072">
            <v>41</v>
          </cell>
          <cell r="O1072">
            <v>0.3</v>
          </cell>
          <cell r="P1072">
            <v>44</v>
          </cell>
          <cell r="S1072">
            <v>52.5</v>
          </cell>
          <cell r="T1072">
            <v>23.8</v>
          </cell>
          <cell r="U1072">
            <v>3</v>
          </cell>
        </row>
        <row r="1073">
          <cell r="B1073" t="str">
            <v>Female</v>
          </cell>
          <cell r="F1073">
            <v>12</v>
          </cell>
          <cell r="G1073">
            <v>19.2</v>
          </cell>
          <cell r="H1073">
            <v>6</v>
          </cell>
          <cell r="I1073">
            <v>67.3</v>
          </cell>
          <cell r="J1073">
            <v>4</v>
          </cell>
          <cell r="K1073">
            <v>8</v>
          </cell>
          <cell r="L1073">
            <v>123.94</v>
          </cell>
          <cell r="M1073">
            <v>19</v>
          </cell>
          <cell r="N1073">
            <v>33.200000000000003</v>
          </cell>
          <cell r="O1073">
            <v>5.5</v>
          </cell>
          <cell r="P1073">
            <v>18.8</v>
          </cell>
          <cell r="T1073">
            <v>10.5</v>
          </cell>
          <cell r="U1073">
            <v>3</v>
          </cell>
        </row>
        <row r="1074">
          <cell r="B1074" t="str">
            <v>Female</v>
          </cell>
          <cell r="F1074">
            <v>21</v>
          </cell>
          <cell r="G1074">
            <v>54</v>
          </cell>
          <cell r="H1074">
            <v>15.4</v>
          </cell>
          <cell r="I1074">
            <v>26.8</v>
          </cell>
          <cell r="J1074">
            <v>16</v>
          </cell>
          <cell r="K1074">
            <v>22</v>
          </cell>
          <cell r="L1074">
            <v>147.6</v>
          </cell>
          <cell r="M1074">
            <v>36</v>
          </cell>
          <cell r="N1074">
            <v>32.700000000000003</v>
          </cell>
          <cell r="O1074">
            <v>1.9</v>
          </cell>
          <cell r="P1074">
            <v>41.2</v>
          </cell>
          <cell r="S1074">
            <v>34.299999999999997</v>
          </cell>
          <cell r="U1074">
            <v>2</v>
          </cell>
        </row>
        <row r="1075">
          <cell r="B1075" t="str">
            <v>Female</v>
          </cell>
          <cell r="F1075">
            <v>0</v>
          </cell>
          <cell r="I1075">
            <v>92</v>
          </cell>
          <cell r="J1075">
            <v>0</v>
          </cell>
          <cell r="K1075">
            <v>5.2</v>
          </cell>
          <cell r="L1075">
            <v>74.91</v>
          </cell>
          <cell r="M1075">
            <v>8</v>
          </cell>
          <cell r="N1075">
            <v>17.52</v>
          </cell>
          <cell r="O1075">
            <v>4.2</v>
          </cell>
          <cell r="P1075">
            <v>9.6999999999999993</v>
          </cell>
          <cell r="S1075">
            <v>13.4</v>
          </cell>
          <cell r="T1075">
            <v>11.3</v>
          </cell>
          <cell r="U1075">
            <v>2</v>
          </cell>
        </row>
        <row r="1076">
          <cell r="B1076" t="str">
            <v>Female</v>
          </cell>
          <cell r="F1076">
            <v>10</v>
          </cell>
          <cell r="G1076">
            <v>23.3</v>
          </cell>
          <cell r="I1076">
            <v>60.6</v>
          </cell>
          <cell r="J1076">
            <v>6</v>
          </cell>
          <cell r="K1076">
            <v>11</v>
          </cell>
          <cell r="L1076">
            <v>44.08</v>
          </cell>
          <cell r="M1076">
            <v>24</v>
          </cell>
          <cell r="O1076">
            <v>13.9</v>
          </cell>
          <cell r="P1076">
            <v>30</v>
          </cell>
          <cell r="S1076">
            <v>8.6</v>
          </cell>
          <cell r="T1076">
            <v>7.6</v>
          </cell>
          <cell r="U1076">
            <v>3</v>
          </cell>
        </row>
        <row r="1077">
          <cell r="B1077" t="str">
            <v>Female</v>
          </cell>
          <cell r="F1077">
            <v>2</v>
          </cell>
          <cell r="G1077">
            <v>20.5</v>
          </cell>
          <cell r="H1077">
            <v>7.5</v>
          </cell>
          <cell r="I1077">
            <v>48.7</v>
          </cell>
          <cell r="J1077">
            <v>2</v>
          </cell>
          <cell r="K1077" t="str">
            <v>11.700000000000001</v>
          </cell>
          <cell r="L1077">
            <v>212.51</v>
          </cell>
          <cell r="M1077">
            <v>20</v>
          </cell>
          <cell r="N1077" t="str">
            <v>55.559999999999995</v>
          </cell>
          <cell r="O1077">
            <v>4.5</v>
          </cell>
          <cell r="P1077">
            <v>21.1</v>
          </cell>
          <cell r="S1077">
            <v>16.5</v>
          </cell>
          <cell r="T1077">
            <v>11</v>
          </cell>
          <cell r="U1077">
            <v>4</v>
          </cell>
        </row>
        <row r="1078">
          <cell r="B1078" t="str">
            <v>Female</v>
          </cell>
          <cell r="F1078">
            <v>7</v>
          </cell>
          <cell r="H1078">
            <v>2.6</v>
          </cell>
          <cell r="I1078">
            <v>84.7</v>
          </cell>
          <cell r="J1078">
            <v>6</v>
          </cell>
          <cell r="K1078">
            <v>13</v>
          </cell>
          <cell r="L1078">
            <v>70.69</v>
          </cell>
          <cell r="M1078">
            <v>45</v>
          </cell>
          <cell r="N1078">
            <v>23.8</v>
          </cell>
          <cell r="P1078">
            <v>11.7</v>
          </cell>
          <cell r="T1078">
            <v>11.8</v>
          </cell>
          <cell r="U1078">
            <v>5</v>
          </cell>
        </row>
        <row r="1079">
          <cell r="B1079" t="str">
            <v>Male</v>
          </cell>
          <cell r="F1079">
            <v>11</v>
          </cell>
          <cell r="G1079">
            <v>21.1</v>
          </cell>
          <cell r="H1079">
            <v>3.4</v>
          </cell>
          <cell r="I1079">
            <v>65.7</v>
          </cell>
          <cell r="K1079" t="str">
            <v>11.700000000000001</v>
          </cell>
          <cell r="L1079">
            <v>94.42</v>
          </cell>
          <cell r="M1079">
            <v>17</v>
          </cell>
          <cell r="N1079">
            <v>71.16</v>
          </cell>
          <cell r="O1079">
            <v>2.2000000000000002</v>
          </cell>
          <cell r="P1079">
            <v>35.700000000000003</v>
          </cell>
          <cell r="S1079">
            <v>43</v>
          </cell>
          <cell r="U1079">
            <v>5</v>
          </cell>
        </row>
        <row r="1080">
          <cell r="B1080" t="str">
            <v>Other</v>
          </cell>
          <cell r="F1080">
            <v>13</v>
          </cell>
          <cell r="G1080">
            <v>30</v>
          </cell>
          <cell r="H1080">
            <v>11</v>
          </cell>
          <cell r="I1080">
            <v>46.4</v>
          </cell>
          <cell r="J1080">
            <v>5</v>
          </cell>
          <cell r="K1080">
            <v>24.7</v>
          </cell>
          <cell r="L1080">
            <v>103.05</v>
          </cell>
          <cell r="M1080">
            <v>6</v>
          </cell>
          <cell r="N1080">
            <v>34.32</v>
          </cell>
          <cell r="O1080">
            <v>2.5</v>
          </cell>
          <cell r="P1080">
            <v>31.5</v>
          </cell>
          <cell r="S1080">
            <v>16.600000000000001</v>
          </cell>
          <cell r="T1080">
            <v>22.7</v>
          </cell>
        </row>
        <row r="1081">
          <cell r="B1081" t="str">
            <v>Female</v>
          </cell>
          <cell r="F1081">
            <v>19</v>
          </cell>
          <cell r="G1081">
            <v>25.9</v>
          </cell>
          <cell r="H1081">
            <v>7.5</v>
          </cell>
          <cell r="I1081">
            <v>61.5</v>
          </cell>
          <cell r="J1081">
            <v>5</v>
          </cell>
          <cell r="K1081">
            <v>14</v>
          </cell>
          <cell r="L1081">
            <v>199.94</v>
          </cell>
          <cell r="M1081">
            <v>61</v>
          </cell>
          <cell r="N1081">
            <v>27.8</v>
          </cell>
          <cell r="O1081">
            <v>2.4</v>
          </cell>
          <cell r="P1081">
            <v>36</v>
          </cell>
          <cell r="S1081">
            <v>38.200000000000003</v>
          </cell>
          <cell r="T1081">
            <v>22</v>
          </cell>
          <cell r="U1081">
            <v>2</v>
          </cell>
        </row>
        <row r="1082">
          <cell r="B1082" t="str">
            <v>Female</v>
          </cell>
          <cell r="F1082">
            <v>11</v>
          </cell>
          <cell r="G1082">
            <v>43.2</v>
          </cell>
          <cell r="H1082">
            <v>10.199999999999999</v>
          </cell>
          <cell r="I1082">
            <v>23.1</v>
          </cell>
          <cell r="J1082">
            <v>8</v>
          </cell>
          <cell r="K1082">
            <v>17</v>
          </cell>
          <cell r="L1082">
            <v>98.86</v>
          </cell>
          <cell r="M1082">
            <v>2</v>
          </cell>
          <cell r="N1082">
            <v>33.200000000000003</v>
          </cell>
          <cell r="O1082">
            <v>10</v>
          </cell>
          <cell r="P1082">
            <v>29.1</v>
          </cell>
          <cell r="S1082">
            <v>37.5</v>
          </cell>
          <cell r="T1082">
            <v>29</v>
          </cell>
        </row>
        <row r="1083">
          <cell r="B1083" t="str">
            <v>Female</v>
          </cell>
          <cell r="F1083">
            <v>28</v>
          </cell>
          <cell r="G1083">
            <v>38.9</v>
          </cell>
          <cell r="H1083">
            <v>13.5</v>
          </cell>
          <cell r="I1083">
            <v>36.4</v>
          </cell>
          <cell r="K1083">
            <v>28.6</v>
          </cell>
          <cell r="L1083">
            <v>160.96</v>
          </cell>
          <cell r="M1083">
            <v>5</v>
          </cell>
          <cell r="N1083" t="str">
            <v>52.440000000000005</v>
          </cell>
          <cell r="O1083">
            <v>3.5</v>
          </cell>
          <cell r="P1083">
            <v>72.3</v>
          </cell>
          <cell r="S1083">
            <v>66.599999999999994</v>
          </cell>
          <cell r="U1083">
            <v>4</v>
          </cell>
        </row>
        <row r="1084">
          <cell r="B1084" t="str">
            <v>Female</v>
          </cell>
          <cell r="F1084">
            <v>1</v>
          </cell>
          <cell r="G1084">
            <v>21.2</v>
          </cell>
          <cell r="H1084">
            <v>3.3</v>
          </cell>
          <cell r="I1084">
            <v>73.599999999999994</v>
          </cell>
          <cell r="J1084">
            <v>0</v>
          </cell>
          <cell r="K1084">
            <v>4</v>
          </cell>
          <cell r="L1084">
            <v>92.05</v>
          </cell>
          <cell r="M1084">
            <v>7</v>
          </cell>
          <cell r="N1084">
            <v>14</v>
          </cell>
          <cell r="O1084">
            <v>12.2</v>
          </cell>
          <cell r="P1084">
            <v>27.6</v>
          </cell>
          <cell r="S1084">
            <v>1.3</v>
          </cell>
          <cell r="T1084">
            <v>10.6</v>
          </cell>
          <cell r="U1084">
            <v>1</v>
          </cell>
        </row>
        <row r="1085">
          <cell r="B1085" t="str">
            <v>Male</v>
          </cell>
          <cell r="F1085">
            <v>26</v>
          </cell>
          <cell r="G1085">
            <v>40.299999999999997</v>
          </cell>
          <cell r="H1085">
            <v>15.4</v>
          </cell>
          <cell r="I1085">
            <v>50.1</v>
          </cell>
          <cell r="J1085">
            <v>7</v>
          </cell>
          <cell r="K1085">
            <v>16</v>
          </cell>
          <cell r="L1085">
            <v>70.540000000000006</v>
          </cell>
          <cell r="M1085">
            <v>73</v>
          </cell>
          <cell r="O1085">
            <v>0.8</v>
          </cell>
          <cell r="P1085">
            <v>26</v>
          </cell>
          <cell r="S1085">
            <v>32</v>
          </cell>
          <cell r="T1085">
            <v>29.3</v>
          </cell>
          <cell r="U1085">
            <v>1</v>
          </cell>
        </row>
        <row r="1086">
          <cell r="B1086" t="str">
            <v>Male</v>
          </cell>
          <cell r="F1086">
            <v>19</v>
          </cell>
          <cell r="G1086">
            <v>40</v>
          </cell>
          <cell r="H1086">
            <v>15.6</v>
          </cell>
          <cell r="I1086">
            <v>38.4</v>
          </cell>
          <cell r="J1086">
            <v>4</v>
          </cell>
          <cell r="K1086">
            <v>23</v>
          </cell>
          <cell r="L1086">
            <v>60.77</v>
          </cell>
          <cell r="M1086">
            <v>53</v>
          </cell>
          <cell r="N1086">
            <v>20</v>
          </cell>
          <cell r="O1086">
            <v>2.2999999999999998</v>
          </cell>
          <cell r="P1086">
            <v>39.6</v>
          </cell>
          <cell r="T1086">
            <v>31.3</v>
          </cell>
          <cell r="U1086">
            <v>1</v>
          </cell>
        </row>
        <row r="1087">
          <cell r="B1087" t="str">
            <v>Female</v>
          </cell>
          <cell r="F1087">
            <v>14</v>
          </cell>
          <cell r="G1087">
            <v>22.6</v>
          </cell>
          <cell r="H1087">
            <v>8.3000000000000007</v>
          </cell>
          <cell r="I1087">
            <v>58</v>
          </cell>
          <cell r="J1087">
            <v>3</v>
          </cell>
          <cell r="K1087">
            <v>7</v>
          </cell>
          <cell r="L1087">
            <v>95.72</v>
          </cell>
          <cell r="M1087">
            <v>30</v>
          </cell>
          <cell r="N1087">
            <v>45.6</v>
          </cell>
          <cell r="O1087">
            <v>4.2</v>
          </cell>
          <cell r="P1087">
            <v>4.5</v>
          </cell>
          <cell r="S1087">
            <v>27.4</v>
          </cell>
          <cell r="T1087">
            <v>15</v>
          </cell>
          <cell r="U1087">
            <v>3</v>
          </cell>
        </row>
        <row r="1088">
          <cell r="B1088" t="str">
            <v>Female</v>
          </cell>
          <cell r="F1088">
            <v>2</v>
          </cell>
          <cell r="G1088">
            <v>8.5</v>
          </cell>
          <cell r="H1088">
            <v>1.6</v>
          </cell>
          <cell r="I1088">
            <v>84.7</v>
          </cell>
          <cell r="J1088">
            <v>1</v>
          </cell>
          <cell r="K1088">
            <v>9</v>
          </cell>
          <cell r="L1088">
            <v>134.52000000000001</v>
          </cell>
          <cell r="M1088">
            <v>13</v>
          </cell>
          <cell r="N1088">
            <v>16.399999999999999</v>
          </cell>
          <cell r="O1088">
            <v>6.7</v>
          </cell>
          <cell r="S1088">
            <v>0</v>
          </cell>
          <cell r="T1088">
            <v>13.5</v>
          </cell>
          <cell r="U1088">
            <v>2</v>
          </cell>
        </row>
        <row r="1089">
          <cell r="B1089" t="str">
            <v>Female</v>
          </cell>
          <cell r="F1089">
            <v>16</v>
          </cell>
          <cell r="G1089">
            <v>23</v>
          </cell>
          <cell r="H1089">
            <v>8.1999999999999993</v>
          </cell>
          <cell r="I1089">
            <v>55.8</v>
          </cell>
          <cell r="J1089">
            <v>2</v>
          </cell>
          <cell r="K1089">
            <v>13</v>
          </cell>
          <cell r="L1089">
            <v>203.59</v>
          </cell>
          <cell r="M1089">
            <v>2</v>
          </cell>
          <cell r="N1089">
            <v>43.32</v>
          </cell>
          <cell r="O1089">
            <v>3.3</v>
          </cell>
          <cell r="P1089">
            <v>22.6</v>
          </cell>
          <cell r="T1089">
            <v>21</v>
          </cell>
          <cell r="U1089">
            <v>1</v>
          </cell>
        </row>
        <row r="1090">
          <cell r="B1090" t="str">
            <v>Male</v>
          </cell>
          <cell r="F1090">
            <v>6</v>
          </cell>
          <cell r="G1090">
            <v>18.8</v>
          </cell>
          <cell r="H1090">
            <v>1</v>
          </cell>
          <cell r="I1090">
            <v>73</v>
          </cell>
          <cell r="J1090">
            <v>2</v>
          </cell>
          <cell r="K1090" t="str">
            <v>3.9000000000000004</v>
          </cell>
          <cell r="L1090">
            <v>128.58000000000001</v>
          </cell>
          <cell r="M1090">
            <v>1</v>
          </cell>
          <cell r="N1090">
            <v>29.04</v>
          </cell>
          <cell r="O1090">
            <v>4.5</v>
          </cell>
          <cell r="P1090">
            <v>14.4</v>
          </cell>
          <cell r="T1090">
            <v>3.9</v>
          </cell>
          <cell r="U1090">
            <v>3</v>
          </cell>
        </row>
        <row r="1091">
          <cell r="B1091" t="str">
            <v>Female</v>
          </cell>
          <cell r="F1091">
            <v>10</v>
          </cell>
          <cell r="G1091">
            <v>20.2</v>
          </cell>
          <cell r="H1091">
            <v>6.5</v>
          </cell>
          <cell r="I1091">
            <v>60.9</v>
          </cell>
          <cell r="J1091">
            <v>4</v>
          </cell>
          <cell r="K1091">
            <v>13</v>
          </cell>
          <cell r="L1091">
            <v>76.87</v>
          </cell>
          <cell r="M1091">
            <v>16</v>
          </cell>
          <cell r="N1091">
            <v>37.92</v>
          </cell>
          <cell r="O1091">
            <v>2.9</v>
          </cell>
          <cell r="P1091">
            <v>18.399999999999999</v>
          </cell>
          <cell r="S1091">
            <v>33.9</v>
          </cell>
          <cell r="T1091">
            <v>18.3</v>
          </cell>
          <cell r="U1091">
            <v>1</v>
          </cell>
        </row>
        <row r="1092">
          <cell r="B1092" t="str">
            <v>Male</v>
          </cell>
          <cell r="F1092">
            <v>36</v>
          </cell>
          <cell r="G1092">
            <v>50.6</v>
          </cell>
          <cell r="H1092">
            <v>15.7</v>
          </cell>
          <cell r="I1092">
            <v>38.6</v>
          </cell>
          <cell r="J1092">
            <v>9</v>
          </cell>
          <cell r="K1092">
            <v>20</v>
          </cell>
          <cell r="L1092">
            <v>60.69</v>
          </cell>
          <cell r="M1092">
            <v>8</v>
          </cell>
          <cell r="P1092">
            <v>47.2</v>
          </cell>
          <cell r="S1092">
            <v>90</v>
          </cell>
          <cell r="T1092">
            <v>37.4</v>
          </cell>
          <cell r="U1092">
            <v>5</v>
          </cell>
        </row>
        <row r="1093">
          <cell r="B1093" t="str">
            <v>Male</v>
          </cell>
          <cell r="F1093">
            <v>7</v>
          </cell>
          <cell r="G1093">
            <v>15.3</v>
          </cell>
          <cell r="H1093">
            <v>3.1</v>
          </cell>
          <cell r="I1093">
            <v>60</v>
          </cell>
          <cell r="J1093">
            <v>1</v>
          </cell>
          <cell r="K1093">
            <v>12</v>
          </cell>
          <cell r="L1093">
            <v>194.63</v>
          </cell>
          <cell r="M1093">
            <v>27</v>
          </cell>
          <cell r="N1093">
            <v>18.899999999999999</v>
          </cell>
          <cell r="O1093">
            <v>4.4000000000000004</v>
          </cell>
          <cell r="P1093">
            <v>6.1</v>
          </cell>
          <cell r="S1093">
            <v>17.7</v>
          </cell>
          <cell r="T1093">
            <v>21</v>
          </cell>
          <cell r="U1093">
            <v>1</v>
          </cell>
        </row>
        <row r="1094">
          <cell r="B1094" t="str">
            <v>Female</v>
          </cell>
          <cell r="F1094">
            <v>20</v>
          </cell>
          <cell r="G1094">
            <v>42.2</v>
          </cell>
          <cell r="H1094">
            <v>15.8</v>
          </cell>
          <cell r="I1094">
            <v>29.2</v>
          </cell>
          <cell r="J1094">
            <v>6</v>
          </cell>
          <cell r="K1094">
            <v>18</v>
          </cell>
          <cell r="L1094">
            <v>177.26</v>
          </cell>
          <cell r="M1094">
            <v>75</v>
          </cell>
          <cell r="N1094">
            <v>21.7</v>
          </cell>
          <cell r="O1094">
            <v>7.6</v>
          </cell>
          <cell r="P1094">
            <v>32.5</v>
          </cell>
          <cell r="T1094">
            <v>37.1</v>
          </cell>
          <cell r="U1094">
            <v>2</v>
          </cell>
        </row>
        <row r="1095">
          <cell r="B1095" t="str">
            <v>Female</v>
          </cell>
          <cell r="F1095">
            <v>1</v>
          </cell>
          <cell r="H1095">
            <v>6.7</v>
          </cell>
          <cell r="I1095">
            <v>66.400000000000006</v>
          </cell>
          <cell r="J1095">
            <v>2</v>
          </cell>
          <cell r="K1095">
            <v>6</v>
          </cell>
          <cell r="L1095">
            <v>128.91999999999999</v>
          </cell>
          <cell r="M1095">
            <v>0</v>
          </cell>
          <cell r="N1095">
            <v>15.3</v>
          </cell>
          <cell r="O1095">
            <v>2</v>
          </cell>
          <cell r="P1095">
            <v>8.1</v>
          </cell>
          <cell r="S1095">
            <v>0</v>
          </cell>
          <cell r="T1095">
            <v>13</v>
          </cell>
          <cell r="U1095">
            <v>4</v>
          </cell>
        </row>
        <row r="1096">
          <cell r="B1096" t="str">
            <v>Male</v>
          </cell>
          <cell r="F1096">
            <v>4</v>
          </cell>
          <cell r="H1096">
            <v>7.4</v>
          </cell>
          <cell r="I1096">
            <v>70.099999999999994</v>
          </cell>
          <cell r="J1096">
            <v>2</v>
          </cell>
          <cell r="K1096">
            <v>7</v>
          </cell>
          <cell r="L1096">
            <v>152.38999999999999</v>
          </cell>
          <cell r="M1096">
            <v>18</v>
          </cell>
          <cell r="N1096">
            <v>23</v>
          </cell>
          <cell r="O1096">
            <v>13.6</v>
          </cell>
          <cell r="P1096">
            <v>17.3</v>
          </cell>
          <cell r="S1096">
            <v>4.4000000000000004</v>
          </cell>
          <cell r="T1096">
            <v>16.399999999999999</v>
          </cell>
          <cell r="U1096">
            <v>3</v>
          </cell>
        </row>
        <row r="1097">
          <cell r="B1097" t="str">
            <v>Female</v>
          </cell>
          <cell r="F1097">
            <v>27</v>
          </cell>
          <cell r="G1097">
            <v>44.8</v>
          </cell>
          <cell r="H1097">
            <v>16.2</v>
          </cell>
          <cell r="I1097">
            <v>20.9</v>
          </cell>
          <cell r="J1097">
            <v>10</v>
          </cell>
          <cell r="K1097">
            <v>27</v>
          </cell>
          <cell r="L1097">
            <v>79.260000000000005</v>
          </cell>
          <cell r="N1097">
            <v>48.1</v>
          </cell>
          <cell r="O1097">
            <v>12.5</v>
          </cell>
          <cell r="P1097">
            <v>39.4</v>
          </cell>
          <cell r="S1097">
            <v>64.7</v>
          </cell>
          <cell r="T1097">
            <v>38</v>
          </cell>
          <cell r="U1097">
            <v>1</v>
          </cell>
        </row>
        <row r="1098">
          <cell r="B1098" t="str">
            <v>Female</v>
          </cell>
          <cell r="F1098">
            <v>0</v>
          </cell>
          <cell r="H1098">
            <v>5.2</v>
          </cell>
          <cell r="I1098">
            <v>71.099999999999994</v>
          </cell>
          <cell r="J1098">
            <v>3</v>
          </cell>
          <cell r="K1098">
            <v>9</v>
          </cell>
          <cell r="L1098">
            <v>146.93</v>
          </cell>
          <cell r="M1098">
            <v>20</v>
          </cell>
          <cell r="N1098">
            <v>13</v>
          </cell>
          <cell r="O1098">
            <v>6.6</v>
          </cell>
          <cell r="S1098">
            <v>0</v>
          </cell>
          <cell r="T1098">
            <v>17.3</v>
          </cell>
          <cell r="U1098">
            <v>3</v>
          </cell>
        </row>
        <row r="1099">
          <cell r="B1099" t="str">
            <v>Female</v>
          </cell>
          <cell r="F1099">
            <v>10</v>
          </cell>
          <cell r="G1099">
            <v>18</v>
          </cell>
          <cell r="H1099">
            <v>6.1</v>
          </cell>
          <cell r="I1099">
            <v>49.7</v>
          </cell>
          <cell r="J1099">
            <v>3</v>
          </cell>
          <cell r="K1099">
            <v>13</v>
          </cell>
          <cell r="L1099">
            <v>167.09</v>
          </cell>
          <cell r="M1099">
            <v>1</v>
          </cell>
          <cell r="N1099">
            <v>1</v>
          </cell>
          <cell r="O1099">
            <v>3.3</v>
          </cell>
          <cell r="P1099">
            <v>36.1</v>
          </cell>
          <cell r="S1099">
            <v>9.6</v>
          </cell>
          <cell r="T1099">
            <v>16.600000000000001</v>
          </cell>
          <cell r="U1099">
            <v>2</v>
          </cell>
        </row>
        <row r="1100">
          <cell r="B1100" t="str">
            <v>Male</v>
          </cell>
          <cell r="F1100">
            <v>2</v>
          </cell>
          <cell r="G1100">
            <v>18.399999999999999</v>
          </cell>
          <cell r="H1100">
            <v>5.4</v>
          </cell>
          <cell r="I1100">
            <v>61.3</v>
          </cell>
          <cell r="J1100">
            <v>2</v>
          </cell>
          <cell r="K1100" t="str">
            <v>11.700000000000001</v>
          </cell>
          <cell r="L1100">
            <v>206.62</v>
          </cell>
          <cell r="M1100">
            <v>43</v>
          </cell>
          <cell r="N1100">
            <v>39.840000000000003</v>
          </cell>
          <cell r="O1100">
            <v>5.9</v>
          </cell>
          <cell r="P1100">
            <v>6.3</v>
          </cell>
          <cell r="S1100">
            <v>39</v>
          </cell>
          <cell r="T1100">
            <v>12.7</v>
          </cell>
          <cell r="U1100">
            <v>2</v>
          </cell>
        </row>
        <row r="1101">
          <cell r="B1101" t="str">
            <v>Female</v>
          </cell>
          <cell r="F1101">
            <v>12</v>
          </cell>
          <cell r="G1101">
            <v>25.2</v>
          </cell>
          <cell r="H1101">
            <v>5.3</v>
          </cell>
          <cell r="I1101">
            <v>51.5</v>
          </cell>
          <cell r="J1101">
            <v>3</v>
          </cell>
          <cell r="K1101">
            <v>11</v>
          </cell>
          <cell r="L1101">
            <v>150.79</v>
          </cell>
          <cell r="M1101">
            <v>50</v>
          </cell>
          <cell r="N1101">
            <v>27.6</v>
          </cell>
          <cell r="O1101">
            <v>9.6</v>
          </cell>
          <cell r="P1101">
            <v>6.5</v>
          </cell>
          <cell r="T1101">
            <v>22.5</v>
          </cell>
          <cell r="U1101">
            <v>2</v>
          </cell>
        </row>
        <row r="1102">
          <cell r="B1102" t="str">
            <v>Female</v>
          </cell>
          <cell r="F1102">
            <v>17</v>
          </cell>
          <cell r="G1102">
            <v>43.5</v>
          </cell>
          <cell r="H1102">
            <v>19.5</v>
          </cell>
          <cell r="I1102">
            <v>27.4</v>
          </cell>
          <cell r="K1102">
            <v>23</v>
          </cell>
          <cell r="L1102">
            <v>84.39</v>
          </cell>
          <cell r="M1102">
            <v>2</v>
          </cell>
          <cell r="N1102">
            <v>78.3</v>
          </cell>
          <cell r="O1102">
            <v>16.7</v>
          </cell>
          <cell r="P1102">
            <v>30.9</v>
          </cell>
          <cell r="S1102">
            <v>85.3</v>
          </cell>
          <cell r="T1102">
            <v>36.299999999999997</v>
          </cell>
          <cell r="U1102">
            <v>3</v>
          </cell>
        </row>
        <row r="1103">
          <cell r="B1103" t="str">
            <v>Female</v>
          </cell>
          <cell r="F1103">
            <v>0</v>
          </cell>
          <cell r="G1103">
            <v>13.1</v>
          </cell>
          <cell r="H1103">
            <v>3.4</v>
          </cell>
          <cell r="I1103">
            <v>69.7</v>
          </cell>
          <cell r="J1103">
            <v>2</v>
          </cell>
          <cell r="K1103">
            <v>10</v>
          </cell>
          <cell r="L1103">
            <v>114.9</v>
          </cell>
          <cell r="M1103">
            <v>23</v>
          </cell>
          <cell r="N1103">
            <v>19.100000000000001</v>
          </cell>
          <cell r="O1103">
            <v>0.3</v>
          </cell>
          <cell r="P1103">
            <v>0</v>
          </cell>
          <cell r="S1103">
            <v>20.6</v>
          </cell>
          <cell r="T1103">
            <v>14.4</v>
          </cell>
          <cell r="U1103">
            <v>3</v>
          </cell>
        </row>
        <row r="1104">
          <cell r="B1104" t="str">
            <v>Female</v>
          </cell>
          <cell r="F1104">
            <v>20</v>
          </cell>
          <cell r="G1104">
            <v>48.2</v>
          </cell>
          <cell r="H1104">
            <v>13.8</v>
          </cell>
          <cell r="I1104">
            <v>54.9</v>
          </cell>
          <cell r="J1104">
            <v>4</v>
          </cell>
          <cell r="K1104">
            <v>19</v>
          </cell>
          <cell r="L1104">
            <v>114.2</v>
          </cell>
          <cell r="M1104">
            <v>2</v>
          </cell>
          <cell r="N1104">
            <v>12.4</v>
          </cell>
          <cell r="O1104">
            <v>1.9</v>
          </cell>
          <cell r="P1104">
            <v>60.2</v>
          </cell>
          <cell r="S1104">
            <v>48.1</v>
          </cell>
          <cell r="U1104">
            <v>2</v>
          </cell>
        </row>
        <row r="1105">
          <cell r="B1105" t="str">
            <v>Male</v>
          </cell>
          <cell r="F1105">
            <v>19</v>
          </cell>
          <cell r="G1105">
            <v>27.2</v>
          </cell>
          <cell r="H1105">
            <v>10.1</v>
          </cell>
          <cell r="I1105">
            <v>38.700000000000003</v>
          </cell>
          <cell r="J1105">
            <v>4</v>
          </cell>
          <cell r="K1105" t="str">
            <v>15.600000000000001</v>
          </cell>
          <cell r="L1105">
            <v>143.74</v>
          </cell>
          <cell r="M1105">
            <v>4</v>
          </cell>
          <cell r="N1105" t="str">
            <v>30.479999999999997</v>
          </cell>
          <cell r="O1105">
            <v>9.1</v>
          </cell>
          <cell r="P1105">
            <v>14.3</v>
          </cell>
          <cell r="S1105">
            <v>61</v>
          </cell>
          <cell r="T1105">
            <v>13.7</v>
          </cell>
          <cell r="U1105">
            <v>3</v>
          </cell>
        </row>
        <row r="1106">
          <cell r="B1106" t="str">
            <v>Female</v>
          </cell>
          <cell r="F1106">
            <v>31</v>
          </cell>
          <cell r="G1106">
            <v>49.8</v>
          </cell>
          <cell r="H1106">
            <v>15.7</v>
          </cell>
          <cell r="I1106">
            <v>25.2</v>
          </cell>
          <cell r="J1106">
            <v>12</v>
          </cell>
          <cell r="K1106">
            <v>22</v>
          </cell>
          <cell r="L1106">
            <v>137.13</v>
          </cell>
          <cell r="M1106">
            <v>59</v>
          </cell>
          <cell r="N1106">
            <v>33.6</v>
          </cell>
          <cell r="O1106">
            <v>8.6999999999999993</v>
          </cell>
          <cell r="P1106">
            <v>27.8</v>
          </cell>
          <cell r="T1106">
            <v>42.6</v>
          </cell>
          <cell r="U1106">
            <v>1</v>
          </cell>
        </row>
        <row r="1107">
          <cell r="B1107" t="str">
            <v>Male</v>
          </cell>
          <cell r="F1107">
            <v>10</v>
          </cell>
          <cell r="G1107">
            <v>25.8</v>
          </cell>
          <cell r="H1107">
            <v>7.2</v>
          </cell>
          <cell r="I1107">
            <v>83</v>
          </cell>
          <cell r="J1107">
            <v>7</v>
          </cell>
          <cell r="K1107">
            <v>9</v>
          </cell>
          <cell r="L1107">
            <v>159.69999999999999</v>
          </cell>
          <cell r="M1107">
            <v>3</v>
          </cell>
          <cell r="N1107">
            <v>37.9</v>
          </cell>
          <cell r="O1107">
            <v>4</v>
          </cell>
          <cell r="P1107">
            <v>34.5</v>
          </cell>
          <cell r="U1107">
            <v>2</v>
          </cell>
        </row>
        <row r="1108">
          <cell r="B1108" t="str">
            <v>Male</v>
          </cell>
          <cell r="F1108">
            <v>3</v>
          </cell>
          <cell r="H1108">
            <v>6.9</v>
          </cell>
          <cell r="I1108">
            <v>87</v>
          </cell>
          <cell r="J1108">
            <v>4</v>
          </cell>
          <cell r="K1108">
            <v>6</v>
          </cell>
          <cell r="L1108">
            <v>55.08</v>
          </cell>
          <cell r="M1108">
            <v>38</v>
          </cell>
          <cell r="N1108">
            <v>47.1</v>
          </cell>
          <cell r="O1108">
            <v>18.8</v>
          </cell>
          <cell r="P1108">
            <v>10.9</v>
          </cell>
          <cell r="S1108">
            <v>16.5</v>
          </cell>
          <cell r="T1108">
            <v>3</v>
          </cell>
          <cell r="U1108">
            <v>3</v>
          </cell>
        </row>
        <row r="1109">
          <cell r="B1109" t="str">
            <v>Female</v>
          </cell>
          <cell r="F1109">
            <v>16</v>
          </cell>
          <cell r="G1109">
            <v>30.8</v>
          </cell>
          <cell r="H1109">
            <v>6.2</v>
          </cell>
          <cell r="I1109">
            <v>50.1</v>
          </cell>
          <cell r="J1109">
            <v>3</v>
          </cell>
          <cell r="K1109">
            <v>10</v>
          </cell>
          <cell r="L1109">
            <v>185.22</v>
          </cell>
          <cell r="M1109">
            <v>61</v>
          </cell>
          <cell r="N1109">
            <v>21</v>
          </cell>
          <cell r="O1109">
            <v>3.1</v>
          </cell>
          <cell r="P1109">
            <v>9.4</v>
          </cell>
          <cell r="S1109">
            <v>32.700000000000003</v>
          </cell>
          <cell r="T1109">
            <v>24.2</v>
          </cell>
          <cell r="U1109">
            <v>3</v>
          </cell>
        </row>
        <row r="1110">
          <cell r="B1110" t="str">
            <v>Female</v>
          </cell>
          <cell r="F1110">
            <v>0</v>
          </cell>
          <cell r="H1110">
            <v>7.7</v>
          </cell>
          <cell r="I1110">
            <v>72</v>
          </cell>
          <cell r="J1110">
            <v>1</v>
          </cell>
          <cell r="K1110">
            <v>13</v>
          </cell>
          <cell r="L1110">
            <v>160.13</v>
          </cell>
          <cell r="M1110">
            <v>116</v>
          </cell>
          <cell r="N1110">
            <v>26.4</v>
          </cell>
          <cell r="O1110">
            <v>7.4</v>
          </cell>
          <cell r="P1110">
            <v>5.3</v>
          </cell>
          <cell r="S1110">
            <v>0</v>
          </cell>
          <cell r="T1110">
            <v>0</v>
          </cell>
        </row>
        <row r="1111">
          <cell r="B1111" t="str">
            <v>Female</v>
          </cell>
          <cell r="F1111">
            <v>16</v>
          </cell>
          <cell r="G1111">
            <v>28.5</v>
          </cell>
          <cell r="H1111">
            <v>8.8000000000000007</v>
          </cell>
          <cell r="I1111">
            <v>54.5</v>
          </cell>
          <cell r="J1111">
            <v>6</v>
          </cell>
          <cell r="K1111">
            <v>18.2</v>
          </cell>
          <cell r="L1111">
            <v>216.71</v>
          </cell>
          <cell r="M1111">
            <v>5</v>
          </cell>
          <cell r="N1111">
            <v>85.8</v>
          </cell>
          <cell r="O1111">
            <v>3.5</v>
          </cell>
          <cell r="P1111">
            <v>17.8</v>
          </cell>
          <cell r="S1111">
            <v>45.3</v>
          </cell>
          <cell r="T1111">
            <v>24.5</v>
          </cell>
          <cell r="U1111">
            <v>2</v>
          </cell>
        </row>
        <row r="1112">
          <cell r="B1112" t="str">
            <v>Male</v>
          </cell>
          <cell r="F1112">
            <v>4</v>
          </cell>
          <cell r="G1112">
            <v>14.9</v>
          </cell>
          <cell r="H1112">
            <v>8</v>
          </cell>
          <cell r="I1112">
            <v>58.1</v>
          </cell>
          <cell r="J1112">
            <v>5</v>
          </cell>
          <cell r="K1112">
            <v>10</v>
          </cell>
          <cell r="L1112">
            <v>124.64</v>
          </cell>
          <cell r="M1112">
            <v>24</v>
          </cell>
          <cell r="N1112">
            <v>1.5</v>
          </cell>
          <cell r="O1112">
            <v>9.1</v>
          </cell>
          <cell r="P1112">
            <v>0</v>
          </cell>
          <cell r="S1112">
            <v>27.1</v>
          </cell>
          <cell r="T1112">
            <v>16.399999999999999</v>
          </cell>
          <cell r="U1112">
            <v>2</v>
          </cell>
        </row>
        <row r="1113">
          <cell r="B1113" t="str">
            <v>Female</v>
          </cell>
          <cell r="F1113">
            <v>15</v>
          </cell>
          <cell r="G1113">
            <v>30.7</v>
          </cell>
          <cell r="H1113">
            <v>9.5</v>
          </cell>
          <cell r="I1113">
            <v>60.2</v>
          </cell>
          <cell r="J1113">
            <v>11</v>
          </cell>
          <cell r="K1113">
            <v>20.8</v>
          </cell>
          <cell r="L1113">
            <v>159.68</v>
          </cell>
          <cell r="M1113">
            <v>4</v>
          </cell>
          <cell r="N1113">
            <v>31.2</v>
          </cell>
          <cell r="O1113">
            <v>7.8</v>
          </cell>
          <cell r="P1113">
            <v>37.200000000000003</v>
          </cell>
          <cell r="S1113">
            <v>52</v>
          </cell>
          <cell r="T1113">
            <v>26.5</v>
          </cell>
          <cell r="U1113">
            <v>3</v>
          </cell>
        </row>
        <row r="1114">
          <cell r="B1114" t="str">
            <v>Female</v>
          </cell>
          <cell r="F1114">
            <v>14</v>
          </cell>
          <cell r="G1114">
            <v>25.2</v>
          </cell>
          <cell r="H1114">
            <v>11.1</v>
          </cell>
          <cell r="I1114">
            <v>70.599999999999994</v>
          </cell>
          <cell r="K1114">
            <v>21</v>
          </cell>
          <cell r="L1114">
            <v>91.7</v>
          </cell>
          <cell r="M1114">
            <v>43</v>
          </cell>
          <cell r="N1114">
            <v>48.6</v>
          </cell>
          <cell r="O1114">
            <v>9.9</v>
          </cell>
          <cell r="P1114">
            <v>12.2</v>
          </cell>
          <cell r="S1114">
            <v>66.2</v>
          </cell>
          <cell r="T1114">
            <v>11.3</v>
          </cell>
          <cell r="U1114">
            <v>1</v>
          </cell>
        </row>
        <row r="1115">
          <cell r="B1115" t="str">
            <v>Male</v>
          </cell>
          <cell r="F1115">
            <v>6</v>
          </cell>
          <cell r="G1115">
            <v>22.6</v>
          </cell>
          <cell r="H1115">
            <v>12.3</v>
          </cell>
          <cell r="I1115">
            <v>67.2</v>
          </cell>
          <cell r="J1115">
            <v>3</v>
          </cell>
          <cell r="K1115">
            <v>14</v>
          </cell>
          <cell r="L1115">
            <v>98.56</v>
          </cell>
          <cell r="M1115">
            <v>29</v>
          </cell>
          <cell r="N1115">
            <v>56.7</v>
          </cell>
          <cell r="O1115">
            <v>5.0999999999999996</v>
          </cell>
          <cell r="P1115">
            <v>6.2</v>
          </cell>
          <cell r="S1115">
            <v>31</v>
          </cell>
          <cell r="T1115">
            <v>11.5</v>
          </cell>
        </row>
        <row r="1116">
          <cell r="B1116" t="str">
            <v>Female</v>
          </cell>
          <cell r="F1116">
            <v>10</v>
          </cell>
          <cell r="G1116">
            <v>18.399999999999999</v>
          </cell>
          <cell r="H1116">
            <v>3.6</v>
          </cell>
          <cell r="I1116">
            <v>68</v>
          </cell>
          <cell r="J1116">
            <v>0</v>
          </cell>
          <cell r="K1116" t="str">
            <v>16.900000000000002</v>
          </cell>
          <cell r="L1116">
            <v>104.24</v>
          </cell>
          <cell r="M1116">
            <v>18</v>
          </cell>
          <cell r="N1116" t="str">
            <v>74.39999999999999</v>
          </cell>
          <cell r="O1116">
            <v>7.9</v>
          </cell>
          <cell r="P1116">
            <v>15.7</v>
          </cell>
          <cell r="S1116">
            <v>0</v>
          </cell>
          <cell r="T1116">
            <v>14.9</v>
          </cell>
          <cell r="U1116">
            <v>3</v>
          </cell>
        </row>
        <row r="1117">
          <cell r="B1117" t="str">
            <v>Male</v>
          </cell>
          <cell r="F1117">
            <v>8</v>
          </cell>
          <cell r="G1117">
            <v>28.6</v>
          </cell>
          <cell r="H1117">
            <v>5.0999999999999996</v>
          </cell>
          <cell r="I1117">
            <v>74.7</v>
          </cell>
          <cell r="J1117">
            <v>2</v>
          </cell>
          <cell r="K1117">
            <v>9</v>
          </cell>
          <cell r="L1117">
            <v>184.81</v>
          </cell>
          <cell r="M1117">
            <v>1</v>
          </cell>
          <cell r="N1117">
            <v>42.9</v>
          </cell>
          <cell r="O1117">
            <v>11</v>
          </cell>
          <cell r="P1117">
            <v>13.1</v>
          </cell>
          <cell r="S1117">
            <v>8.6999999999999993</v>
          </cell>
          <cell r="T1117">
            <v>23.3</v>
          </cell>
          <cell r="U1117">
            <v>3</v>
          </cell>
        </row>
        <row r="1118">
          <cell r="B1118" t="str">
            <v>Female</v>
          </cell>
          <cell r="F1118">
            <v>15</v>
          </cell>
          <cell r="G1118">
            <v>17.100000000000001</v>
          </cell>
          <cell r="H1118">
            <v>3.3</v>
          </cell>
          <cell r="I1118">
            <v>67.7</v>
          </cell>
          <cell r="K1118" t="str">
            <v>7.800000000000001</v>
          </cell>
          <cell r="L1118">
            <v>105.46</v>
          </cell>
          <cell r="N1118">
            <v>34.08</v>
          </cell>
          <cell r="O1118">
            <v>5.9</v>
          </cell>
          <cell r="P1118">
            <v>0</v>
          </cell>
          <cell r="S1118">
            <v>29</v>
          </cell>
          <cell r="T1118">
            <v>12.3</v>
          </cell>
          <cell r="U1118">
            <v>3</v>
          </cell>
        </row>
        <row r="1119">
          <cell r="B1119" t="str">
            <v>Female</v>
          </cell>
          <cell r="F1119">
            <v>13</v>
          </cell>
          <cell r="G1119">
            <v>35</v>
          </cell>
          <cell r="H1119">
            <v>12.9</v>
          </cell>
          <cell r="I1119">
            <v>39.299999999999997</v>
          </cell>
          <cell r="J1119">
            <v>5</v>
          </cell>
          <cell r="K1119">
            <v>14</v>
          </cell>
          <cell r="L1119">
            <v>171.61</v>
          </cell>
          <cell r="M1119">
            <v>28</v>
          </cell>
          <cell r="N1119">
            <v>66.2</v>
          </cell>
          <cell r="O1119">
            <v>3.3</v>
          </cell>
          <cell r="P1119">
            <v>25.1</v>
          </cell>
          <cell r="T1119">
            <v>27</v>
          </cell>
          <cell r="U1119">
            <v>2</v>
          </cell>
        </row>
        <row r="1120">
          <cell r="B1120" t="str">
            <v>Female</v>
          </cell>
          <cell r="F1120">
            <v>18</v>
          </cell>
          <cell r="G1120">
            <v>45.4</v>
          </cell>
          <cell r="I1120">
            <v>43.9</v>
          </cell>
          <cell r="J1120">
            <v>8</v>
          </cell>
          <cell r="K1120">
            <v>20</v>
          </cell>
          <cell r="L1120">
            <v>89.17</v>
          </cell>
          <cell r="N1120">
            <v>40.799999999999997</v>
          </cell>
          <cell r="O1120">
            <v>13.6</v>
          </cell>
          <cell r="P1120">
            <v>20.7</v>
          </cell>
          <cell r="S1120">
            <v>44.5</v>
          </cell>
          <cell r="T1120">
            <v>32</v>
          </cell>
          <cell r="U1120">
            <v>2</v>
          </cell>
        </row>
        <row r="1121">
          <cell r="B1121" t="str">
            <v>Male</v>
          </cell>
          <cell r="F1121">
            <v>9</v>
          </cell>
          <cell r="G1121">
            <v>18.2</v>
          </cell>
          <cell r="H1121">
            <v>4.8</v>
          </cell>
          <cell r="I1121">
            <v>54.7</v>
          </cell>
          <cell r="J1121">
            <v>0</v>
          </cell>
          <cell r="K1121">
            <v>9.1</v>
          </cell>
          <cell r="L1121">
            <v>85.79</v>
          </cell>
          <cell r="M1121">
            <v>15</v>
          </cell>
          <cell r="N1121">
            <v>4.08</v>
          </cell>
          <cell r="O1121">
            <v>4.9000000000000004</v>
          </cell>
          <cell r="P1121">
            <v>15.3</v>
          </cell>
          <cell r="S1121">
            <v>12</v>
          </cell>
          <cell r="T1121">
            <v>8.5</v>
          </cell>
          <cell r="U1121">
            <v>2</v>
          </cell>
        </row>
        <row r="1122">
          <cell r="B1122" t="str">
            <v>Female</v>
          </cell>
          <cell r="F1122">
            <v>11</v>
          </cell>
          <cell r="G1122">
            <v>17.3</v>
          </cell>
          <cell r="H1122">
            <v>11</v>
          </cell>
          <cell r="I1122">
            <v>59.7</v>
          </cell>
          <cell r="J1122">
            <v>5</v>
          </cell>
          <cell r="K1122">
            <v>14</v>
          </cell>
          <cell r="L1122">
            <v>167.99</v>
          </cell>
          <cell r="M1122">
            <v>7</v>
          </cell>
          <cell r="N1122">
            <v>78.7</v>
          </cell>
          <cell r="O1122">
            <v>1.8</v>
          </cell>
          <cell r="P1122">
            <v>16.7</v>
          </cell>
          <cell r="S1122">
            <v>34.9</v>
          </cell>
          <cell r="T1122">
            <v>21.3</v>
          </cell>
          <cell r="U1122">
            <v>2</v>
          </cell>
        </row>
        <row r="1123">
          <cell r="B1123" t="str">
            <v>Male</v>
          </cell>
          <cell r="F1123">
            <v>0</v>
          </cell>
          <cell r="G1123">
            <v>14.1</v>
          </cell>
          <cell r="H1123">
            <v>5.8</v>
          </cell>
          <cell r="I1123">
            <v>47</v>
          </cell>
          <cell r="J1123">
            <v>2</v>
          </cell>
          <cell r="K1123">
            <v>11</v>
          </cell>
          <cell r="L1123">
            <v>125.99</v>
          </cell>
          <cell r="M1123">
            <v>72</v>
          </cell>
          <cell r="N1123">
            <v>15.5</v>
          </cell>
          <cell r="O1123">
            <v>1.6</v>
          </cell>
          <cell r="P1123">
            <v>7.8</v>
          </cell>
          <cell r="S1123">
            <v>5.5</v>
          </cell>
          <cell r="T1123">
            <v>9.3000000000000007</v>
          </cell>
          <cell r="U1123">
            <v>1</v>
          </cell>
        </row>
        <row r="1124">
          <cell r="B1124" t="str">
            <v>Male</v>
          </cell>
          <cell r="F1124">
            <v>11</v>
          </cell>
          <cell r="G1124">
            <v>29.5</v>
          </cell>
          <cell r="H1124">
            <v>5.5</v>
          </cell>
          <cell r="I1124">
            <v>54.9</v>
          </cell>
          <cell r="J1124">
            <v>6</v>
          </cell>
          <cell r="K1124">
            <v>13</v>
          </cell>
          <cell r="L1124">
            <v>114.94</v>
          </cell>
          <cell r="M1124">
            <v>18</v>
          </cell>
          <cell r="N1124">
            <v>24.7</v>
          </cell>
          <cell r="O1124">
            <v>10.7</v>
          </cell>
          <cell r="P1124">
            <v>27.4</v>
          </cell>
          <cell r="S1124">
            <v>14.7</v>
          </cell>
          <cell r="U1124">
            <v>4</v>
          </cell>
        </row>
        <row r="1125">
          <cell r="B1125" t="str">
            <v>Male</v>
          </cell>
          <cell r="F1125">
            <v>0</v>
          </cell>
          <cell r="G1125">
            <v>17</v>
          </cell>
          <cell r="H1125">
            <v>3.2</v>
          </cell>
          <cell r="I1125">
            <v>81.900000000000006</v>
          </cell>
          <cell r="J1125">
            <v>1</v>
          </cell>
          <cell r="K1125">
            <v>5.2</v>
          </cell>
          <cell r="L1125">
            <v>62.08</v>
          </cell>
          <cell r="M1125">
            <v>72</v>
          </cell>
          <cell r="N1125" t="str">
            <v>26.639999999999997</v>
          </cell>
          <cell r="O1125">
            <v>3.9</v>
          </cell>
          <cell r="P1125">
            <v>0</v>
          </cell>
          <cell r="S1125">
            <v>13.7</v>
          </cell>
          <cell r="T1125">
            <v>9.1999999999999993</v>
          </cell>
          <cell r="U1125">
            <v>4</v>
          </cell>
        </row>
        <row r="1126">
          <cell r="B1126" t="str">
            <v>Male</v>
          </cell>
          <cell r="F1126">
            <v>0</v>
          </cell>
          <cell r="G1126">
            <v>14.2</v>
          </cell>
          <cell r="H1126">
            <v>7.9</v>
          </cell>
          <cell r="I1126">
            <v>70</v>
          </cell>
          <cell r="J1126">
            <v>2</v>
          </cell>
          <cell r="K1126">
            <v>7</v>
          </cell>
          <cell r="L1126">
            <v>228.1</v>
          </cell>
          <cell r="M1126">
            <v>11</v>
          </cell>
          <cell r="N1126">
            <v>8.6999999999999993</v>
          </cell>
          <cell r="O1126">
            <v>2</v>
          </cell>
          <cell r="P1126">
            <v>18.3</v>
          </cell>
          <cell r="T1126">
            <v>23.1</v>
          </cell>
          <cell r="U1126">
            <v>2</v>
          </cell>
        </row>
        <row r="1127">
          <cell r="B1127" t="str">
            <v>Male</v>
          </cell>
          <cell r="F1127">
            <v>8</v>
          </cell>
          <cell r="G1127">
            <v>30.3</v>
          </cell>
          <cell r="I1127">
            <v>42.1</v>
          </cell>
          <cell r="J1127">
            <v>2</v>
          </cell>
          <cell r="K1127">
            <v>14</v>
          </cell>
          <cell r="L1127">
            <v>166.03</v>
          </cell>
          <cell r="M1127">
            <v>14</v>
          </cell>
          <cell r="N1127">
            <v>61.7</v>
          </cell>
          <cell r="O1127">
            <v>14.7</v>
          </cell>
          <cell r="P1127">
            <v>13.8</v>
          </cell>
          <cell r="S1127">
            <v>36.200000000000003</v>
          </cell>
          <cell r="T1127">
            <v>21.4</v>
          </cell>
          <cell r="U1127">
            <v>1</v>
          </cell>
        </row>
        <row r="1128">
          <cell r="B1128" t="str">
            <v>Male</v>
          </cell>
          <cell r="F1128">
            <v>1</v>
          </cell>
          <cell r="G1128">
            <v>27.4</v>
          </cell>
          <cell r="H1128">
            <v>5.7</v>
          </cell>
          <cell r="I1128">
            <v>54.3</v>
          </cell>
          <cell r="J1128">
            <v>9</v>
          </cell>
          <cell r="K1128">
            <v>22.1</v>
          </cell>
          <cell r="L1128">
            <v>51.81</v>
          </cell>
          <cell r="M1128">
            <v>28</v>
          </cell>
          <cell r="N1128">
            <v>58.32</v>
          </cell>
          <cell r="O1128">
            <v>4.5</v>
          </cell>
          <cell r="P1128">
            <v>2</v>
          </cell>
          <cell r="S1128">
            <v>39.6</v>
          </cell>
          <cell r="T1128">
            <v>12.9</v>
          </cell>
          <cell r="U1128">
            <v>2</v>
          </cell>
        </row>
        <row r="1129">
          <cell r="B1129" t="str">
            <v>Male</v>
          </cell>
          <cell r="F1129">
            <v>15</v>
          </cell>
          <cell r="G1129">
            <v>41.5</v>
          </cell>
          <cell r="H1129">
            <v>11.4</v>
          </cell>
          <cell r="I1129">
            <v>49.4</v>
          </cell>
          <cell r="J1129">
            <v>9</v>
          </cell>
          <cell r="K1129">
            <v>14</v>
          </cell>
          <cell r="L1129">
            <v>87.98</v>
          </cell>
          <cell r="M1129">
            <v>12</v>
          </cell>
          <cell r="N1129">
            <v>34.299999999999997</v>
          </cell>
          <cell r="O1129">
            <v>10.6</v>
          </cell>
          <cell r="P1129">
            <v>23</v>
          </cell>
          <cell r="S1129">
            <v>50.6</v>
          </cell>
          <cell r="T1129">
            <v>22.4</v>
          </cell>
          <cell r="U1129">
            <v>3</v>
          </cell>
        </row>
        <row r="1130">
          <cell r="B1130" t="str">
            <v>Male</v>
          </cell>
          <cell r="F1130">
            <v>29</v>
          </cell>
          <cell r="G1130">
            <v>47.5</v>
          </cell>
          <cell r="H1130">
            <v>11.8</v>
          </cell>
          <cell r="I1130">
            <v>45.8</v>
          </cell>
          <cell r="J1130">
            <v>5</v>
          </cell>
          <cell r="K1130">
            <v>24.7</v>
          </cell>
          <cell r="L1130">
            <v>68.180000000000007</v>
          </cell>
          <cell r="M1130">
            <v>3</v>
          </cell>
          <cell r="N1130" t="str">
            <v>54.35999999999999</v>
          </cell>
          <cell r="O1130">
            <v>12.2</v>
          </cell>
          <cell r="P1130">
            <v>32.5</v>
          </cell>
          <cell r="S1130">
            <v>67.599999999999994</v>
          </cell>
          <cell r="T1130">
            <v>34.6</v>
          </cell>
          <cell r="U1130">
            <v>3</v>
          </cell>
        </row>
        <row r="1131">
          <cell r="B1131" t="str">
            <v>Male</v>
          </cell>
          <cell r="F1131">
            <v>13</v>
          </cell>
          <cell r="G1131">
            <v>28.4</v>
          </cell>
          <cell r="H1131">
            <v>10.3</v>
          </cell>
          <cell r="I1131">
            <v>65.8</v>
          </cell>
          <cell r="J1131">
            <v>9</v>
          </cell>
          <cell r="K1131" t="str">
            <v>16.900000000000002</v>
          </cell>
          <cell r="L1131">
            <v>86.61</v>
          </cell>
          <cell r="M1131">
            <v>46</v>
          </cell>
          <cell r="N1131" t="str">
            <v>85.91999999999999</v>
          </cell>
          <cell r="O1131">
            <v>3.5</v>
          </cell>
          <cell r="P1131">
            <v>10.199999999999999</v>
          </cell>
          <cell r="S1131">
            <v>29.2</v>
          </cell>
          <cell r="T1131">
            <v>17.3</v>
          </cell>
          <cell r="U1131">
            <v>3</v>
          </cell>
        </row>
        <row r="1132">
          <cell r="B1132" t="str">
            <v>Female</v>
          </cell>
          <cell r="F1132">
            <v>0</v>
          </cell>
          <cell r="G1132">
            <v>20.9</v>
          </cell>
          <cell r="H1132">
            <v>2.5</v>
          </cell>
          <cell r="I1132">
            <v>62.1</v>
          </cell>
          <cell r="K1132">
            <v>10</v>
          </cell>
          <cell r="L1132">
            <v>155.25</v>
          </cell>
          <cell r="M1132">
            <v>47</v>
          </cell>
          <cell r="N1132">
            <v>53.7</v>
          </cell>
          <cell r="O1132">
            <v>8.6999999999999993</v>
          </cell>
          <cell r="P1132">
            <v>9.6</v>
          </cell>
          <cell r="S1132">
            <v>0</v>
          </cell>
          <cell r="T1132">
            <v>11</v>
          </cell>
          <cell r="U1132">
            <v>1</v>
          </cell>
        </row>
        <row r="1133">
          <cell r="B1133" t="str">
            <v>Female</v>
          </cell>
          <cell r="F1133">
            <v>10</v>
          </cell>
          <cell r="G1133">
            <v>16.100000000000001</v>
          </cell>
          <cell r="H1133">
            <v>10.4</v>
          </cell>
          <cell r="I1133">
            <v>77.3</v>
          </cell>
          <cell r="J1133">
            <v>5</v>
          </cell>
          <cell r="K1133">
            <v>13</v>
          </cell>
          <cell r="L1133">
            <v>69.58</v>
          </cell>
          <cell r="M1133">
            <v>39</v>
          </cell>
          <cell r="N1133">
            <v>41.64</v>
          </cell>
          <cell r="O1133">
            <v>5.7</v>
          </cell>
          <cell r="P1133">
            <v>37.9</v>
          </cell>
          <cell r="S1133">
            <v>46.2</v>
          </cell>
          <cell r="T1133">
            <v>16.899999999999999</v>
          </cell>
          <cell r="U1133">
            <v>3</v>
          </cell>
        </row>
        <row r="1134">
          <cell r="B1134" t="str">
            <v>Female</v>
          </cell>
          <cell r="F1134">
            <v>5</v>
          </cell>
          <cell r="G1134">
            <v>20.3</v>
          </cell>
          <cell r="H1134">
            <v>5</v>
          </cell>
          <cell r="I1134">
            <v>57.4</v>
          </cell>
          <cell r="J1134">
            <v>1</v>
          </cell>
          <cell r="K1134">
            <v>6.5</v>
          </cell>
          <cell r="L1134">
            <v>119.82</v>
          </cell>
          <cell r="M1134">
            <v>40</v>
          </cell>
          <cell r="N1134">
            <v>71.88</v>
          </cell>
          <cell r="O1134">
            <v>2.6</v>
          </cell>
          <cell r="P1134">
            <v>9.1999999999999993</v>
          </cell>
          <cell r="S1134">
            <v>13.2</v>
          </cell>
          <cell r="T1134">
            <v>19.600000000000001</v>
          </cell>
          <cell r="U1134">
            <v>4</v>
          </cell>
        </row>
        <row r="1135">
          <cell r="B1135" t="str">
            <v>Male</v>
          </cell>
          <cell r="F1135">
            <v>3</v>
          </cell>
          <cell r="G1135">
            <v>14.9</v>
          </cell>
          <cell r="H1135">
            <v>7.5</v>
          </cell>
          <cell r="I1135">
            <v>39</v>
          </cell>
          <cell r="J1135">
            <v>1</v>
          </cell>
          <cell r="K1135">
            <v>12</v>
          </cell>
          <cell r="L1135">
            <v>62.69</v>
          </cell>
          <cell r="M1135">
            <v>16</v>
          </cell>
          <cell r="N1135">
            <v>19.2</v>
          </cell>
          <cell r="O1135">
            <v>3.1</v>
          </cell>
          <cell r="P1135">
            <v>29.5</v>
          </cell>
          <cell r="S1135">
            <v>16</v>
          </cell>
          <cell r="T1135">
            <v>26.8</v>
          </cell>
          <cell r="U1135">
            <v>1</v>
          </cell>
        </row>
        <row r="1136">
          <cell r="B1136" t="str">
            <v>Other</v>
          </cell>
          <cell r="F1136">
            <v>16</v>
          </cell>
          <cell r="G1136">
            <v>12.5</v>
          </cell>
          <cell r="H1136">
            <v>5.7</v>
          </cell>
          <cell r="I1136">
            <v>62.9</v>
          </cell>
          <cell r="J1136">
            <v>2</v>
          </cell>
          <cell r="K1136">
            <v>24.7</v>
          </cell>
          <cell r="L1136">
            <v>97.47</v>
          </cell>
          <cell r="M1136">
            <v>78</v>
          </cell>
          <cell r="O1136">
            <v>6.7</v>
          </cell>
          <cell r="P1136">
            <v>19.2</v>
          </cell>
          <cell r="T1136">
            <v>11.1</v>
          </cell>
          <cell r="U1136">
            <v>3</v>
          </cell>
        </row>
        <row r="1137">
          <cell r="B1137" t="str">
            <v>Female</v>
          </cell>
          <cell r="F1137">
            <v>19</v>
          </cell>
          <cell r="G1137">
            <v>41.2</v>
          </cell>
          <cell r="H1137">
            <v>7.3</v>
          </cell>
          <cell r="I1137">
            <v>37.9</v>
          </cell>
          <cell r="J1137">
            <v>7</v>
          </cell>
          <cell r="K1137">
            <v>15</v>
          </cell>
          <cell r="L1137">
            <v>211.58</v>
          </cell>
          <cell r="M1137">
            <v>145</v>
          </cell>
          <cell r="N1137">
            <v>18.2</v>
          </cell>
          <cell r="O1137">
            <v>14.8</v>
          </cell>
          <cell r="P1137">
            <v>29.6</v>
          </cell>
          <cell r="S1137">
            <v>38</v>
          </cell>
          <cell r="T1137">
            <v>18.899999999999999</v>
          </cell>
          <cell r="U1137">
            <v>2</v>
          </cell>
        </row>
        <row r="1138">
          <cell r="B1138" t="str">
            <v>Male</v>
          </cell>
          <cell r="F1138">
            <v>4</v>
          </cell>
          <cell r="G1138">
            <v>13.8</v>
          </cell>
          <cell r="H1138">
            <v>4.0999999999999996</v>
          </cell>
          <cell r="I1138">
            <v>70.2</v>
          </cell>
          <cell r="J1138">
            <v>2</v>
          </cell>
          <cell r="K1138">
            <v>9</v>
          </cell>
          <cell r="L1138">
            <v>165.21</v>
          </cell>
          <cell r="M1138">
            <v>10</v>
          </cell>
          <cell r="N1138">
            <v>6.9</v>
          </cell>
          <cell r="O1138">
            <v>9</v>
          </cell>
          <cell r="P1138">
            <v>12</v>
          </cell>
          <cell r="S1138">
            <v>14.2</v>
          </cell>
          <cell r="T1138">
            <v>16.2</v>
          </cell>
          <cell r="U1138">
            <v>1</v>
          </cell>
        </row>
        <row r="1139">
          <cell r="B1139" t="str">
            <v>Male</v>
          </cell>
          <cell r="F1139">
            <v>12</v>
          </cell>
          <cell r="G1139">
            <v>32.9</v>
          </cell>
          <cell r="H1139">
            <v>8.1</v>
          </cell>
          <cell r="I1139">
            <v>32.5</v>
          </cell>
          <cell r="K1139">
            <v>10</v>
          </cell>
          <cell r="L1139">
            <v>103.17</v>
          </cell>
          <cell r="M1139">
            <v>17</v>
          </cell>
          <cell r="N1139">
            <v>65.8</v>
          </cell>
          <cell r="O1139">
            <v>1.7</v>
          </cell>
          <cell r="P1139">
            <v>19.3</v>
          </cell>
          <cell r="T1139">
            <v>16.7</v>
          </cell>
          <cell r="U1139">
            <v>4</v>
          </cell>
        </row>
        <row r="1140">
          <cell r="B1140" t="str">
            <v>Female</v>
          </cell>
          <cell r="F1140">
            <v>12</v>
          </cell>
          <cell r="G1140">
            <v>30.2</v>
          </cell>
          <cell r="H1140">
            <v>11.8</v>
          </cell>
          <cell r="I1140">
            <v>53.6</v>
          </cell>
          <cell r="J1140">
            <v>4</v>
          </cell>
          <cell r="K1140">
            <v>17</v>
          </cell>
          <cell r="L1140">
            <v>217.13</v>
          </cell>
          <cell r="M1140">
            <v>45</v>
          </cell>
          <cell r="N1140">
            <v>43.5</v>
          </cell>
          <cell r="O1140">
            <v>1.3</v>
          </cell>
          <cell r="P1140">
            <v>26.6</v>
          </cell>
          <cell r="S1140">
            <v>16.399999999999999</v>
          </cell>
          <cell r="T1140">
            <v>18.600000000000001</v>
          </cell>
          <cell r="U1140">
            <v>2</v>
          </cell>
        </row>
        <row r="1141">
          <cell r="B1141" t="str">
            <v>Female</v>
          </cell>
          <cell r="F1141">
            <v>7</v>
          </cell>
          <cell r="G1141">
            <v>10.199999999999999</v>
          </cell>
          <cell r="H1141">
            <v>3.2</v>
          </cell>
          <cell r="I1141">
            <v>75.8</v>
          </cell>
          <cell r="J1141">
            <v>1</v>
          </cell>
          <cell r="K1141">
            <v>2.6</v>
          </cell>
          <cell r="L1141">
            <v>179.71</v>
          </cell>
          <cell r="M1141">
            <v>45</v>
          </cell>
          <cell r="N1141">
            <v>66.36</v>
          </cell>
          <cell r="O1141">
            <v>6</v>
          </cell>
          <cell r="P1141">
            <v>0.8</v>
          </cell>
          <cell r="S1141">
            <v>27.9</v>
          </cell>
          <cell r="T1141">
            <v>12.8</v>
          </cell>
          <cell r="U1141">
            <v>2</v>
          </cell>
        </row>
        <row r="1142">
          <cell r="B1142" t="str">
            <v>Female</v>
          </cell>
          <cell r="F1142">
            <v>0</v>
          </cell>
          <cell r="G1142">
            <v>15.5</v>
          </cell>
          <cell r="H1142">
            <v>3.1</v>
          </cell>
          <cell r="I1142">
            <v>62.6</v>
          </cell>
          <cell r="J1142">
            <v>0</v>
          </cell>
          <cell r="K1142" t="str">
            <v>3.9000000000000004</v>
          </cell>
          <cell r="L1142">
            <v>70.47</v>
          </cell>
          <cell r="M1142">
            <v>153</v>
          </cell>
          <cell r="N1142" t="str">
            <v>33.239999999999995</v>
          </cell>
          <cell r="P1142">
            <v>0</v>
          </cell>
          <cell r="S1142">
            <v>0.8</v>
          </cell>
          <cell r="T1142">
            <v>4.4000000000000004</v>
          </cell>
          <cell r="U1142">
            <v>2</v>
          </cell>
        </row>
        <row r="1143">
          <cell r="B1143" t="str">
            <v>Female</v>
          </cell>
          <cell r="F1143">
            <v>17</v>
          </cell>
          <cell r="G1143">
            <v>23.4</v>
          </cell>
          <cell r="H1143">
            <v>5.2</v>
          </cell>
          <cell r="I1143">
            <v>68.7</v>
          </cell>
          <cell r="J1143">
            <v>4</v>
          </cell>
          <cell r="K1143">
            <v>11</v>
          </cell>
          <cell r="L1143">
            <v>89.99</v>
          </cell>
          <cell r="M1143">
            <v>32</v>
          </cell>
          <cell r="N1143">
            <v>61.9</v>
          </cell>
          <cell r="O1143">
            <v>6.8</v>
          </cell>
          <cell r="P1143">
            <v>20.9</v>
          </cell>
          <cell r="S1143">
            <v>10.5</v>
          </cell>
          <cell r="T1143">
            <v>18.899999999999999</v>
          </cell>
          <cell r="U1143">
            <v>2</v>
          </cell>
        </row>
        <row r="1144">
          <cell r="B1144" t="str">
            <v>Male</v>
          </cell>
          <cell r="F1144">
            <v>10</v>
          </cell>
          <cell r="G1144">
            <v>14.5</v>
          </cell>
          <cell r="H1144">
            <v>4.2</v>
          </cell>
          <cell r="I1144">
            <v>89.8</v>
          </cell>
          <cell r="J1144">
            <v>0</v>
          </cell>
          <cell r="K1144">
            <v>8</v>
          </cell>
          <cell r="L1144">
            <v>123.24</v>
          </cell>
          <cell r="M1144">
            <v>6</v>
          </cell>
          <cell r="N1144">
            <v>33.9</v>
          </cell>
          <cell r="O1144">
            <v>9.1999999999999993</v>
          </cell>
          <cell r="P1144">
            <v>0</v>
          </cell>
          <cell r="S1144">
            <v>3.2</v>
          </cell>
          <cell r="T1144">
            <v>15</v>
          </cell>
          <cell r="U1144">
            <v>2</v>
          </cell>
        </row>
        <row r="1145">
          <cell r="B1145" t="str">
            <v>Male</v>
          </cell>
          <cell r="F1145">
            <v>15</v>
          </cell>
          <cell r="G1145">
            <v>25.9</v>
          </cell>
          <cell r="H1145">
            <v>4.5</v>
          </cell>
          <cell r="I1145">
            <v>63.2</v>
          </cell>
          <cell r="J1145">
            <v>1</v>
          </cell>
          <cell r="K1145">
            <v>7</v>
          </cell>
          <cell r="L1145">
            <v>199.11</v>
          </cell>
          <cell r="M1145">
            <v>129</v>
          </cell>
          <cell r="N1145">
            <v>38.9</v>
          </cell>
          <cell r="O1145">
            <v>3.1</v>
          </cell>
          <cell r="P1145">
            <v>18.100000000000001</v>
          </cell>
          <cell r="S1145">
            <v>3</v>
          </cell>
          <cell r="T1145">
            <v>11.8</v>
          </cell>
        </row>
        <row r="1146">
          <cell r="B1146" t="str">
            <v>Male</v>
          </cell>
          <cell r="F1146">
            <v>4</v>
          </cell>
          <cell r="G1146">
            <v>13.6</v>
          </cell>
          <cell r="H1146">
            <v>6.6</v>
          </cell>
          <cell r="I1146">
            <v>68</v>
          </cell>
          <cell r="J1146">
            <v>5</v>
          </cell>
          <cell r="K1146">
            <v>5</v>
          </cell>
          <cell r="L1146">
            <v>109.01</v>
          </cell>
          <cell r="M1146">
            <v>1</v>
          </cell>
          <cell r="N1146">
            <v>49.9</v>
          </cell>
          <cell r="O1146">
            <v>3.2</v>
          </cell>
          <cell r="P1146">
            <v>0</v>
          </cell>
          <cell r="S1146">
            <v>24.9</v>
          </cell>
          <cell r="T1146">
            <v>5.5</v>
          </cell>
          <cell r="U1146">
            <v>2</v>
          </cell>
        </row>
        <row r="1147">
          <cell r="B1147" t="str">
            <v>Female</v>
          </cell>
          <cell r="F1147">
            <v>23</v>
          </cell>
          <cell r="G1147">
            <v>35.9</v>
          </cell>
          <cell r="H1147">
            <v>16.399999999999999</v>
          </cell>
          <cell r="I1147">
            <v>40.5</v>
          </cell>
          <cell r="J1147">
            <v>10</v>
          </cell>
          <cell r="K1147">
            <v>25</v>
          </cell>
          <cell r="L1147">
            <v>202.01</v>
          </cell>
          <cell r="M1147">
            <v>9</v>
          </cell>
          <cell r="N1147">
            <v>20.9</v>
          </cell>
          <cell r="O1147">
            <v>6</v>
          </cell>
          <cell r="P1147">
            <v>44</v>
          </cell>
          <cell r="S1147">
            <v>25.3</v>
          </cell>
          <cell r="T1147">
            <v>18.8</v>
          </cell>
          <cell r="U1147">
            <v>5</v>
          </cell>
        </row>
        <row r="1148">
          <cell r="B1148" t="str">
            <v>Male</v>
          </cell>
          <cell r="F1148">
            <v>13</v>
          </cell>
          <cell r="G1148">
            <v>32.4</v>
          </cell>
          <cell r="H1148">
            <v>16.7</v>
          </cell>
          <cell r="I1148">
            <v>37.5</v>
          </cell>
          <cell r="J1148">
            <v>11</v>
          </cell>
          <cell r="K1148">
            <v>19</v>
          </cell>
          <cell r="L1148">
            <v>101.24</v>
          </cell>
          <cell r="M1148">
            <v>0</v>
          </cell>
          <cell r="N1148">
            <v>44.8</v>
          </cell>
          <cell r="O1148">
            <v>1.1000000000000001</v>
          </cell>
          <cell r="P1148">
            <v>47.2</v>
          </cell>
          <cell r="S1148">
            <v>26.1</v>
          </cell>
          <cell r="T1148">
            <v>40.299999999999997</v>
          </cell>
          <cell r="U1148">
            <v>1</v>
          </cell>
        </row>
        <row r="1149">
          <cell r="B1149" t="str">
            <v>Male</v>
          </cell>
          <cell r="F1149">
            <v>10</v>
          </cell>
          <cell r="G1149">
            <v>33</v>
          </cell>
          <cell r="H1149">
            <v>9.9</v>
          </cell>
          <cell r="I1149">
            <v>59.4</v>
          </cell>
          <cell r="J1149">
            <v>4</v>
          </cell>
          <cell r="K1149">
            <v>15</v>
          </cell>
          <cell r="L1149">
            <v>74.5</v>
          </cell>
          <cell r="M1149">
            <v>5</v>
          </cell>
          <cell r="N1149">
            <v>19.3</v>
          </cell>
          <cell r="O1149">
            <v>5.7</v>
          </cell>
          <cell r="P1149">
            <v>36.1</v>
          </cell>
          <cell r="S1149">
            <v>4.2</v>
          </cell>
          <cell r="T1149">
            <v>17.3</v>
          </cell>
          <cell r="U1149">
            <v>2</v>
          </cell>
        </row>
        <row r="1150">
          <cell r="B1150" t="str">
            <v>Female</v>
          </cell>
          <cell r="F1150">
            <v>20</v>
          </cell>
          <cell r="G1150">
            <v>21</v>
          </cell>
          <cell r="H1150">
            <v>10.6</v>
          </cell>
          <cell r="I1150">
            <v>46.1</v>
          </cell>
          <cell r="J1150">
            <v>5</v>
          </cell>
          <cell r="K1150">
            <v>12</v>
          </cell>
          <cell r="L1150">
            <v>97.53</v>
          </cell>
          <cell r="M1150">
            <v>1</v>
          </cell>
          <cell r="N1150">
            <v>72</v>
          </cell>
          <cell r="P1150">
            <v>19.899999999999999</v>
          </cell>
          <cell r="S1150">
            <v>48.3</v>
          </cell>
          <cell r="U1150">
            <v>3</v>
          </cell>
        </row>
        <row r="1151">
          <cell r="B1151" t="str">
            <v>Female</v>
          </cell>
          <cell r="F1151">
            <v>27</v>
          </cell>
          <cell r="G1151">
            <v>61.9</v>
          </cell>
          <cell r="H1151">
            <v>19.3</v>
          </cell>
          <cell r="I1151">
            <v>10.7</v>
          </cell>
          <cell r="J1151">
            <v>8</v>
          </cell>
          <cell r="K1151">
            <v>35.1</v>
          </cell>
          <cell r="L1151">
            <v>165.74</v>
          </cell>
          <cell r="M1151">
            <v>39</v>
          </cell>
          <cell r="N1151" t="str">
            <v>40.199999999999996</v>
          </cell>
          <cell r="O1151">
            <v>8.6</v>
          </cell>
          <cell r="P1151">
            <v>69.5</v>
          </cell>
          <cell r="S1151">
            <v>72.099999999999994</v>
          </cell>
          <cell r="T1151">
            <v>40.9</v>
          </cell>
          <cell r="U1151">
            <v>3</v>
          </cell>
        </row>
        <row r="1152">
          <cell r="B1152" t="str">
            <v>Male</v>
          </cell>
          <cell r="F1152">
            <v>9</v>
          </cell>
          <cell r="G1152">
            <v>21.1</v>
          </cell>
          <cell r="H1152">
            <v>9.9</v>
          </cell>
          <cell r="I1152">
            <v>53.3</v>
          </cell>
          <cell r="J1152">
            <v>7</v>
          </cell>
          <cell r="K1152">
            <v>11</v>
          </cell>
          <cell r="L1152">
            <v>80.040000000000006</v>
          </cell>
          <cell r="M1152">
            <v>10</v>
          </cell>
          <cell r="N1152">
            <v>35.6</v>
          </cell>
          <cell r="O1152">
            <v>5.2</v>
          </cell>
          <cell r="P1152">
            <v>15.7</v>
          </cell>
          <cell r="S1152">
            <v>44.7</v>
          </cell>
          <cell r="U1152">
            <v>1</v>
          </cell>
        </row>
        <row r="1153">
          <cell r="B1153" t="str">
            <v>Male</v>
          </cell>
          <cell r="F1153">
            <v>1</v>
          </cell>
          <cell r="G1153">
            <v>13</v>
          </cell>
          <cell r="H1153">
            <v>5.4</v>
          </cell>
          <cell r="I1153">
            <v>57.5</v>
          </cell>
          <cell r="J1153">
            <v>0</v>
          </cell>
          <cell r="K1153">
            <v>19.5</v>
          </cell>
          <cell r="L1153">
            <v>88.7</v>
          </cell>
          <cell r="M1153">
            <v>7</v>
          </cell>
          <cell r="N1153" t="str">
            <v>21.720000000000002</v>
          </cell>
          <cell r="O1153">
            <v>18.2</v>
          </cell>
          <cell r="S1153">
            <v>18.3</v>
          </cell>
          <cell r="T1153">
            <v>10.3</v>
          </cell>
          <cell r="U1153">
            <v>3</v>
          </cell>
        </row>
        <row r="1154">
          <cell r="B1154" t="str">
            <v>Female</v>
          </cell>
          <cell r="F1154">
            <v>14</v>
          </cell>
          <cell r="G1154">
            <v>35.6</v>
          </cell>
          <cell r="H1154">
            <v>14.2</v>
          </cell>
          <cell r="I1154">
            <v>40.5</v>
          </cell>
          <cell r="J1154">
            <v>8</v>
          </cell>
          <cell r="K1154">
            <v>19</v>
          </cell>
          <cell r="L1154">
            <v>107.28</v>
          </cell>
          <cell r="M1154">
            <v>0</v>
          </cell>
          <cell r="N1154">
            <v>31.2</v>
          </cell>
          <cell r="O1154">
            <v>5.8</v>
          </cell>
          <cell r="P1154">
            <v>0.3</v>
          </cell>
          <cell r="S1154">
            <v>35.1</v>
          </cell>
          <cell r="T1154">
            <v>22.4</v>
          </cell>
          <cell r="U1154">
            <v>4</v>
          </cell>
        </row>
        <row r="1155">
          <cell r="B1155" t="str">
            <v>Male</v>
          </cell>
          <cell r="F1155">
            <v>11</v>
          </cell>
          <cell r="G1155">
            <v>20.399999999999999</v>
          </cell>
          <cell r="H1155">
            <v>5</v>
          </cell>
          <cell r="I1155">
            <v>74.099999999999994</v>
          </cell>
          <cell r="J1155">
            <v>5</v>
          </cell>
          <cell r="K1155">
            <v>7</v>
          </cell>
          <cell r="L1155">
            <v>152.57</v>
          </cell>
          <cell r="M1155">
            <v>2</v>
          </cell>
          <cell r="N1155">
            <v>77.599999999999994</v>
          </cell>
          <cell r="P1155">
            <v>17</v>
          </cell>
          <cell r="S1155">
            <v>39.700000000000003</v>
          </cell>
          <cell r="T1155">
            <v>10.5</v>
          </cell>
          <cell r="U1155">
            <v>1</v>
          </cell>
        </row>
        <row r="1156">
          <cell r="B1156" t="str">
            <v>Male</v>
          </cell>
          <cell r="F1156">
            <v>5</v>
          </cell>
          <cell r="H1156">
            <v>5</v>
          </cell>
          <cell r="I1156">
            <v>70.3</v>
          </cell>
          <cell r="J1156">
            <v>2</v>
          </cell>
          <cell r="K1156">
            <v>5</v>
          </cell>
          <cell r="L1156">
            <v>220.57</v>
          </cell>
          <cell r="M1156">
            <v>90</v>
          </cell>
          <cell r="N1156">
            <v>46.9</v>
          </cell>
          <cell r="O1156">
            <v>9.4</v>
          </cell>
          <cell r="S1156">
            <v>8.4</v>
          </cell>
          <cell r="U1156">
            <v>2</v>
          </cell>
        </row>
        <row r="1157">
          <cell r="B1157" t="str">
            <v>Male</v>
          </cell>
          <cell r="F1157">
            <v>1</v>
          </cell>
          <cell r="G1157">
            <v>17.399999999999999</v>
          </cell>
          <cell r="H1157">
            <v>8.8000000000000007</v>
          </cell>
          <cell r="I1157">
            <v>77.7</v>
          </cell>
          <cell r="J1157">
            <v>1</v>
          </cell>
          <cell r="K1157">
            <v>6.5</v>
          </cell>
          <cell r="L1157">
            <v>155.4</v>
          </cell>
          <cell r="M1157">
            <v>45</v>
          </cell>
          <cell r="N1157" t="str">
            <v>36.839999999999996</v>
          </cell>
          <cell r="O1157">
            <v>9.6999999999999993</v>
          </cell>
          <cell r="P1157">
            <v>5.3</v>
          </cell>
          <cell r="S1157">
            <v>23.6</v>
          </cell>
          <cell r="T1157">
            <v>8.1</v>
          </cell>
          <cell r="U1157">
            <v>2</v>
          </cell>
        </row>
        <row r="1158">
          <cell r="B1158" t="str">
            <v>Female</v>
          </cell>
          <cell r="F1158">
            <v>19</v>
          </cell>
          <cell r="G1158">
            <v>42.9</v>
          </cell>
          <cell r="H1158">
            <v>14.8</v>
          </cell>
          <cell r="I1158">
            <v>50.3</v>
          </cell>
          <cell r="J1158">
            <v>6</v>
          </cell>
          <cell r="K1158">
            <v>20.8</v>
          </cell>
          <cell r="L1158">
            <v>109.23</v>
          </cell>
          <cell r="M1158">
            <v>1</v>
          </cell>
          <cell r="N1158">
            <v>75.959999999999994</v>
          </cell>
          <cell r="O1158">
            <v>3.2</v>
          </cell>
          <cell r="P1158">
            <v>32.799999999999997</v>
          </cell>
          <cell r="S1158">
            <v>45.9</v>
          </cell>
          <cell r="U1158">
            <v>3</v>
          </cell>
        </row>
        <row r="1159">
          <cell r="B1159" t="str">
            <v>Female</v>
          </cell>
          <cell r="F1159">
            <v>18</v>
          </cell>
          <cell r="G1159">
            <v>34.6</v>
          </cell>
          <cell r="H1159">
            <v>9.6999999999999993</v>
          </cell>
          <cell r="I1159">
            <v>51.5</v>
          </cell>
          <cell r="J1159">
            <v>7</v>
          </cell>
          <cell r="K1159">
            <v>17</v>
          </cell>
          <cell r="L1159">
            <v>89.4</v>
          </cell>
          <cell r="M1159">
            <v>3</v>
          </cell>
          <cell r="N1159">
            <v>10.6</v>
          </cell>
          <cell r="O1159">
            <v>2.2999999999999998</v>
          </cell>
          <cell r="P1159">
            <v>41.6</v>
          </cell>
          <cell r="S1159">
            <v>45.8</v>
          </cell>
          <cell r="T1159">
            <v>29.2</v>
          </cell>
          <cell r="U1159">
            <v>1</v>
          </cell>
        </row>
        <row r="1160">
          <cell r="B1160" t="str">
            <v>Female</v>
          </cell>
          <cell r="F1160">
            <v>26</v>
          </cell>
          <cell r="G1160">
            <v>41.7</v>
          </cell>
          <cell r="H1160">
            <v>13.5</v>
          </cell>
          <cell r="I1160">
            <v>33.700000000000003</v>
          </cell>
          <cell r="J1160">
            <v>7</v>
          </cell>
          <cell r="K1160">
            <v>21</v>
          </cell>
          <cell r="L1160">
            <v>61.69</v>
          </cell>
          <cell r="M1160">
            <v>49</v>
          </cell>
          <cell r="N1160">
            <v>76.8</v>
          </cell>
          <cell r="O1160">
            <v>0.7</v>
          </cell>
          <cell r="P1160">
            <v>39.6</v>
          </cell>
          <cell r="S1160">
            <v>39.700000000000003</v>
          </cell>
          <cell r="T1160">
            <v>27.8</v>
          </cell>
          <cell r="U1160">
            <v>2</v>
          </cell>
        </row>
        <row r="1161">
          <cell r="B1161" t="str">
            <v>Female</v>
          </cell>
          <cell r="F1161">
            <v>28</v>
          </cell>
          <cell r="G1161">
            <v>39.700000000000003</v>
          </cell>
          <cell r="I1161">
            <v>42.2</v>
          </cell>
          <cell r="J1161">
            <v>11</v>
          </cell>
          <cell r="K1161">
            <v>19</v>
          </cell>
          <cell r="L1161">
            <v>141.91</v>
          </cell>
          <cell r="M1161">
            <v>32</v>
          </cell>
          <cell r="N1161">
            <v>43</v>
          </cell>
          <cell r="O1161">
            <v>1.1000000000000001</v>
          </cell>
          <cell r="P1161">
            <v>35.299999999999997</v>
          </cell>
          <cell r="S1161">
            <v>56.8</v>
          </cell>
          <cell r="U1161">
            <v>4</v>
          </cell>
        </row>
        <row r="1162">
          <cell r="B1162" t="str">
            <v>Male</v>
          </cell>
          <cell r="F1162">
            <v>13</v>
          </cell>
          <cell r="G1162">
            <v>24.1</v>
          </cell>
          <cell r="H1162">
            <v>8.1</v>
          </cell>
          <cell r="I1162">
            <v>56.9</v>
          </cell>
          <cell r="J1162">
            <v>1</v>
          </cell>
          <cell r="K1162">
            <v>11</v>
          </cell>
          <cell r="L1162">
            <v>73.3</v>
          </cell>
          <cell r="M1162">
            <v>7</v>
          </cell>
          <cell r="N1162">
            <v>35.5</v>
          </cell>
          <cell r="O1162">
            <v>2.5</v>
          </cell>
          <cell r="P1162">
            <v>16.399999999999999</v>
          </cell>
          <cell r="T1162">
            <v>16.2</v>
          </cell>
          <cell r="U1162">
            <v>1</v>
          </cell>
        </row>
        <row r="1163">
          <cell r="B1163" t="str">
            <v>Male</v>
          </cell>
          <cell r="F1163">
            <v>24</v>
          </cell>
          <cell r="G1163">
            <v>43.6</v>
          </cell>
          <cell r="H1163">
            <v>13.2</v>
          </cell>
          <cell r="I1163">
            <v>45.7</v>
          </cell>
          <cell r="J1163">
            <v>11</v>
          </cell>
          <cell r="K1163">
            <v>20</v>
          </cell>
          <cell r="L1163">
            <v>210.89</v>
          </cell>
          <cell r="M1163">
            <v>18</v>
          </cell>
          <cell r="N1163">
            <v>57.7</v>
          </cell>
          <cell r="O1163">
            <v>11.4</v>
          </cell>
          <cell r="P1163">
            <v>57.5</v>
          </cell>
          <cell r="T1163">
            <v>36.1</v>
          </cell>
          <cell r="U1163">
            <v>1</v>
          </cell>
        </row>
        <row r="1164">
          <cell r="B1164" t="str">
            <v>Female</v>
          </cell>
          <cell r="F1164">
            <v>22</v>
          </cell>
          <cell r="G1164">
            <v>26.8</v>
          </cell>
          <cell r="H1164">
            <v>6.7</v>
          </cell>
          <cell r="I1164">
            <v>64.7</v>
          </cell>
          <cell r="J1164">
            <v>7</v>
          </cell>
          <cell r="K1164">
            <v>14</v>
          </cell>
          <cell r="L1164">
            <v>145.91999999999999</v>
          </cell>
          <cell r="M1164">
            <v>46</v>
          </cell>
          <cell r="N1164">
            <v>63.4</v>
          </cell>
          <cell r="O1164">
            <v>1.7</v>
          </cell>
          <cell r="P1164">
            <v>41.8</v>
          </cell>
          <cell r="S1164">
            <v>32.6</v>
          </cell>
          <cell r="T1164">
            <v>26.8</v>
          </cell>
          <cell r="U1164">
            <v>2</v>
          </cell>
        </row>
        <row r="1165">
          <cell r="B1165" t="str">
            <v>Male</v>
          </cell>
          <cell r="F1165">
            <v>28</v>
          </cell>
          <cell r="G1165">
            <v>51.5</v>
          </cell>
          <cell r="H1165">
            <v>18</v>
          </cell>
          <cell r="I1165">
            <v>16.100000000000001</v>
          </cell>
          <cell r="K1165">
            <v>22</v>
          </cell>
          <cell r="L1165">
            <v>82.61</v>
          </cell>
          <cell r="M1165">
            <v>25</v>
          </cell>
          <cell r="N1165">
            <v>49.3</v>
          </cell>
          <cell r="P1165">
            <v>45.7</v>
          </cell>
          <cell r="S1165">
            <v>58</v>
          </cell>
          <cell r="T1165">
            <v>40.200000000000003</v>
          </cell>
          <cell r="U1165">
            <v>1</v>
          </cell>
        </row>
        <row r="1166">
          <cell r="B1166" t="str">
            <v>Male</v>
          </cell>
          <cell r="F1166">
            <v>23</v>
          </cell>
          <cell r="G1166">
            <v>22.2</v>
          </cell>
          <cell r="H1166">
            <v>9</v>
          </cell>
          <cell r="I1166">
            <v>54.1</v>
          </cell>
          <cell r="J1166">
            <v>2</v>
          </cell>
          <cell r="K1166">
            <v>13</v>
          </cell>
          <cell r="L1166">
            <v>96.39</v>
          </cell>
          <cell r="M1166">
            <v>22</v>
          </cell>
          <cell r="N1166">
            <v>23.2</v>
          </cell>
          <cell r="O1166">
            <v>1.4</v>
          </cell>
          <cell r="P1166">
            <v>12.4</v>
          </cell>
          <cell r="S1166">
            <v>36.299999999999997</v>
          </cell>
          <cell r="T1166">
            <v>19.2</v>
          </cell>
          <cell r="U1166">
            <v>1</v>
          </cell>
        </row>
        <row r="1167">
          <cell r="B1167" t="str">
            <v>Other</v>
          </cell>
          <cell r="F1167">
            <v>10</v>
          </cell>
          <cell r="G1167">
            <v>28.6</v>
          </cell>
          <cell r="H1167">
            <v>8.1</v>
          </cell>
          <cell r="I1167">
            <v>60.8</v>
          </cell>
          <cell r="J1167">
            <v>10</v>
          </cell>
          <cell r="K1167">
            <v>18.2</v>
          </cell>
          <cell r="L1167">
            <v>101.67</v>
          </cell>
          <cell r="M1167">
            <v>33</v>
          </cell>
          <cell r="N1167">
            <v>72.72</v>
          </cell>
          <cell r="O1167">
            <v>1.3</v>
          </cell>
          <cell r="P1167">
            <v>26.5</v>
          </cell>
          <cell r="S1167">
            <v>0</v>
          </cell>
          <cell r="T1167">
            <v>21.4</v>
          </cell>
          <cell r="U1167">
            <v>1</v>
          </cell>
        </row>
        <row r="1168">
          <cell r="B1168" t="str">
            <v>Female</v>
          </cell>
          <cell r="F1168">
            <v>12</v>
          </cell>
          <cell r="G1168">
            <v>19.5</v>
          </cell>
          <cell r="H1168">
            <v>10.9</v>
          </cell>
          <cell r="I1168">
            <v>82.9</v>
          </cell>
          <cell r="J1168">
            <v>1</v>
          </cell>
          <cell r="K1168">
            <v>12</v>
          </cell>
          <cell r="L1168">
            <v>90.52</v>
          </cell>
          <cell r="M1168">
            <v>43</v>
          </cell>
          <cell r="N1168">
            <v>64.7</v>
          </cell>
          <cell r="O1168">
            <v>16.2</v>
          </cell>
          <cell r="P1168">
            <v>5</v>
          </cell>
          <cell r="T1168">
            <v>8.8000000000000007</v>
          </cell>
          <cell r="U1168">
            <v>1</v>
          </cell>
        </row>
        <row r="1169">
          <cell r="B1169" t="str">
            <v>Male</v>
          </cell>
          <cell r="F1169">
            <v>13</v>
          </cell>
          <cell r="G1169">
            <v>15.6</v>
          </cell>
          <cell r="H1169">
            <v>5.2</v>
          </cell>
          <cell r="I1169">
            <v>39.700000000000003</v>
          </cell>
          <cell r="J1169">
            <v>3</v>
          </cell>
          <cell r="K1169">
            <v>12</v>
          </cell>
          <cell r="L1169">
            <v>152.9</v>
          </cell>
          <cell r="M1169">
            <v>2</v>
          </cell>
          <cell r="N1169">
            <v>14.7</v>
          </cell>
          <cell r="O1169">
            <v>2.1</v>
          </cell>
          <cell r="P1169">
            <v>15.1</v>
          </cell>
          <cell r="T1169">
            <v>12</v>
          </cell>
          <cell r="U1169">
            <v>2</v>
          </cell>
        </row>
        <row r="1170">
          <cell r="B1170" t="str">
            <v>Male</v>
          </cell>
          <cell r="F1170">
            <v>8</v>
          </cell>
          <cell r="G1170">
            <v>19</v>
          </cell>
          <cell r="H1170">
            <v>8.9</v>
          </cell>
          <cell r="I1170">
            <v>70.599999999999994</v>
          </cell>
          <cell r="J1170">
            <v>2</v>
          </cell>
          <cell r="K1170" t="str">
            <v>11.700000000000001</v>
          </cell>
          <cell r="L1170">
            <v>124.86</v>
          </cell>
          <cell r="M1170">
            <v>13</v>
          </cell>
          <cell r="N1170">
            <v>35.64</v>
          </cell>
          <cell r="O1170">
            <v>6.2</v>
          </cell>
          <cell r="P1170">
            <v>19.899999999999999</v>
          </cell>
          <cell r="S1170">
            <v>29.6</v>
          </cell>
          <cell r="T1170">
            <v>17.3</v>
          </cell>
          <cell r="U1170">
            <v>1</v>
          </cell>
        </row>
        <row r="1171">
          <cell r="B1171" t="str">
            <v>Female</v>
          </cell>
          <cell r="F1171">
            <v>24</v>
          </cell>
          <cell r="G1171">
            <v>42.2</v>
          </cell>
          <cell r="H1171">
            <v>12.8</v>
          </cell>
          <cell r="I1171">
            <v>52.6</v>
          </cell>
          <cell r="J1171">
            <v>7</v>
          </cell>
          <cell r="K1171">
            <v>17</v>
          </cell>
          <cell r="L1171">
            <v>112.53</v>
          </cell>
          <cell r="M1171">
            <v>14</v>
          </cell>
          <cell r="N1171">
            <v>22.6</v>
          </cell>
          <cell r="O1171">
            <v>7.6</v>
          </cell>
          <cell r="P1171">
            <v>28.7</v>
          </cell>
          <cell r="S1171">
            <v>35</v>
          </cell>
          <cell r="T1171">
            <v>17.899999999999999</v>
          </cell>
          <cell r="U1171">
            <v>2</v>
          </cell>
        </row>
        <row r="1172">
          <cell r="B1172" t="str">
            <v>Male</v>
          </cell>
          <cell r="F1172">
            <v>22</v>
          </cell>
          <cell r="G1172">
            <v>28.1</v>
          </cell>
          <cell r="H1172">
            <v>11.6</v>
          </cell>
          <cell r="I1172">
            <v>42.2</v>
          </cell>
          <cell r="J1172">
            <v>6</v>
          </cell>
          <cell r="K1172">
            <v>14</v>
          </cell>
          <cell r="L1172">
            <v>89.46</v>
          </cell>
          <cell r="M1172">
            <v>55</v>
          </cell>
          <cell r="N1172">
            <v>46.7</v>
          </cell>
          <cell r="O1172">
            <v>1.7</v>
          </cell>
          <cell r="P1172">
            <v>45.7</v>
          </cell>
          <cell r="S1172">
            <v>45.1</v>
          </cell>
          <cell r="T1172">
            <v>22.4</v>
          </cell>
          <cell r="U1172">
            <v>4</v>
          </cell>
        </row>
        <row r="1173">
          <cell r="B1173" t="str">
            <v>Male</v>
          </cell>
          <cell r="F1173">
            <v>17</v>
          </cell>
          <cell r="G1173">
            <v>29.8</v>
          </cell>
          <cell r="H1173">
            <v>8.6999999999999993</v>
          </cell>
          <cell r="I1173">
            <v>61.2</v>
          </cell>
          <cell r="J1173">
            <v>5</v>
          </cell>
          <cell r="K1173">
            <v>13</v>
          </cell>
          <cell r="L1173">
            <v>74.66</v>
          </cell>
          <cell r="M1173">
            <v>5</v>
          </cell>
          <cell r="N1173">
            <v>13</v>
          </cell>
          <cell r="O1173">
            <v>8.4</v>
          </cell>
          <cell r="P1173">
            <v>40</v>
          </cell>
          <cell r="S1173">
            <v>49.5</v>
          </cell>
          <cell r="T1173">
            <v>29.3</v>
          </cell>
          <cell r="U1173">
            <v>2</v>
          </cell>
        </row>
        <row r="1174">
          <cell r="B1174" t="str">
            <v>Male</v>
          </cell>
          <cell r="F1174">
            <v>10</v>
          </cell>
          <cell r="G1174">
            <v>34.200000000000003</v>
          </cell>
          <cell r="H1174">
            <v>9</v>
          </cell>
          <cell r="I1174">
            <v>41.2</v>
          </cell>
          <cell r="J1174">
            <v>5</v>
          </cell>
          <cell r="K1174">
            <v>24</v>
          </cell>
          <cell r="L1174">
            <v>114.57</v>
          </cell>
          <cell r="M1174">
            <v>62</v>
          </cell>
          <cell r="N1174">
            <v>12.7</v>
          </cell>
          <cell r="O1174">
            <v>8.5</v>
          </cell>
          <cell r="P1174">
            <v>31.8</v>
          </cell>
          <cell r="S1174">
            <v>46.2</v>
          </cell>
          <cell r="T1174">
            <v>27.7</v>
          </cell>
          <cell r="U1174">
            <v>3</v>
          </cell>
        </row>
        <row r="1175">
          <cell r="B1175" t="str">
            <v>Male</v>
          </cell>
          <cell r="F1175">
            <v>0</v>
          </cell>
          <cell r="H1175">
            <v>6.3</v>
          </cell>
          <cell r="I1175">
            <v>75.3</v>
          </cell>
          <cell r="J1175">
            <v>4</v>
          </cell>
          <cell r="K1175">
            <v>7</v>
          </cell>
          <cell r="L1175">
            <v>135.88</v>
          </cell>
          <cell r="M1175">
            <v>35</v>
          </cell>
          <cell r="O1175">
            <v>10.4</v>
          </cell>
          <cell r="P1175">
            <v>29.3</v>
          </cell>
          <cell r="S1175">
            <v>30.8</v>
          </cell>
          <cell r="T1175">
            <v>11.1</v>
          </cell>
          <cell r="U1175">
            <v>3</v>
          </cell>
        </row>
        <row r="1176">
          <cell r="B1176" t="str">
            <v>Female</v>
          </cell>
          <cell r="F1176">
            <v>21</v>
          </cell>
          <cell r="G1176">
            <v>35.5</v>
          </cell>
          <cell r="H1176">
            <v>11.2</v>
          </cell>
          <cell r="I1176">
            <v>61.5</v>
          </cell>
          <cell r="J1176">
            <v>3</v>
          </cell>
          <cell r="K1176">
            <v>14</v>
          </cell>
          <cell r="L1176">
            <v>124.79</v>
          </cell>
          <cell r="M1176">
            <v>48</v>
          </cell>
          <cell r="N1176">
            <v>46.8</v>
          </cell>
          <cell r="O1176">
            <v>6.7</v>
          </cell>
          <cell r="P1176">
            <v>41.9</v>
          </cell>
          <cell r="T1176">
            <v>22.7</v>
          </cell>
          <cell r="U1176">
            <v>3</v>
          </cell>
        </row>
        <row r="1177">
          <cell r="B1177" t="str">
            <v>Female</v>
          </cell>
          <cell r="F1177">
            <v>23</v>
          </cell>
          <cell r="G1177">
            <v>39.6</v>
          </cell>
          <cell r="H1177">
            <v>12.3</v>
          </cell>
          <cell r="I1177">
            <v>52</v>
          </cell>
          <cell r="J1177">
            <v>8</v>
          </cell>
          <cell r="K1177">
            <v>15</v>
          </cell>
          <cell r="L1177">
            <v>84.21</v>
          </cell>
          <cell r="M1177">
            <v>50</v>
          </cell>
          <cell r="N1177">
            <v>37.200000000000003</v>
          </cell>
          <cell r="P1177">
            <v>40.9</v>
          </cell>
          <cell r="S1177">
            <v>15.3</v>
          </cell>
          <cell r="T1177">
            <v>26.2</v>
          </cell>
          <cell r="U1177">
            <v>1</v>
          </cell>
        </row>
        <row r="1178">
          <cell r="B1178" t="str">
            <v>Male</v>
          </cell>
          <cell r="F1178">
            <v>16</v>
          </cell>
          <cell r="G1178">
            <v>40.200000000000003</v>
          </cell>
          <cell r="H1178">
            <v>10.3</v>
          </cell>
          <cell r="I1178">
            <v>63.3</v>
          </cell>
          <cell r="J1178">
            <v>4</v>
          </cell>
          <cell r="K1178">
            <v>20.8</v>
          </cell>
          <cell r="L1178">
            <v>91.48</v>
          </cell>
          <cell r="M1178">
            <v>43</v>
          </cell>
          <cell r="N1178">
            <v>36.36</v>
          </cell>
          <cell r="O1178">
            <v>7.5</v>
          </cell>
          <cell r="P1178">
            <v>41.7</v>
          </cell>
          <cell r="S1178">
            <v>52.1</v>
          </cell>
          <cell r="T1178">
            <v>20.8</v>
          </cell>
        </row>
        <row r="1179">
          <cell r="B1179" t="str">
            <v>Female</v>
          </cell>
          <cell r="F1179">
            <v>21</v>
          </cell>
          <cell r="G1179">
            <v>40.200000000000003</v>
          </cell>
          <cell r="H1179">
            <v>14.6</v>
          </cell>
          <cell r="I1179">
            <v>48.1</v>
          </cell>
          <cell r="J1179">
            <v>5</v>
          </cell>
          <cell r="K1179" t="str">
            <v>23.400000000000002</v>
          </cell>
          <cell r="L1179">
            <v>89.98</v>
          </cell>
          <cell r="M1179">
            <v>10</v>
          </cell>
          <cell r="N1179">
            <v>22.56</v>
          </cell>
          <cell r="P1179">
            <v>48.1</v>
          </cell>
          <cell r="S1179">
            <v>69.2</v>
          </cell>
          <cell r="T1179">
            <v>32.9</v>
          </cell>
          <cell r="U1179">
            <v>5</v>
          </cell>
        </row>
        <row r="1180">
          <cell r="B1180" t="str">
            <v>Male</v>
          </cell>
          <cell r="F1180">
            <v>2</v>
          </cell>
          <cell r="G1180">
            <v>23.1</v>
          </cell>
          <cell r="H1180">
            <v>5.4</v>
          </cell>
          <cell r="I1180">
            <v>57.1</v>
          </cell>
          <cell r="J1180">
            <v>4</v>
          </cell>
          <cell r="K1180">
            <v>10</v>
          </cell>
          <cell r="L1180">
            <v>203.17</v>
          </cell>
          <cell r="M1180">
            <v>14</v>
          </cell>
          <cell r="N1180">
            <v>69.8</v>
          </cell>
          <cell r="O1180">
            <v>5.0999999999999996</v>
          </cell>
          <cell r="P1180">
            <v>0</v>
          </cell>
          <cell r="S1180">
            <v>60.9</v>
          </cell>
          <cell r="T1180">
            <v>16.600000000000001</v>
          </cell>
          <cell r="U1180">
            <v>2</v>
          </cell>
        </row>
        <row r="1181">
          <cell r="B1181" t="str">
            <v>Female</v>
          </cell>
          <cell r="F1181">
            <v>0</v>
          </cell>
          <cell r="G1181">
            <v>26.4</v>
          </cell>
          <cell r="H1181">
            <v>4.9000000000000004</v>
          </cell>
          <cell r="I1181">
            <v>79.900000000000006</v>
          </cell>
          <cell r="J1181">
            <v>0</v>
          </cell>
          <cell r="K1181">
            <v>2.6</v>
          </cell>
          <cell r="L1181">
            <v>189.95</v>
          </cell>
          <cell r="M1181">
            <v>1</v>
          </cell>
          <cell r="N1181" t="str">
            <v>77.39999999999999</v>
          </cell>
          <cell r="O1181">
            <v>5.5</v>
          </cell>
          <cell r="P1181">
            <v>3.8</v>
          </cell>
          <cell r="S1181">
            <v>3.6</v>
          </cell>
          <cell r="U1181">
            <v>3</v>
          </cell>
        </row>
        <row r="1182">
          <cell r="B1182" t="str">
            <v>Female</v>
          </cell>
          <cell r="F1182">
            <v>15</v>
          </cell>
          <cell r="G1182">
            <v>25.9</v>
          </cell>
          <cell r="H1182">
            <v>5.5</v>
          </cell>
          <cell r="I1182">
            <v>73.5</v>
          </cell>
          <cell r="K1182" t="str">
            <v>16.900000000000002</v>
          </cell>
          <cell r="L1182">
            <v>111.9</v>
          </cell>
          <cell r="M1182">
            <v>7</v>
          </cell>
          <cell r="N1182" t="str">
            <v>28.439999999999998</v>
          </cell>
          <cell r="O1182">
            <v>3.3</v>
          </cell>
          <cell r="P1182">
            <v>10.9</v>
          </cell>
          <cell r="S1182">
            <v>26</v>
          </cell>
          <cell r="T1182">
            <v>16.2</v>
          </cell>
          <cell r="U1182">
            <v>4</v>
          </cell>
        </row>
        <row r="1183">
          <cell r="B1183" t="str">
            <v>Male</v>
          </cell>
          <cell r="F1183">
            <v>9</v>
          </cell>
          <cell r="G1183">
            <v>28.6</v>
          </cell>
          <cell r="H1183">
            <v>11.1</v>
          </cell>
          <cell r="I1183">
            <v>43</v>
          </cell>
          <cell r="J1183">
            <v>5</v>
          </cell>
          <cell r="K1183">
            <v>15</v>
          </cell>
          <cell r="L1183">
            <v>139.03</v>
          </cell>
          <cell r="M1183">
            <v>31</v>
          </cell>
          <cell r="N1183">
            <v>55.1</v>
          </cell>
          <cell r="O1183">
            <v>4.2</v>
          </cell>
          <cell r="P1183">
            <v>18.5</v>
          </cell>
          <cell r="S1183">
            <v>39.9</v>
          </cell>
          <cell r="U1183">
            <v>5</v>
          </cell>
        </row>
        <row r="1184">
          <cell r="B1184" t="str">
            <v>Male</v>
          </cell>
          <cell r="F1184">
            <v>0</v>
          </cell>
          <cell r="G1184">
            <v>7</v>
          </cell>
          <cell r="H1184">
            <v>5.5</v>
          </cell>
          <cell r="I1184">
            <v>47.9</v>
          </cell>
          <cell r="J1184">
            <v>1</v>
          </cell>
          <cell r="K1184">
            <v>9</v>
          </cell>
          <cell r="L1184">
            <v>117.72</v>
          </cell>
          <cell r="N1184">
            <v>53.9</v>
          </cell>
          <cell r="O1184">
            <v>5</v>
          </cell>
          <cell r="P1184">
            <v>34.200000000000003</v>
          </cell>
          <cell r="S1184">
            <v>6.6</v>
          </cell>
          <cell r="T1184">
            <v>11.3</v>
          </cell>
        </row>
        <row r="1185">
          <cell r="B1185" t="str">
            <v>Female</v>
          </cell>
          <cell r="F1185">
            <v>6</v>
          </cell>
          <cell r="H1185">
            <v>7</v>
          </cell>
          <cell r="I1185">
            <v>67.8</v>
          </cell>
          <cell r="J1185">
            <v>4</v>
          </cell>
          <cell r="K1185">
            <v>9.1</v>
          </cell>
          <cell r="L1185">
            <v>139.25</v>
          </cell>
          <cell r="M1185">
            <v>35</v>
          </cell>
          <cell r="N1185">
            <v>33.6</v>
          </cell>
          <cell r="P1185">
            <v>8.1</v>
          </cell>
          <cell r="S1185">
            <v>0</v>
          </cell>
          <cell r="T1185">
            <v>12.5</v>
          </cell>
          <cell r="U1185">
            <v>1</v>
          </cell>
        </row>
        <row r="1186">
          <cell r="B1186" t="str">
            <v>Male</v>
          </cell>
          <cell r="F1186">
            <v>4</v>
          </cell>
          <cell r="G1186">
            <v>20.7</v>
          </cell>
          <cell r="H1186">
            <v>4.9000000000000004</v>
          </cell>
          <cell r="I1186">
            <v>66.400000000000006</v>
          </cell>
          <cell r="K1186">
            <v>10</v>
          </cell>
          <cell r="L1186">
            <v>71.260000000000005</v>
          </cell>
          <cell r="M1186">
            <v>57</v>
          </cell>
          <cell r="N1186">
            <v>35.200000000000003</v>
          </cell>
          <cell r="O1186">
            <v>11.7</v>
          </cell>
          <cell r="P1186">
            <v>14.5</v>
          </cell>
          <cell r="S1186">
            <v>1</v>
          </cell>
          <cell r="T1186">
            <v>16</v>
          </cell>
          <cell r="U1186">
            <v>1</v>
          </cell>
        </row>
        <row r="1187">
          <cell r="B1187" t="str">
            <v>Male</v>
          </cell>
          <cell r="F1187">
            <v>15</v>
          </cell>
          <cell r="G1187">
            <v>11.4</v>
          </cell>
          <cell r="H1187">
            <v>6</v>
          </cell>
          <cell r="I1187">
            <v>92.2</v>
          </cell>
          <cell r="K1187">
            <v>5</v>
          </cell>
          <cell r="L1187">
            <v>93.64</v>
          </cell>
          <cell r="M1187">
            <v>11</v>
          </cell>
          <cell r="N1187">
            <v>31.6</v>
          </cell>
          <cell r="O1187">
            <v>2.2999999999999998</v>
          </cell>
          <cell r="P1187">
            <v>5.5</v>
          </cell>
          <cell r="U1187">
            <v>3</v>
          </cell>
        </row>
        <row r="1188">
          <cell r="B1188" t="str">
            <v>Female</v>
          </cell>
          <cell r="F1188">
            <v>22</v>
          </cell>
          <cell r="G1188">
            <v>29.9</v>
          </cell>
          <cell r="H1188">
            <v>8.9</v>
          </cell>
          <cell r="I1188">
            <v>49</v>
          </cell>
          <cell r="J1188">
            <v>5</v>
          </cell>
          <cell r="K1188">
            <v>18</v>
          </cell>
          <cell r="L1188">
            <v>126.3</v>
          </cell>
          <cell r="M1188">
            <v>4</v>
          </cell>
          <cell r="N1188">
            <v>37.9</v>
          </cell>
          <cell r="O1188">
            <v>0.5</v>
          </cell>
          <cell r="P1188">
            <v>20.3</v>
          </cell>
          <cell r="S1188">
            <v>17.899999999999999</v>
          </cell>
          <cell r="T1188">
            <v>20.9</v>
          </cell>
          <cell r="U1188">
            <v>2</v>
          </cell>
        </row>
        <row r="1189">
          <cell r="B1189" t="str">
            <v>Male</v>
          </cell>
          <cell r="F1189">
            <v>19</v>
          </cell>
          <cell r="G1189">
            <v>39.799999999999997</v>
          </cell>
          <cell r="H1189">
            <v>10.9</v>
          </cell>
          <cell r="I1189">
            <v>41</v>
          </cell>
          <cell r="J1189">
            <v>8</v>
          </cell>
          <cell r="K1189">
            <v>19</v>
          </cell>
          <cell r="L1189">
            <v>207.12</v>
          </cell>
          <cell r="M1189">
            <v>39</v>
          </cell>
          <cell r="N1189">
            <v>42.3</v>
          </cell>
          <cell r="O1189">
            <v>11.7</v>
          </cell>
          <cell r="P1189">
            <v>50</v>
          </cell>
          <cell r="S1189">
            <v>30.2</v>
          </cell>
          <cell r="T1189">
            <v>27</v>
          </cell>
          <cell r="U1189">
            <v>2</v>
          </cell>
        </row>
        <row r="1190">
          <cell r="B1190" t="str">
            <v>Male</v>
          </cell>
          <cell r="F1190">
            <v>21</v>
          </cell>
          <cell r="G1190">
            <v>33.200000000000003</v>
          </cell>
          <cell r="H1190">
            <v>12.9</v>
          </cell>
          <cell r="I1190">
            <v>60.7</v>
          </cell>
          <cell r="J1190">
            <v>8</v>
          </cell>
          <cell r="K1190">
            <v>16</v>
          </cell>
          <cell r="L1190">
            <v>100.25</v>
          </cell>
          <cell r="M1190">
            <v>2</v>
          </cell>
          <cell r="N1190">
            <v>46.5</v>
          </cell>
          <cell r="O1190">
            <v>5.0999999999999996</v>
          </cell>
          <cell r="P1190">
            <v>19.3</v>
          </cell>
          <cell r="S1190">
            <v>47.5</v>
          </cell>
          <cell r="T1190">
            <v>24.9</v>
          </cell>
          <cell r="U1190">
            <v>3</v>
          </cell>
        </row>
        <row r="1191">
          <cell r="B1191" t="str">
            <v>Male</v>
          </cell>
          <cell r="F1191">
            <v>5</v>
          </cell>
          <cell r="G1191">
            <v>22.5</v>
          </cell>
          <cell r="H1191">
            <v>5.7</v>
          </cell>
          <cell r="I1191">
            <v>54.5</v>
          </cell>
          <cell r="J1191">
            <v>4</v>
          </cell>
          <cell r="K1191">
            <v>15</v>
          </cell>
          <cell r="L1191">
            <v>165.84</v>
          </cell>
          <cell r="M1191">
            <v>4</v>
          </cell>
          <cell r="N1191">
            <v>19.899999999999999</v>
          </cell>
          <cell r="O1191">
            <v>11.4</v>
          </cell>
          <cell r="P1191">
            <v>14.9</v>
          </cell>
          <cell r="S1191">
            <v>20.8</v>
          </cell>
          <cell r="T1191">
            <v>22.6</v>
          </cell>
          <cell r="U1191">
            <v>4</v>
          </cell>
        </row>
        <row r="1192">
          <cell r="B1192" t="str">
            <v>Female</v>
          </cell>
          <cell r="F1192">
            <v>14</v>
          </cell>
          <cell r="G1192">
            <v>36.4</v>
          </cell>
          <cell r="H1192">
            <v>9.5</v>
          </cell>
          <cell r="I1192">
            <v>75.8</v>
          </cell>
          <cell r="J1192">
            <v>3</v>
          </cell>
          <cell r="K1192">
            <v>12</v>
          </cell>
          <cell r="L1192">
            <v>112.13</v>
          </cell>
          <cell r="M1192">
            <v>76</v>
          </cell>
          <cell r="N1192">
            <v>74.5</v>
          </cell>
          <cell r="O1192">
            <v>4.8</v>
          </cell>
          <cell r="P1192">
            <v>24.5</v>
          </cell>
          <cell r="S1192">
            <v>39.4</v>
          </cell>
          <cell r="T1192">
            <v>26.7</v>
          </cell>
          <cell r="U1192">
            <v>3</v>
          </cell>
        </row>
        <row r="1193">
          <cell r="B1193" t="str">
            <v>Female</v>
          </cell>
          <cell r="F1193">
            <v>17</v>
          </cell>
          <cell r="G1193">
            <v>35.200000000000003</v>
          </cell>
          <cell r="H1193">
            <v>12.4</v>
          </cell>
          <cell r="I1193">
            <v>65.400000000000006</v>
          </cell>
          <cell r="J1193">
            <v>6</v>
          </cell>
          <cell r="K1193">
            <v>10</v>
          </cell>
          <cell r="L1193">
            <v>131.19999999999999</v>
          </cell>
          <cell r="M1193">
            <v>8</v>
          </cell>
          <cell r="N1193">
            <v>58.4</v>
          </cell>
          <cell r="O1193">
            <v>8.6999999999999993</v>
          </cell>
          <cell r="P1193">
            <v>15.1</v>
          </cell>
          <cell r="S1193">
            <v>11</v>
          </cell>
          <cell r="T1193">
            <v>26.5</v>
          </cell>
          <cell r="U1193">
            <v>1</v>
          </cell>
        </row>
        <row r="1194">
          <cell r="B1194" t="str">
            <v>Female</v>
          </cell>
          <cell r="F1194">
            <v>6</v>
          </cell>
          <cell r="H1194">
            <v>6.4</v>
          </cell>
          <cell r="I1194">
            <v>75.400000000000006</v>
          </cell>
          <cell r="J1194">
            <v>2</v>
          </cell>
          <cell r="K1194">
            <v>6</v>
          </cell>
          <cell r="L1194">
            <v>122.31</v>
          </cell>
          <cell r="N1194">
            <v>7.9</v>
          </cell>
          <cell r="O1194">
            <v>7.9</v>
          </cell>
          <cell r="P1194">
            <v>20.7</v>
          </cell>
          <cell r="S1194">
            <v>30.3</v>
          </cell>
          <cell r="T1194">
            <v>11.7</v>
          </cell>
          <cell r="U1194">
            <v>4</v>
          </cell>
        </row>
        <row r="1195">
          <cell r="B1195" t="str">
            <v>Male</v>
          </cell>
          <cell r="F1195">
            <v>7</v>
          </cell>
          <cell r="G1195">
            <v>29.5</v>
          </cell>
          <cell r="H1195">
            <v>11.9</v>
          </cell>
          <cell r="I1195">
            <v>50.3</v>
          </cell>
          <cell r="J1195">
            <v>1</v>
          </cell>
          <cell r="K1195">
            <v>11</v>
          </cell>
          <cell r="L1195">
            <v>93.7</v>
          </cell>
          <cell r="M1195">
            <v>2</v>
          </cell>
          <cell r="N1195">
            <v>39.6</v>
          </cell>
          <cell r="O1195">
            <v>0.6</v>
          </cell>
          <cell r="P1195">
            <v>26.7</v>
          </cell>
          <cell r="S1195">
            <v>41.1</v>
          </cell>
          <cell r="U1195">
            <v>2</v>
          </cell>
        </row>
        <row r="1196">
          <cell r="B1196" t="str">
            <v>Female</v>
          </cell>
          <cell r="F1196">
            <v>29</v>
          </cell>
          <cell r="G1196">
            <v>50.9</v>
          </cell>
          <cell r="H1196">
            <v>11.5</v>
          </cell>
          <cell r="I1196">
            <v>30.7</v>
          </cell>
          <cell r="J1196">
            <v>4</v>
          </cell>
          <cell r="K1196">
            <v>20</v>
          </cell>
          <cell r="L1196">
            <v>107.86</v>
          </cell>
          <cell r="N1196">
            <v>52</v>
          </cell>
          <cell r="O1196">
            <v>6.2</v>
          </cell>
          <cell r="P1196">
            <v>31</v>
          </cell>
          <cell r="S1196">
            <v>54.6</v>
          </cell>
          <cell r="T1196">
            <v>31.3</v>
          </cell>
          <cell r="U1196">
            <v>3</v>
          </cell>
        </row>
        <row r="1197">
          <cell r="B1197" t="str">
            <v>Female</v>
          </cell>
          <cell r="F1197">
            <v>15</v>
          </cell>
          <cell r="G1197">
            <v>41</v>
          </cell>
          <cell r="H1197">
            <v>9.1999999999999993</v>
          </cell>
          <cell r="I1197">
            <v>30.8</v>
          </cell>
          <cell r="K1197">
            <v>15</v>
          </cell>
          <cell r="L1197">
            <v>57.7</v>
          </cell>
          <cell r="M1197">
            <v>111</v>
          </cell>
          <cell r="N1197">
            <v>57</v>
          </cell>
          <cell r="O1197">
            <v>5.0999999999999996</v>
          </cell>
          <cell r="P1197">
            <v>34.6</v>
          </cell>
          <cell r="S1197">
            <v>43.4</v>
          </cell>
          <cell r="T1197">
            <v>27.8</v>
          </cell>
          <cell r="U1197">
            <v>1</v>
          </cell>
        </row>
        <row r="1198">
          <cell r="B1198" t="str">
            <v>Female</v>
          </cell>
          <cell r="F1198">
            <v>23</v>
          </cell>
          <cell r="G1198">
            <v>43</v>
          </cell>
          <cell r="H1198">
            <v>12</v>
          </cell>
          <cell r="I1198">
            <v>45.2</v>
          </cell>
          <cell r="J1198">
            <v>7</v>
          </cell>
          <cell r="K1198" t="str">
            <v>29.900000000000002</v>
          </cell>
          <cell r="L1198">
            <v>159.55000000000001</v>
          </cell>
          <cell r="M1198">
            <v>8</v>
          </cell>
          <cell r="N1198" t="str">
            <v>48.35999999999999</v>
          </cell>
          <cell r="O1198">
            <v>1.5</v>
          </cell>
          <cell r="P1198">
            <v>15.6</v>
          </cell>
          <cell r="S1198">
            <v>30.9</v>
          </cell>
          <cell r="T1198">
            <v>35</v>
          </cell>
          <cell r="U1198">
            <v>1</v>
          </cell>
        </row>
        <row r="1199">
          <cell r="B1199" t="str">
            <v>Male</v>
          </cell>
          <cell r="F1199">
            <v>8</v>
          </cell>
          <cell r="H1199">
            <v>4.3</v>
          </cell>
          <cell r="I1199">
            <v>64.5</v>
          </cell>
          <cell r="J1199">
            <v>2</v>
          </cell>
          <cell r="K1199">
            <v>10</v>
          </cell>
          <cell r="L1199">
            <v>187.37</v>
          </cell>
          <cell r="M1199">
            <v>3</v>
          </cell>
          <cell r="N1199">
            <v>22.9</v>
          </cell>
          <cell r="P1199">
            <v>7.1</v>
          </cell>
          <cell r="S1199">
            <v>35.4</v>
          </cell>
          <cell r="T1199">
            <v>13.7</v>
          </cell>
          <cell r="U1199">
            <v>2</v>
          </cell>
        </row>
        <row r="1200">
          <cell r="B1200" t="str">
            <v>Male</v>
          </cell>
          <cell r="F1200">
            <v>27</v>
          </cell>
          <cell r="G1200">
            <v>75.599999999999994</v>
          </cell>
          <cell r="I1200">
            <v>0</v>
          </cell>
          <cell r="J1200">
            <v>13</v>
          </cell>
          <cell r="K1200">
            <v>33</v>
          </cell>
          <cell r="L1200">
            <v>233.04</v>
          </cell>
          <cell r="M1200">
            <v>11</v>
          </cell>
          <cell r="N1200">
            <v>68.400000000000006</v>
          </cell>
          <cell r="O1200">
            <v>2.7</v>
          </cell>
          <cell r="P1200">
            <v>51.3</v>
          </cell>
          <cell r="S1200">
            <v>100</v>
          </cell>
          <cell r="T1200">
            <v>53</v>
          </cell>
          <cell r="U1200">
            <v>3</v>
          </cell>
        </row>
        <row r="1201">
          <cell r="B1201" t="str">
            <v>Female</v>
          </cell>
          <cell r="F1201">
            <v>11</v>
          </cell>
          <cell r="H1201">
            <v>8.9</v>
          </cell>
          <cell r="I1201">
            <v>62.1</v>
          </cell>
          <cell r="J1201">
            <v>4</v>
          </cell>
          <cell r="K1201" t="str">
            <v>11.700000000000001</v>
          </cell>
          <cell r="L1201">
            <v>151.22</v>
          </cell>
          <cell r="M1201">
            <v>8</v>
          </cell>
          <cell r="N1201">
            <v>90.24</v>
          </cell>
          <cell r="O1201">
            <v>9</v>
          </cell>
          <cell r="P1201">
            <v>25.6</v>
          </cell>
          <cell r="S1201">
            <v>47.1</v>
          </cell>
          <cell r="T1201">
            <v>15.5</v>
          </cell>
          <cell r="U1201">
            <v>2</v>
          </cell>
        </row>
        <row r="1202">
          <cell r="B1202" t="str">
            <v>Female</v>
          </cell>
          <cell r="F1202">
            <v>9</v>
          </cell>
          <cell r="G1202">
            <v>6.3</v>
          </cell>
          <cell r="I1202">
            <v>81.400000000000006</v>
          </cell>
          <cell r="J1202">
            <v>1</v>
          </cell>
          <cell r="K1202">
            <v>5.2</v>
          </cell>
          <cell r="L1202">
            <v>119.19</v>
          </cell>
          <cell r="M1202">
            <v>7</v>
          </cell>
          <cell r="N1202">
            <v>17.399999999999999</v>
          </cell>
          <cell r="O1202">
            <v>0.2</v>
          </cell>
          <cell r="P1202">
            <v>10</v>
          </cell>
          <cell r="S1202">
            <v>25.6</v>
          </cell>
          <cell r="T1202">
            <v>3.9</v>
          </cell>
          <cell r="U1202">
            <v>3</v>
          </cell>
        </row>
        <row r="1203">
          <cell r="B1203" t="str">
            <v>Male</v>
          </cell>
          <cell r="F1203">
            <v>18</v>
          </cell>
          <cell r="G1203">
            <v>23.9</v>
          </cell>
          <cell r="H1203">
            <v>4.9000000000000004</v>
          </cell>
          <cell r="I1203">
            <v>53.4</v>
          </cell>
          <cell r="J1203">
            <v>2</v>
          </cell>
          <cell r="K1203">
            <v>12</v>
          </cell>
          <cell r="L1203">
            <v>125.52</v>
          </cell>
          <cell r="M1203">
            <v>10</v>
          </cell>
          <cell r="N1203">
            <v>22.2</v>
          </cell>
          <cell r="O1203">
            <v>16.600000000000001</v>
          </cell>
          <cell r="P1203">
            <v>19.100000000000001</v>
          </cell>
          <cell r="T1203">
            <v>13.9</v>
          </cell>
          <cell r="U1203">
            <v>2</v>
          </cell>
        </row>
        <row r="1204">
          <cell r="B1204" t="str">
            <v>Male</v>
          </cell>
          <cell r="F1204">
            <v>17</v>
          </cell>
          <cell r="G1204">
            <v>25.2</v>
          </cell>
          <cell r="H1204">
            <v>7.4</v>
          </cell>
          <cell r="I1204">
            <v>58.9</v>
          </cell>
          <cell r="J1204">
            <v>6</v>
          </cell>
          <cell r="K1204">
            <v>11</v>
          </cell>
          <cell r="L1204">
            <v>91.04</v>
          </cell>
          <cell r="M1204">
            <v>16</v>
          </cell>
          <cell r="N1204">
            <v>57.7</v>
          </cell>
          <cell r="P1204">
            <v>25.9</v>
          </cell>
          <cell r="S1204">
            <v>28.2</v>
          </cell>
          <cell r="T1204">
            <v>25.9</v>
          </cell>
          <cell r="U1204">
            <v>4</v>
          </cell>
        </row>
        <row r="1205">
          <cell r="B1205" t="str">
            <v>Male</v>
          </cell>
          <cell r="F1205">
            <v>9</v>
          </cell>
          <cell r="G1205">
            <v>26.3</v>
          </cell>
          <cell r="H1205">
            <v>7.9</v>
          </cell>
          <cell r="I1205">
            <v>57.3</v>
          </cell>
          <cell r="J1205">
            <v>3</v>
          </cell>
          <cell r="K1205" t="str">
            <v>15.600000000000001</v>
          </cell>
          <cell r="L1205">
            <v>106.08</v>
          </cell>
          <cell r="M1205">
            <v>28</v>
          </cell>
          <cell r="N1205">
            <v>75</v>
          </cell>
          <cell r="O1205">
            <v>6.4</v>
          </cell>
          <cell r="S1205">
            <v>40.1</v>
          </cell>
          <cell r="T1205">
            <v>12.9</v>
          </cell>
          <cell r="U1205">
            <v>2</v>
          </cell>
        </row>
        <row r="1206">
          <cell r="B1206" t="str">
            <v>Male</v>
          </cell>
          <cell r="F1206">
            <v>25</v>
          </cell>
          <cell r="G1206">
            <v>33.700000000000003</v>
          </cell>
          <cell r="H1206">
            <v>8.1</v>
          </cell>
          <cell r="I1206">
            <v>37.799999999999997</v>
          </cell>
          <cell r="J1206">
            <v>7</v>
          </cell>
          <cell r="K1206">
            <v>14</v>
          </cell>
          <cell r="L1206">
            <v>247.97</v>
          </cell>
          <cell r="M1206">
            <v>0</v>
          </cell>
          <cell r="N1206">
            <v>54.5</v>
          </cell>
          <cell r="O1206">
            <v>10.8</v>
          </cell>
          <cell r="P1206">
            <v>29.7</v>
          </cell>
          <cell r="S1206">
            <v>63.8</v>
          </cell>
          <cell r="T1206">
            <v>35.5</v>
          </cell>
          <cell r="U1206">
            <v>1</v>
          </cell>
        </row>
        <row r="1207">
          <cell r="B1207" t="str">
            <v>Female</v>
          </cell>
          <cell r="F1207">
            <v>13</v>
          </cell>
          <cell r="G1207">
            <v>27.6</v>
          </cell>
          <cell r="H1207">
            <v>9.5</v>
          </cell>
          <cell r="I1207">
            <v>47.7</v>
          </cell>
          <cell r="J1207">
            <v>3</v>
          </cell>
          <cell r="K1207">
            <v>15</v>
          </cell>
          <cell r="L1207">
            <v>123.34</v>
          </cell>
          <cell r="M1207">
            <v>8</v>
          </cell>
          <cell r="N1207">
            <v>72.5</v>
          </cell>
          <cell r="O1207">
            <v>5.0999999999999996</v>
          </cell>
          <cell r="P1207">
            <v>27.4</v>
          </cell>
          <cell r="S1207">
            <v>13.8</v>
          </cell>
          <cell r="T1207">
            <v>28.8</v>
          </cell>
          <cell r="U1207">
            <v>2</v>
          </cell>
        </row>
        <row r="1208">
          <cell r="B1208" t="str">
            <v>Female</v>
          </cell>
          <cell r="F1208">
            <v>22</v>
          </cell>
          <cell r="G1208">
            <v>43.7</v>
          </cell>
          <cell r="H1208">
            <v>18.399999999999999</v>
          </cell>
          <cell r="I1208">
            <v>34.200000000000003</v>
          </cell>
          <cell r="J1208">
            <v>11</v>
          </cell>
          <cell r="K1208">
            <v>19</v>
          </cell>
          <cell r="L1208">
            <v>86.54</v>
          </cell>
          <cell r="M1208">
            <v>36</v>
          </cell>
          <cell r="N1208">
            <v>54.1</v>
          </cell>
          <cell r="O1208">
            <v>3.7</v>
          </cell>
          <cell r="P1208">
            <v>29.8</v>
          </cell>
          <cell r="S1208">
            <v>50.1</v>
          </cell>
          <cell r="T1208">
            <v>29.4</v>
          </cell>
          <cell r="U1208">
            <v>1</v>
          </cell>
        </row>
        <row r="1209">
          <cell r="B1209" t="str">
            <v>Male</v>
          </cell>
          <cell r="F1209">
            <v>6</v>
          </cell>
          <cell r="G1209">
            <v>26.1</v>
          </cell>
          <cell r="H1209">
            <v>5.6</v>
          </cell>
          <cell r="I1209">
            <v>76.7</v>
          </cell>
          <cell r="J1209">
            <v>1</v>
          </cell>
          <cell r="K1209">
            <v>9</v>
          </cell>
          <cell r="L1209">
            <v>86.29</v>
          </cell>
          <cell r="M1209">
            <v>15</v>
          </cell>
          <cell r="N1209">
            <v>51.4</v>
          </cell>
          <cell r="O1209">
            <v>10.199999999999999</v>
          </cell>
          <cell r="P1209">
            <v>19.3</v>
          </cell>
          <cell r="S1209">
            <v>12.6</v>
          </cell>
          <cell r="T1209">
            <v>13</v>
          </cell>
          <cell r="U1209">
            <v>2</v>
          </cell>
        </row>
        <row r="1210">
          <cell r="B1210" t="str">
            <v>Female</v>
          </cell>
          <cell r="F1210">
            <v>13</v>
          </cell>
          <cell r="G1210">
            <v>21.7</v>
          </cell>
          <cell r="H1210">
            <v>6.7</v>
          </cell>
          <cell r="I1210">
            <v>53.3</v>
          </cell>
          <cell r="J1210">
            <v>3</v>
          </cell>
          <cell r="K1210">
            <v>9.1</v>
          </cell>
          <cell r="L1210">
            <v>140.58000000000001</v>
          </cell>
          <cell r="M1210">
            <v>40</v>
          </cell>
          <cell r="N1210">
            <v>40.32</v>
          </cell>
          <cell r="P1210">
            <v>22</v>
          </cell>
          <cell r="S1210">
            <v>31.7</v>
          </cell>
          <cell r="T1210">
            <v>13.6</v>
          </cell>
          <cell r="U1210">
            <v>1</v>
          </cell>
        </row>
        <row r="1211">
          <cell r="B1211" t="str">
            <v>Male</v>
          </cell>
          <cell r="F1211">
            <v>33</v>
          </cell>
          <cell r="G1211">
            <v>50.3</v>
          </cell>
          <cell r="H1211">
            <v>16.3</v>
          </cell>
          <cell r="I1211">
            <v>37.4</v>
          </cell>
          <cell r="J1211">
            <v>7</v>
          </cell>
          <cell r="K1211">
            <v>21</v>
          </cell>
          <cell r="L1211">
            <v>121.42</v>
          </cell>
          <cell r="M1211">
            <v>2</v>
          </cell>
          <cell r="O1211">
            <v>2.1</v>
          </cell>
          <cell r="P1211">
            <v>31.9</v>
          </cell>
          <cell r="S1211">
            <v>84.6</v>
          </cell>
          <cell r="T1211">
            <v>43.9</v>
          </cell>
          <cell r="U1211">
            <v>3</v>
          </cell>
        </row>
        <row r="1212">
          <cell r="B1212" t="str">
            <v>Male</v>
          </cell>
          <cell r="F1212">
            <v>5</v>
          </cell>
          <cell r="G1212">
            <v>20.100000000000001</v>
          </cell>
          <cell r="H1212">
            <v>5.5</v>
          </cell>
          <cell r="I1212">
            <v>63.6</v>
          </cell>
          <cell r="J1212">
            <v>4</v>
          </cell>
          <cell r="K1212">
            <v>6</v>
          </cell>
          <cell r="L1212">
            <v>113.65</v>
          </cell>
          <cell r="M1212">
            <v>5</v>
          </cell>
          <cell r="N1212">
            <v>44.9</v>
          </cell>
          <cell r="O1212">
            <v>1</v>
          </cell>
          <cell r="P1212">
            <v>16.5</v>
          </cell>
          <cell r="S1212">
            <v>25.2</v>
          </cell>
          <cell r="T1212">
            <v>8.6999999999999993</v>
          </cell>
          <cell r="U1212">
            <v>3</v>
          </cell>
        </row>
        <row r="1213">
          <cell r="B1213" t="str">
            <v>Female</v>
          </cell>
          <cell r="F1213">
            <v>6</v>
          </cell>
          <cell r="G1213">
            <v>18.8</v>
          </cell>
          <cell r="I1213">
            <v>58.2</v>
          </cell>
          <cell r="J1213">
            <v>3</v>
          </cell>
          <cell r="K1213">
            <v>11</v>
          </cell>
          <cell r="L1213">
            <v>136.37</v>
          </cell>
          <cell r="M1213">
            <v>26</v>
          </cell>
          <cell r="N1213">
            <v>14.4</v>
          </cell>
          <cell r="O1213">
            <v>1.8</v>
          </cell>
          <cell r="P1213">
            <v>24.2</v>
          </cell>
          <cell r="S1213">
            <v>2.9</v>
          </cell>
          <cell r="T1213">
            <v>14.8</v>
          </cell>
          <cell r="U1213">
            <v>1</v>
          </cell>
        </row>
        <row r="1214">
          <cell r="B1214" t="str">
            <v>Male</v>
          </cell>
          <cell r="F1214">
            <v>0</v>
          </cell>
          <cell r="G1214">
            <v>10</v>
          </cell>
          <cell r="H1214">
            <v>5.3</v>
          </cell>
          <cell r="I1214">
            <v>69</v>
          </cell>
          <cell r="J1214">
            <v>3</v>
          </cell>
          <cell r="K1214" t="str">
            <v>11.700000000000001</v>
          </cell>
          <cell r="L1214">
            <v>99.97</v>
          </cell>
          <cell r="O1214">
            <v>6.1</v>
          </cell>
          <cell r="P1214">
            <v>10</v>
          </cell>
          <cell r="S1214">
            <v>15.9</v>
          </cell>
          <cell r="T1214">
            <v>13.5</v>
          </cell>
          <cell r="U1214">
            <v>2</v>
          </cell>
        </row>
        <row r="1215">
          <cell r="B1215" t="str">
            <v>Female</v>
          </cell>
          <cell r="F1215">
            <v>14</v>
          </cell>
          <cell r="G1215">
            <v>28.5</v>
          </cell>
          <cell r="H1215">
            <v>6.9</v>
          </cell>
          <cell r="I1215">
            <v>35.6</v>
          </cell>
          <cell r="J1215">
            <v>5</v>
          </cell>
          <cell r="K1215">
            <v>14</v>
          </cell>
          <cell r="L1215">
            <v>90.03</v>
          </cell>
          <cell r="P1215">
            <v>22.1</v>
          </cell>
          <cell r="S1215">
            <v>49.2</v>
          </cell>
          <cell r="T1215">
            <v>17.5</v>
          </cell>
          <cell r="U1215">
            <v>3</v>
          </cell>
        </row>
        <row r="1216">
          <cell r="B1216" t="str">
            <v>Female</v>
          </cell>
          <cell r="F1216">
            <v>14</v>
          </cell>
          <cell r="G1216">
            <v>20.3</v>
          </cell>
          <cell r="H1216">
            <v>6.7</v>
          </cell>
          <cell r="I1216">
            <v>48.6</v>
          </cell>
          <cell r="J1216">
            <v>3</v>
          </cell>
          <cell r="K1216">
            <v>10.4</v>
          </cell>
          <cell r="L1216">
            <v>128.32</v>
          </cell>
          <cell r="M1216">
            <v>90</v>
          </cell>
          <cell r="N1216">
            <v>72.12</v>
          </cell>
          <cell r="O1216">
            <v>7</v>
          </cell>
          <cell r="P1216">
            <v>0</v>
          </cell>
          <cell r="S1216">
            <v>19</v>
          </cell>
          <cell r="T1216">
            <v>14.5</v>
          </cell>
          <cell r="U1216">
            <v>3</v>
          </cell>
        </row>
        <row r="1217">
          <cell r="B1217" t="str">
            <v>Female</v>
          </cell>
          <cell r="F1217">
            <v>8</v>
          </cell>
          <cell r="G1217">
            <v>24.8</v>
          </cell>
          <cell r="H1217">
            <v>7.5</v>
          </cell>
          <cell r="I1217">
            <v>79.099999999999994</v>
          </cell>
          <cell r="J1217">
            <v>4</v>
          </cell>
          <cell r="K1217">
            <v>8</v>
          </cell>
          <cell r="L1217">
            <v>138.38999999999999</v>
          </cell>
          <cell r="M1217">
            <v>4</v>
          </cell>
          <cell r="N1217">
            <v>32.4</v>
          </cell>
          <cell r="O1217">
            <v>3.1</v>
          </cell>
          <cell r="P1217">
            <v>10.199999999999999</v>
          </cell>
          <cell r="S1217">
            <v>36.1</v>
          </cell>
          <cell r="T1217">
            <v>22.3</v>
          </cell>
          <cell r="U1217">
            <v>2</v>
          </cell>
        </row>
        <row r="1218">
          <cell r="B1218" t="str">
            <v>Female</v>
          </cell>
          <cell r="F1218">
            <v>9</v>
          </cell>
          <cell r="H1218">
            <v>13.4</v>
          </cell>
          <cell r="I1218">
            <v>79.099999999999994</v>
          </cell>
          <cell r="J1218">
            <v>8</v>
          </cell>
          <cell r="K1218">
            <v>13</v>
          </cell>
          <cell r="L1218">
            <v>138.5</v>
          </cell>
          <cell r="M1218">
            <v>19</v>
          </cell>
          <cell r="N1218">
            <v>35.1</v>
          </cell>
          <cell r="O1218">
            <v>5.0999999999999996</v>
          </cell>
          <cell r="T1218">
            <v>24.2</v>
          </cell>
          <cell r="U1218">
            <v>1</v>
          </cell>
        </row>
        <row r="1219">
          <cell r="B1219" t="str">
            <v>Female</v>
          </cell>
          <cell r="F1219">
            <v>18</v>
          </cell>
          <cell r="G1219">
            <v>30.2</v>
          </cell>
          <cell r="H1219">
            <v>10.1</v>
          </cell>
          <cell r="I1219">
            <v>53.3</v>
          </cell>
          <cell r="J1219">
            <v>13</v>
          </cell>
          <cell r="K1219" t="str">
            <v>23.400000000000002</v>
          </cell>
          <cell r="L1219">
            <v>111.5</v>
          </cell>
          <cell r="M1219">
            <v>124</v>
          </cell>
          <cell r="N1219">
            <v>39.840000000000003</v>
          </cell>
          <cell r="O1219">
            <v>6.6</v>
          </cell>
          <cell r="P1219">
            <v>34.1</v>
          </cell>
          <cell r="S1219">
            <v>68.400000000000006</v>
          </cell>
          <cell r="T1219">
            <v>27.1</v>
          </cell>
          <cell r="U1219">
            <v>1</v>
          </cell>
        </row>
        <row r="1220">
          <cell r="B1220" t="str">
            <v>Female</v>
          </cell>
          <cell r="F1220">
            <v>9</v>
          </cell>
          <cell r="G1220">
            <v>21.4</v>
          </cell>
          <cell r="I1220">
            <v>79.7</v>
          </cell>
          <cell r="J1220">
            <v>1</v>
          </cell>
          <cell r="K1220">
            <v>6</v>
          </cell>
          <cell r="L1220">
            <v>103.54</v>
          </cell>
          <cell r="M1220">
            <v>46</v>
          </cell>
          <cell r="N1220">
            <v>84.1</v>
          </cell>
          <cell r="O1220">
            <v>10.8</v>
          </cell>
          <cell r="P1220">
            <v>7.5</v>
          </cell>
          <cell r="S1220">
            <v>37.9</v>
          </cell>
          <cell r="T1220">
            <v>9.4</v>
          </cell>
          <cell r="U1220">
            <v>2</v>
          </cell>
        </row>
        <row r="1221">
          <cell r="B1221" t="str">
            <v>Female</v>
          </cell>
          <cell r="F1221">
            <v>27</v>
          </cell>
          <cell r="G1221">
            <v>47.9</v>
          </cell>
          <cell r="H1221">
            <v>14.8</v>
          </cell>
          <cell r="I1221">
            <v>18</v>
          </cell>
          <cell r="K1221">
            <v>21</v>
          </cell>
          <cell r="L1221">
            <v>85.65</v>
          </cell>
          <cell r="M1221">
            <v>49</v>
          </cell>
          <cell r="N1221">
            <v>40</v>
          </cell>
          <cell r="O1221">
            <v>5</v>
          </cell>
          <cell r="P1221">
            <v>45.4</v>
          </cell>
          <cell r="S1221">
            <v>54.4</v>
          </cell>
          <cell r="T1221">
            <v>43.7</v>
          </cell>
          <cell r="U1221">
            <v>3</v>
          </cell>
        </row>
        <row r="1222">
          <cell r="B1222" t="str">
            <v>Male</v>
          </cell>
          <cell r="F1222">
            <v>0</v>
          </cell>
          <cell r="G1222">
            <v>17.899999999999999</v>
          </cell>
          <cell r="H1222">
            <v>8.3000000000000007</v>
          </cell>
          <cell r="I1222">
            <v>48.8</v>
          </cell>
          <cell r="J1222">
            <v>4</v>
          </cell>
          <cell r="K1222">
            <v>12</v>
          </cell>
          <cell r="L1222">
            <v>105.06</v>
          </cell>
          <cell r="M1222">
            <v>23</v>
          </cell>
          <cell r="N1222">
            <v>33.5</v>
          </cell>
          <cell r="O1222">
            <v>18.8</v>
          </cell>
          <cell r="P1222">
            <v>23.8</v>
          </cell>
          <cell r="S1222">
            <v>17.899999999999999</v>
          </cell>
          <cell r="T1222">
            <v>15.4</v>
          </cell>
          <cell r="U1222">
            <v>2</v>
          </cell>
        </row>
        <row r="1223">
          <cell r="B1223" t="str">
            <v>Male</v>
          </cell>
          <cell r="F1223">
            <v>1</v>
          </cell>
          <cell r="G1223">
            <v>24.4</v>
          </cell>
          <cell r="H1223">
            <v>8.1</v>
          </cell>
          <cell r="I1223">
            <v>36.6</v>
          </cell>
          <cell r="J1223">
            <v>2</v>
          </cell>
          <cell r="K1223">
            <v>13</v>
          </cell>
          <cell r="L1223">
            <v>131.97999999999999</v>
          </cell>
          <cell r="M1223">
            <v>15</v>
          </cell>
          <cell r="O1223">
            <v>8.6999999999999993</v>
          </cell>
          <cell r="P1223">
            <v>16.600000000000001</v>
          </cell>
          <cell r="S1223">
            <v>30</v>
          </cell>
          <cell r="T1223">
            <v>13.5</v>
          </cell>
          <cell r="U1223">
            <v>2</v>
          </cell>
        </row>
        <row r="1224">
          <cell r="B1224" t="str">
            <v>Male</v>
          </cell>
          <cell r="F1224">
            <v>5</v>
          </cell>
          <cell r="H1224">
            <v>7.7</v>
          </cell>
          <cell r="I1224">
            <v>62</v>
          </cell>
          <cell r="J1224">
            <v>0</v>
          </cell>
          <cell r="K1224">
            <v>15</v>
          </cell>
          <cell r="L1224">
            <v>152.78</v>
          </cell>
          <cell r="M1224">
            <v>1</v>
          </cell>
          <cell r="N1224">
            <v>10.6</v>
          </cell>
          <cell r="O1224">
            <v>14.2</v>
          </cell>
          <cell r="P1224">
            <v>38.6</v>
          </cell>
          <cell r="S1224">
            <v>45.8</v>
          </cell>
          <cell r="T1224">
            <v>18.5</v>
          </cell>
          <cell r="U1224">
            <v>2</v>
          </cell>
        </row>
        <row r="1225">
          <cell r="B1225" t="str">
            <v>Female</v>
          </cell>
          <cell r="F1225">
            <v>20</v>
          </cell>
          <cell r="G1225">
            <v>30.1</v>
          </cell>
          <cell r="I1225">
            <v>37.799999999999997</v>
          </cell>
          <cell r="J1225">
            <v>6</v>
          </cell>
          <cell r="K1225">
            <v>14</v>
          </cell>
          <cell r="L1225">
            <v>111.34</v>
          </cell>
          <cell r="M1225">
            <v>5</v>
          </cell>
          <cell r="N1225">
            <v>8.1999999999999993</v>
          </cell>
          <cell r="O1225">
            <v>2</v>
          </cell>
          <cell r="P1225">
            <v>42.1</v>
          </cell>
          <cell r="T1225">
            <v>28.2</v>
          </cell>
          <cell r="U1225">
            <v>2</v>
          </cell>
        </row>
        <row r="1226">
          <cell r="B1226" t="str">
            <v>Female</v>
          </cell>
          <cell r="F1226">
            <v>17</v>
          </cell>
          <cell r="G1226">
            <v>28</v>
          </cell>
          <cell r="H1226">
            <v>4.7</v>
          </cell>
          <cell r="I1226">
            <v>38.6</v>
          </cell>
          <cell r="J1226">
            <v>3</v>
          </cell>
          <cell r="K1226">
            <v>22.1</v>
          </cell>
          <cell r="L1226">
            <v>127.21</v>
          </cell>
          <cell r="M1226">
            <v>11</v>
          </cell>
          <cell r="N1226" t="str">
            <v>13.799999999999999</v>
          </cell>
          <cell r="O1226">
            <v>4</v>
          </cell>
          <cell r="P1226">
            <v>0</v>
          </cell>
          <cell r="S1226">
            <v>44.5</v>
          </cell>
          <cell r="T1226">
            <v>28.6</v>
          </cell>
          <cell r="U1226">
            <v>2</v>
          </cell>
        </row>
        <row r="1227">
          <cell r="B1227" t="str">
            <v>Female</v>
          </cell>
          <cell r="F1227">
            <v>9</v>
          </cell>
          <cell r="G1227">
            <v>31.2</v>
          </cell>
          <cell r="H1227">
            <v>16.399999999999999</v>
          </cell>
          <cell r="I1227">
            <v>55.2</v>
          </cell>
          <cell r="J1227">
            <v>9</v>
          </cell>
          <cell r="K1227">
            <v>14</v>
          </cell>
          <cell r="L1227">
            <v>57.54</v>
          </cell>
          <cell r="M1227">
            <v>73</v>
          </cell>
          <cell r="N1227">
            <v>21.4</v>
          </cell>
          <cell r="O1227">
            <v>6.5</v>
          </cell>
          <cell r="P1227">
            <v>38.700000000000003</v>
          </cell>
          <cell r="S1227">
            <v>18.2</v>
          </cell>
        </row>
        <row r="1228">
          <cell r="B1228" t="str">
            <v>Female</v>
          </cell>
          <cell r="F1228">
            <v>8</v>
          </cell>
          <cell r="G1228">
            <v>31.8</v>
          </cell>
          <cell r="H1228">
            <v>6.1</v>
          </cell>
          <cell r="I1228">
            <v>57.8</v>
          </cell>
          <cell r="J1228">
            <v>2</v>
          </cell>
          <cell r="K1228">
            <v>19</v>
          </cell>
          <cell r="L1228">
            <v>108.86</v>
          </cell>
          <cell r="M1228">
            <v>64</v>
          </cell>
          <cell r="N1228">
            <v>34.4</v>
          </cell>
          <cell r="O1228">
            <v>9.1999999999999993</v>
          </cell>
          <cell r="P1228">
            <v>15.7</v>
          </cell>
          <cell r="S1228">
            <v>1.3</v>
          </cell>
          <cell r="U1228">
            <v>3</v>
          </cell>
        </row>
        <row r="1229">
          <cell r="B1229" t="str">
            <v>Female</v>
          </cell>
          <cell r="F1229">
            <v>17</v>
          </cell>
          <cell r="G1229">
            <v>44.3</v>
          </cell>
          <cell r="H1229">
            <v>13.7</v>
          </cell>
          <cell r="I1229">
            <v>35.1</v>
          </cell>
          <cell r="J1229">
            <v>7</v>
          </cell>
          <cell r="K1229">
            <v>18.2</v>
          </cell>
          <cell r="L1229">
            <v>105.15</v>
          </cell>
          <cell r="M1229">
            <v>24</v>
          </cell>
          <cell r="N1229">
            <v>94.44</v>
          </cell>
          <cell r="O1229">
            <v>12.1</v>
          </cell>
          <cell r="P1229">
            <v>30.6</v>
          </cell>
          <cell r="S1229">
            <v>28.8</v>
          </cell>
          <cell r="T1229">
            <v>22.5</v>
          </cell>
          <cell r="U1229">
            <v>5</v>
          </cell>
        </row>
        <row r="1230">
          <cell r="B1230" t="str">
            <v>Male</v>
          </cell>
          <cell r="F1230">
            <v>23</v>
          </cell>
          <cell r="G1230">
            <v>34.799999999999997</v>
          </cell>
          <cell r="I1230">
            <v>45.5</v>
          </cell>
          <cell r="J1230">
            <v>12</v>
          </cell>
          <cell r="K1230" t="str">
            <v>16.900000000000002</v>
          </cell>
          <cell r="L1230">
            <v>162.52000000000001</v>
          </cell>
          <cell r="M1230">
            <v>27</v>
          </cell>
          <cell r="N1230" t="str">
            <v>86.75999999999999</v>
          </cell>
          <cell r="O1230">
            <v>2.4</v>
          </cell>
          <cell r="P1230">
            <v>14.1</v>
          </cell>
          <cell r="T1230">
            <v>23.9</v>
          </cell>
          <cell r="U1230">
            <v>1</v>
          </cell>
        </row>
        <row r="1231">
          <cell r="B1231" t="str">
            <v>Male</v>
          </cell>
          <cell r="F1231">
            <v>3</v>
          </cell>
          <cell r="H1231">
            <v>6.4</v>
          </cell>
          <cell r="I1231">
            <v>66</v>
          </cell>
          <cell r="J1231">
            <v>0</v>
          </cell>
          <cell r="K1231">
            <v>9.1</v>
          </cell>
          <cell r="L1231">
            <v>87.92</v>
          </cell>
          <cell r="M1231">
            <v>33</v>
          </cell>
          <cell r="N1231">
            <v>54.48</v>
          </cell>
          <cell r="O1231">
            <v>10.4</v>
          </cell>
          <cell r="P1231">
            <v>0</v>
          </cell>
          <cell r="U1231">
            <v>1</v>
          </cell>
        </row>
        <row r="1232">
          <cell r="B1232" t="str">
            <v>Male</v>
          </cell>
          <cell r="F1232">
            <v>7</v>
          </cell>
          <cell r="G1232">
            <v>24.3</v>
          </cell>
          <cell r="H1232">
            <v>7.4</v>
          </cell>
          <cell r="I1232">
            <v>58.4</v>
          </cell>
          <cell r="J1232">
            <v>0</v>
          </cell>
          <cell r="K1232">
            <v>9</v>
          </cell>
          <cell r="L1232">
            <v>68.239999999999995</v>
          </cell>
          <cell r="N1232">
            <v>61.3</v>
          </cell>
          <cell r="O1232">
            <v>1.8</v>
          </cell>
          <cell r="P1232">
            <v>18.7</v>
          </cell>
          <cell r="S1232">
            <v>0</v>
          </cell>
          <cell r="T1232">
            <v>9</v>
          </cell>
          <cell r="U1232">
            <v>2</v>
          </cell>
        </row>
        <row r="1233">
          <cell r="B1233" t="str">
            <v>Male</v>
          </cell>
          <cell r="F1233">
            <v>9</v>
          </cell>
          <cell r="G1233">
            <v>15.2</v>
          </cell>
          <cell r="H1233">
            <v>3.7</v>
          </cell>
          <cell r="I1233">
            <v>60.1</v>
          </cell>
          <cell r="J1233">
            <v>1</v>
          </cell>
          <cell r="K1233">
            <v>10</v>
          </cell>
          <cell r="L1233">
            <v>163.44999999999999</v>
          </cell>
          <cell r="M1233">
            <v>9</v>
          </cell>
          <cell r="N1233">
            <v>17.899999999999999</v>
          </cell>
          <cell r="P1233">
            <v>10.5</v>
          </cell>
          <cell r="S1233">
            <v>0</v>
          </cell>
          <cell r="T1233">
            <v>11.6</v>
          </cell>
          <cell r="U1233">
            <v>2</v>
          </cell>
        </row>
        <row r="1234">
          <cell r="B1234" t="str">
            <v>Female</v>
          </cell>
          <cell r="F1234">
            <v>17</v>
          </cell>
          <cell r="G1234">
            <v>32.700000000000003</v>
          </cell>
          <cell r="H1234">
            <v>14.4</v>
          </cell>
          <cell r="I1234">
            <v>58.8</v>
          </cell>
          <cell r="J1234">
            <v>6</v>
          </cell>
          <cell r="K1234">
            <v>21</v>
          </cell>
          <cell r="L1234">
            <v>159.19</v>
          </cell>
          <cell r="M1234">
            <v>19</v>
          </cell>
          <cell r="N1234">
            <v>19.600000000000001</v>
          </cell>
          <cell r="O1234">
            <v>25.1</v>
          </cell>
          <cell r="P1234">
            <v>29.5</v>
          </cell>
          <cell r="T1234">
            <v>26.8</v>
          </cell>
          <cell r="U1234">
            <v>5</v>
          </cell>
        </row>
        <row r="1235">
          <cell r="B1235" t="str">
            <v>Male</v>
          </cell>
          <cell r="F1235">
            <v>8</v>
          </cell>
          <cell r="G1235">
            <v>27.6</v>
          </cell>
          <cell r="H1235">
            <v>8.6999999999999993</v>
          </cell>
          <cell r="I1235">
            <v>49.3</v>
          </cell>
          <cell r="J1235">
            <v>3</v>
          </cell>
          <cell r="K1235">
            <v>10</v>
          </cell>
          <cell r="L1235">
            <v>123.17</v>
          </cell>
          <cell r="M1235">
            <v>37</v>
          </cell>
          <cell r="N1235">
            <v>81.5</v>
          </cell>
          <cell r="P1235">
            <v>18.3</v>
          </cell>
          <cell r="T1235">
            <v>22.1</v>
          </cell>
          <cell r="U1235">
            <v>4</v>
          </cell>
        </row>
        <row r="1236">
          <cell r="B1236" t="str">
            <v>Female</v>
          </cell>
          <cell r="F1236">
            <v>18</v>
          </cell>
          <cell r="G1236">
            <v>22.4</v>
          </cell>
          <cell r="H1236">
            <v>9.8000000000000007</v>
          </cell>
          <cell r="I1236">
            <v>46.8</v>
          </cell>
          <cell r="J1236">
            <v>5</v>
          </cell>
          <cell r="K1236">
            <v>14</v>
          </cell>
          <cell r="L1236">
            <v>70.98</v>
          </cell>
          <cell r="N1236">
            <v>59.3</v>
          </cell>
          <cell r="O1236">
            <v>3.5</v>
          </cell>
          <cell r="P1236">
            <v>15</v>
          </cell>
          <cell r="S1236">
            <v>48.5</v>
          </cell>
          <cell r="T1236">
            <v>22.2</v>
          </cell>
          <cell r="U1236">
            <v>3</v>
          </cell>
        </row>
        <row r="1237">
          <cell r="B1237" t="str">
            <v>Female</v>
          </cell>
          <cell r="F1237">
            <v>13</v>
          </cell>
          <cell r="G1237">
            <v>21.5</v>
          </cell>
          <cell r="H1237">
            <v>8.8000000000000007</v>
          </cell>
          <cell r="I1237">
            <v>55.8</v>
          </cell>
          <cell r="J1237">
            <v>1</v>
          </cell>
          <cell r="K1237" t="str">
            <v>15.600000000000001</v>
          </cell>
          <cell r="L1237">
            <v>118.11</v>
          </cell>
          <cell r="M1237">
            <v>50</v>
          </cell>
          <cell r="N1237">
            <v>30.96</v>
          </cell>
          <cell r="O1237">
            <v>2.2000000000000002</v>
          </cell>
          <cell r="P1237">
            <v>16.8</v>
          </cell>
          <cell r="U1237">
            <v>3</v>
          </cell>
        </row>
        <row r="1238">
          <cell r="B1238" t="str">
            <v>Male</v>
          </cell>
          <cell r="F1238">
            <v>7</v>
          </cell>
          <cell r="G1238">
            <v>11.2</v>
          </cell>
          <cell r="H1238">
            <v>5.3</v>
          </cell>
          <cell r="I1238">
            <v>77.400000000000006</v>
          </cell>
          <cell r="J1238">
            <v>1</v>
          </cell>
          <cell r="K1238" t="str">
            <v>3.9000000000000004</v>
          </cell>
          <cell r="L1238">
            <v>168.84</v>
          </cell>
          <cell r="M1238">
            <v>17</v>
          </cell>
          <cell r="N1238" t="str">
            <v>29.759999999999998</v>
          </cell>
          <cell r="O1238">
            <v>4</v>
          </cell>
          <cell r="P1238">
            <v>1.4</v>
          </cell>
          <cell r="S1238">
            <v>0</v>
          </cell>
          <cell r="U1238">
            <v>2</v>
          </cell>
        </row>
        <row r="1239">
          <cell r="B1239" t="str">
            <v>Female</v>
          </cell>
          <cell r="F1239">
            <v>20</v>
          </cell>
          <cell r="G1239">
            <v>46.1</v>
          </cell>
          <cell r="I1239">
            <v>27.4</v>
          </cell>
          <cell r="J1239">
            <v>9</v>
          </cell>
          <cell r="K1239">
            <v>21</v>
          </cell>
          <cell r="L1239">
            <v>83.54</v>
          </cell>
          <cell r="M1239">
            <v>9</v>
          </cell>
          <cell r="N1239">
            <v>18.7</v>
          </cell>
          <cell r="O1239">
            <v>5</v>
          </cell>
          <cell r="P1239">
            <v>60.8</v>
          </cell>
          <cell r="S1239">
            <v>60.4</v>
          </cell>
          <cell r="T1239">
            <v>31.3</v>
          </cell>
          <cell r="U1239">
            <v>3</v>
          </cell>
        </row>
        <row r="1240">
          <cell r="B1240" t="str">
            <v>Female</v>
          </cell>
          <cell r="F1240">
            <v>17</v>
          </cell>
          <cell r="G1240">
            <v>38.1</v>
          </cell>
          <cell r="I1240">
            <v>46.7</v>
          </cell>
          <cell r="J1240">
            <v>4</v>
          </cell>
          <cell r="K1240">
            <v>13</v>
          </cell>
          <cell r="L1240">
            <v>107.32</v>
          </cell>
          <cell r="M1240">
            <v>26</v>
          </cell>
          <cell r="N1240">
            <v>10.8</v>
          </cell>
          <cell r="O1240">
            <v>4.7</v>
          </cell>
          <cell r="P1240">
            <v>27.6</v>
          </cell>
          <cell r="S1240">
            <v>65</v>
          </cell>
          <cell r="T1240">
            <v>24.3</v>
          </cell>
          <cell r="U1240">
            <v>1</v>
          </cell>
        </row>
        <row r="1241">
          <cell r="B1241" t="str">
            <v>Male</v>
          </cell>
          <cell r="F1241">
            <v>13</v>
          </cell>
          <cell r="I1241">
            <v>78.400000000000006</v>
          </cell>
          <cell r="J1241">
            <v>3</v>
          </cell>
          <cell r="K1241">
            <v>6</v>
          </cell>
          <cell r="L1241">
            <v>135.69999999999999</v>
          </cell>
          <cell r="M1241">
            <v>11</v>
          </cell>
          <cell r="O1241">
            <v>7</v>
          </cell>
          <cell r="P1241">
            <v>11.8</v>
          </cell>
          <cell r="T1241">
            <v>20.8</v>
          </cell>
          <cell r="U1241">
            <v>4</v>
          </cell>
        </row>
        <row r="1242">
          <cell r="B1242" t="str">
            <v>Male</v>
          </cell>
          <cell r="F1242">
            <v>22</v>
          </cell>
          <cell r="G1242">
            <v>41.1</v>
          </cell>
          <cell r="H1242">
            <v>14</v>
          </cell>
          <cell r="I1242">
            <v>42.8</v>
          </cell>
          <cell r="J1242">
            <v>9</v>
          </cell>
          <cell r="K1242">
            <v>20</v>
          </cell>
          <cell r="L1242">
            <v>79</v>
          </cell>
          <cell r="M1242">
            <v>41</v>
          </cell>
          <cell r="N1242">
            <v>62.2</v>
          </cell>
          <cell r="O1242">
            <v>1.3</v>
          </cell>
          <cell r="P1242">
            <v>32.6</v>
          </cell>
          <cell r="S1242">
            <v>55.9</v>
          </cell>
          <cell r="T1242">
            <v>33.700000000000003</v>
          </cell>
          <cell r="U1242">
            <v>2</v>
          </cell>
        </row>
        <row r="1243">
          <cell r="B1243" t="str">
            <v>Male</v>
          </cell>
          <cell r="F1243">
            <v>19</v>
          </cell>
          <cell r="G1243">
            <v>33.9</v>
          </cell>
          <cell r="H1243">
            <v>15.1</v>
          </cell>
          <cell r="I1243">
            <v>51.6</v>
          </cell>
          <cell r="J1243">
            <v>7</v>
          </cell>
          <cell r="K1243">
            <v>14</v>
          </cell>
          <cell r="L1243">
            <v>198.2</v>
          </cell>
          <cell r="M1243">
            <v>29</v>
          </cell>
          <cell r="N1243">
            <v>47.2</v>
          </cell>
          <cell r="O1243">
            <v>5.9</v>
          </cell>
          <cell r="P1243">
            <v>30</v>
          </cell>
          <cell r="S1243">
            <v>41.9</v>
          </cell>
          <cell r="T1243">
            <v>18.600000000000001</v>
          </cell>
          <cell r="U1243">
            <v>4</v>
          </cell>
        </row>
        <row r="1244">
          <cell r="B1244" t="str">
            <v>Female</v>
          </cell>
          <cell r="F1244">
            <v>20</v>
          </cell>
          <cell r="G1244">
            <v>32.799999999999997</v>
          </cell>
          <cell r="H1244">
            <v>13.7</v>
          </cell>
          <cell r="I1244">
            <v>54</v>
          </cell>
          <cell r="J1244">
            <v>8</v>
          </cell>
          <cell r="K1244">
            <v>19</v>
          </cell>
          <cell r="L1244">
            <v>123.69</v>
          </cell>
          <cell r="M1244">
            <v>12</v>
          </cell>
          <cell r="N1244">
            <v>56.5</v>
          </cell>
          <cell r="O1244">
            <v>9.6999999999999993</v>
          </cell>
          <cell r="P1244">
            <v>36.200000000000003</v>
          </cell>
          <cell r="T1244">
            <v>26.3</v>
          </cell>
          <cell r="U1244">
            <v>2</v>
          </cell>
        </row>
        <row r="1245">
          <cell r="B1245" t="str">
            <v>Female</v>
          </cell>
          <cell r="F1245">
            <v>11</v>
          </cell>
          <cell r="G1245">
            <v>28.5</v>
          </cell>
          <cell r="I1245">
            <v>54.7</v>
          </cell>
          <cell r="J1245">
            <v>4</v>
          </cell>
          <cell r="K1245">
            <v>17</v>
          </cell>
          <cell r="L1245">
            <v>168.2</v>
          </cell>
          <cell r="M1245">
            <v>5</v>
          </cell>
          <cell r="N1245">
            <v>38.4</v>
          </cell>
          <cell r="O1245">
            <v>0.4</v>
          </cell>
          <cell r="P1245">
            <v>28.8</v>
          </cell>
          <cell r="S1245">
            <v>30.4</v>
          </cell>
          <cell r="T1245">
            <v>24.4</v>
          </cell>
          <cell r="U1245">
            <v>1</v>
          </cell>
        </row>
        <row r="1246">
          <cell r="B1246" t="str">
            <v>Male</v>
          </cell>
          <cell r="F1246">
            <v>9</v>
          </cell>
          <cell r="H1246">
            <v>2.9</v>
          </cell>
          <cell r="I1246">
            <v>80.3</v>
          </cell>
          <cell r="J1246">
            <v>1</v>
          </cell>
          <cell r="K1246">
            <v>9.1</v>
          </cell>
          <cell r="L1246">
            <v>145.47999999999999</v>
          </cell>
          <cell r="M1246">
            <v>40</v>
          </cell>
          <cell r="N1246">
            <v>20.88</v>
          </cell>
          <cell r="O1246">
            <v>3.4</v>
          </cell>
          <cell r="P1246">
            <v>0</v>
          </cell>
          <cell r="S1246">
            <v>4.4000000000000004</v>
          </cell>
          <cell r="T1246">
            <v>13.1</v>
          </cell>
        </row>
        <row r="1247">
          <cell r="B1247" t="str">
            <v>Other</v>
          </cell>
          <cell r="F1247">
            <v>9</v>
          </cell>
          <cell r="G1247">
            <v>30.9</v>
          </cell>
          <cell r="H1247">
            <v>6.4</v>
          </cell>
          <cell r="I1247">
            <v>61</v>
          </cell>
          <cell r="J1247">
            <v>5</v>
          </cell>
          <cell r="K1247">
            <v>11</v>
          </cell>
          <cell r="L1247">
            <v>134.88999999999999</v>
          </cell>
          <cell r="M1247">
            <v>14</v>
          </cell>
          <cell r="N1247">
            <v>38.9</v>
          </cell>
          <cell r="O1247">
            <v>2.1</v>
          </cell>
          <cell r="P1247">
            <v>2.8</v>
          </cell>
          <cell r="S1247">
            <v>16.7</v>
          </cell>
          <cell r="T1247">
            <v>9.6</v>
          </cell>
          <cell r="U1247">
            <v>5</v>
          </cell>
        </row>
        <row r="1248">
          <cell r="B1248" t="str">
            <v>Female</v>
          </cell>
          <cell r="F1248">
            <v>0</v>
          </cell>
          <cell r="G1248">
            <v>9.5</v>
          </cell>
          <cell r="H1248">
            <v>1.7</v>
          </cell>
          <cell r="I1248">
            <v>77.099999999999994</v>
          </cell>
          <cell r="J1248">
            <v>0</v>
          </cell>
          <cell r="K1248">
            <v>6</v>
          </cell>
          <cell r="L1248">
            <v>108.25</v>
          </cell>
          <cell r="M1248">
            <v>14</v>
          </cell>
          <cell r="N1248">
            <v>14.1</v>
          </cell>
          <cell r="O1248">
            <v>5.4</v>
          </cell>
          <cell r="P1248">
            <v>3.2</v>
          </cell>
          <cell r="S1248">
            <v>0</v>
          </cell>
          <cell r="T1248">
            <v>0.2</v>
          </cell>
          <cell r="U1248">
            <v>1</v>
          </cell>
        </row>
        <row r="1249">
          <cell r="B1249" t="str">
            <v>Female</v>
          </cell>
          <cell r="F1249">
            <v>0</v>
          </cell>
          <cell r="G1249">
            <v>14.5</v>
          </cell>
          <cell r="H1249">
            <v>2.1</v>
          </cell>
          <cell r="I1249">
            <v>89.5</v>
          </cell>
          <cell r="J1249">
            <v>0</v>
          </cell>
          <cell r="K1249">
            <v>5</v>
          </cell>
          <cell r="L1249">
            <v>76.209999999999994</v>
          </cell>
          <cell r="M1249">
            <v>12</v>
          </cell>
          <cell r="N1249">
            <v>30</v>
          </cell>
          <cell r="O1249">
            <v>14.8</v>
          </cell>
          <cell r="P1249">
            <v>0</v>
          </cell>
          <cell r="S1249">
            <v>2.2999999999999998</v>
          </cell>
          <cell r="T1249">
            <v>9.8000000000000007</v>
          </cell>
          <cell r="U1249">
            <v>2</v>
          </cell>
        </row>
        <row r="1250">
          <cell r="B1250" t="str">
            <v>Male</v>
          </cell>
          <cell r="F1250">
            <v>20</v>
          </cell>
          <cell r="G1250">
            <v>40.4</v>
          </cell>
          <cell r="H1250">
            <v>12.9</v>
          </cell>
          <cell r="I1250">
            <v>32.200000000000003</v>
          </cell>
          <cell r="J1250">
            <v>9</v>
          </cell>
          <cell r="K1250">
            <v>15</v>
          </cell>
          <cell r="L1250">
            <v>128.18</v>
          </cell>
          <cell r="M1250">
            <v>14</v>
          </cell>
          <cell r="N1250">
            <v>64.099999999999994</v>
          </cell>
          <cell r="O1250">
            <v>1.1000000000000001</v>
          </cell>
          <cell r="P1250">
            <v>46.8</v>
          </cell>
          <cell r="S1250">
            <v>46.1</v>
          </cell>
          <cell r="T1250">
            <v>23.3</v>
          </cell>
          <cell r="U1250">
            <v>2</v>
          </cell>
        </row>
        <row r="1251">
          <cell r="B1251" t="str">
            <v>Other</v>
          </cell>
          <cell r="F1251">
            <v>21</v>
          </cell>
          <cell r="G1251">
            <v>41.4</v>
          </cell>
          <cell r="H1251">
            <v>9.5</v>
          </cell>
          <cell r="I1251">
            <v>51.8</v>
          </cell>
          <cell r="J1251">
            <v>6</v>
          </cell>
          <cell r="K1251">
            <v>22</v>
          </cell>
          <cell r="L1251">
            <v>81.180000000000007</v>
          </cell>
          <cell r="M1251">
            <v>10</v>
          </cell>
          <cell r="O1251">
            <v>8.1</v>
          </cell>
          <cell r="P1251">
            <v>39.200000000000003</v>
          </cell>
          <cell r="S1251">
            <v>31.8</v>
          </cell>
          <cell r="T1251">
            <v>20.100000000000001</v>
          </cell>
          <cell r="U1251">
            <v>2</v>
          </cell>
        </row>
        <row r="1252">
          <cell r="B1252" t="str">
            <v>Female</v>
          </cell>
          <cell r="F1252">
            <v>4</v>
          </cell>
          <cell r="H1252">
            <v>2.6</v>
          </cell>
          <cell r="I1252">
            <v>84.4</v>
          </cell>
          <cell r="J1252">
            <v>1</v>
          </cell>
          <cell r="K1252">
            <v>1.3</v>
          </cell>
          <cell r="L1252">
            <v>84.69</v>
          </cell>
          <cell r="M1252">
            <v>36</v>
          </cell>
          <cell r="N1252" t="str">
            <v>29.879999999999995</v>
          </cell>
          <cell r="O1252">
            <v>8.9</v>
          </cell>
          <cell r="P1252">
            <v>0</v>
          </cell>
          <cell r="S1252">
            <v>29</v>
          </cell>
          <cell r="T1252">
            <v>12.8</v>
          </cell>
        </row>
        <row r="1253">
          <cell r="B1253" t="str">
            <v>Female</v>
          </cell>
          <cell r="F1253">
            <v>16</v>
          </cell>
          <cell r="G1253">
            <v>20.399999999999999</v>
          </cell>
          <cell r="H1253">
            <v>9.1</v>
          </cell>
          <cell r="I1253">
            <v>53.4</v>
          </cell>
          <cell r="J1253">
            <v>3</v>
          </cell>
          <cell r="K1253">
            <v>13</v>
          </cell>
          <cell r="L1253">
            <v>80.569999999999993</v>
          </cell>
          <cell r="M1253">
            <v>27</v>
          </cell>
          <cell r="N1253">
            <v>44.9</v>
          </cell>
          <cell r="O1253">
            <v>11.5</v>
          </cell>
          <cell r="P1253">
            <v>8.6</v>
          </cell>
          <cell r="S1253">
            <v>24.3</v>
          </cell>
          <cell r="T1253">
            <v>17.8</v>
          </cell>
          <cell r="U1253">
            <v>3</v>
          </cell>
        </row>
        <row r="1254">
          <cell r="B1254" t="str">
            <v>Male</v>
          </cell>
          <cell r="F1254">
            <v>10</v>
          </cell>
          <cell r="G1254">
            <v>30.2</v>
          </cell>
          <cell r="H1254">
            <v>11.8</v>
          </cell>
          <cell r="I1254">
            <v>61.2</v>
          </cell>
          <cell r="J1254">
            <v>4</v>
          </cell>
          <cell r="K1254">
            <v>14</v>
          </cell>
          <cell r="L1254">
            <v>115.78</v>
          </cell>
          <cell r="M1254">
            <v>4</v>
          </cell>
          <cell r="N1254">
            <v>56.5</v>
          </cell>
          <cell r="O1254">
            <v>8.4</v>
          </cell>
          <cell r="P1254">
            <v>33.9</v>
          </cell>
          <cell r="S1254">
            <v>38.6</v>
          </cell>
          <cell r="T1254">
            <v>19.5</v>
          </cell>
          <cell r="U1254">
            <v>4</v>
          </cell>
        </row>
        <row r="1255">
          <cell r="B1255" t="str">
            <v>Male</v>
          </cell>
          <cell r="F1255">
            <v>11</v>
          </cell>
          <cell r="G1255">
            <v>20.5</v>
          </cell>
          <cell r="H1255">
            <v>8.4</v>
          </cell>
          <cell r="I1255">
            <v>38.6</v>
          </cell>
          <cell r="J1255">
            <v>6</v>
          </cell>
          <cell r="K1255">
            <v>13</v>
          </cell>
          <cell r="L1255">
            <v>65.41</v>
          </cell>
          <cell r="M1255">
            <v>28</v>
          </cell>
          <cell r="N1255">
            <v>57.7</v>
          </cell>
          <cell r="O1255">
            <v>13.7</v>
          </cell>
          <cell r="P1255">
            <v>13.7</v>
          </cell>
          <cell r="T1255">
            <v>19.600000000000001</v>
          </cell>
          <cell r="U1255">
            <v>1</v>
          </cell>
        </row>
        <row r="1256">
          <cell r="B1256" t="str">
            <v>Female</v>
          </cell>
          <cell r="F1256">
            <v>14</v>
          </cell>
          <cell r="G1256">
            <v>27.4</v>
          </cell>
          <cell r="H1256">
            <v>2</v>
          </cell>
          <cell r="I1256">
            <v>58.2</v>
          </cell>
          <cell r="J1256">
            <v>1</v>
          </cell>
          <cell r="K1256">
            <v>9</v>
          </cell>
          <cell r="L1256">
            <v>97.76</v>
          </cell>
          <cell r="M1256">
            <v>34</v>
          </cell>
          <cell r="N1256">
            <v>2.9</v>
          </cell>
          <cell r="O1256">
            <v>7.3</v>
          </cell>
          <cell r="P1256">
            <v>25.3</v>
          </cell>
          <cell r="S1256">
            <v>35.799999999999997</v>
          </cell>
          <cell r="U1256">
            <v>1</v>
          </cell>
        </row>
        <row r="1257">
          <cell r="B1257" t="str">
            <v>Male</v>
          </cell>
          <cell r="F1257">
            <v>21</v>
          </cell>
          <cell r="G1257">
            <v>29.6</v>
          </cell>
          <cell r="H1257">
            <v>11.8</v>
          </cell>
          <cell r="I1257">
            <v>39</v>
          </cell>
          <cell r="J1257">
            <v>7</v>
          </cell>
          <cell r="K1257">
            <v>15</v>
          </cell>
          <cell r="L1257">
            <v>214.54</v>
          </cell>
          <cell r="M1257">
            <v>49</v>
          </cell>
          <cell r="N1257">
            <v>38.299999999999997</v>
          </cell>
          <cell r="O1257">
            <v>2.6</v>
          </cell>
          <cell r="P1257">
            <v>21.9</v>
          </cell>
          <cell r="S1257">
            <v>47</v>
          </cell>
          <cell r="T1257">
            <v>21.9</v>
          </cell>
          <cell r="U1257">
            <v>3</v>
          </cell>
        </row>
        <row r="1258">
          <cell r="B1258" t="str">
            <v>Female</v>
          </cell>
          <cell r="F1258">
            <v>0</v>
          </cell>
          <cell r="H1258">
            <v>11.3</v>
          </cell>
          <cell r="I1258">
            <v>66.599999999999994</v>
          </cell>
          <cell r="J1258">
            <v>1</v>
          </cell>
          <cell r="K1258">
            <v>4</v>
          </cell>
          <cell r="L1258">
            <v>186.49</v>
          </cell>
          <cell r="M1258">
            <v>9</v>
          </cell>
          <cell r="N1258">
            <v>22.5</v>
          </cell>
          <cell r="O1258">
            <v>12.7</v>
          </cell>
          <cell r="P1258">
            <v>0</v>
          </cell>
          <cell r="S1258">
            <v>1</v>
          </cell>
          <cell r="T1258">
            <v>15.3</v>
          </cell>
          <cell r="U1258">
            <v>1</v>
          </cell>
        </row>
        <row r="1259">
          <cell r="B1259" t="str">
            <v>Male</v>
          </cell>
          <cell r="F1259">
            <v>4</v>
          </cell>
          <cell r="G1259">
            <v>15.5</v>
          </cell>
          <cell r="H1259">
            <v>9.6</v>
          </cell>
          <cell r="I1259">
            <v>63.8</v>
          </cell>
          <cell r="J1259">
            <v>1</v>
          </cell>
          <cell r="K1259">
            <v>10</v>
          </cell>
          <cell r="L1259">
            <v>84.53</v>
          </cell>
          <cell r="M1259">
            <v>93</v>
          </cell>
          <cell r="N1259">
            <v>35.1</v>
          </cell>
          <cell r="O1259">
            <v>16.7</v>
          </cell>
          <cell r="P1259">
            <v>23.3</v>
          </cell>
          <cell r="S1259">
            <v>12.8</v>
          </cell>
          <cell r="U1259">
            <v>1</v>
          </cell>
        </row>
        <row r="1260">
          <cell r="B1260" t="str">
            <v>Male</v>
          </cell>
          <cell r="F1260">
            <v>8</v>
          </cell>
          <cell r="G1260">
            <v>12.3</v>
          </cell>
          <cell r="H1260">
            <v>7.2</v>
          </cell>
          <cell r="I1260">
            <v>49.6</v>
          </cell>
          <cell r="K1260">
            <v>7</v>
          </cell>
          <cell r="L1260">
            <v>122.24</v>
          </cell>
          <cell r="M1260">
            <v>4</v>
          </cell>
          <cell r="N1260">
            <v>27.3</v>
          </cell>
          <cell r="O1260">
            <v>7.2</v>
          </cell>
          <cell r="P1260">
            <v>16.899999999999999</v>
          </cell>
          <cell r="S1260">
            <v>16.899999999999999</v>
          </cell>
          <cell r="T1260">
            <v>18.399999999999999</v>
          </cell>
          <cell r="U1260">
            <v>4</v>
          </cell>
        </row>
        <row r="1261">
          <cell r="B1261" t="str">
            <v>Male</v>
          </cell>
          <cell r="F1261">
            <v>0</v>
          </cell>
          <cell r="G1261">
            <v>13.5</v>
          </cell>
          <cell r="H1261">
            <v>1.9</v>
          </cell>
          <cell r="I1261">
            <v>81.599999999999994</v>
          </cell>
          <cell r="K1261">
            <v>8</v>
          </cell>
          <cell r="L1261">
            <v>115.89</v>
          </cell>
          <cell r="M1261">
            <v>103</v>
          </cell>
          <cell r="N1261">
            <v>23.3</v>
          </cell>
          <cell r="O1261">
            <v>13.2</v>
          </cell>
          <cell r="P1261">
            <v>8.6999999999999993</v>
          </cell>
          <cell r="S1261">
            <v>2.8</v>
          </cell>
          <cell r="T1261">
            <v>1.2</v>
          </cell>
          <cell r="U1261">
            <v>2</v>
          </cell>
        </row>
        <row r="1262">
          <cell r="B1262" t="str">
            <v>Male</v>
          </cell>
          <cell r="F1262">
            <v>3</v>
          </cell>
          <cell r="G1262">
            <v>23.4</v>
          </cell>
          <cell r="H1262">
            <v>5.2</v>
          </cell>
          <cell r="I1262">
            <v>84.1</v>
          </cell>
          <cell r="J1262">
            <v>2</v>
          </cell>
          <cell r="K1262">
            <v>8</v>
          </cell>
          <cell r="L1262">
            <v>196.45</v>
          </cell>
          <cell r="M1262">
            <v>49</v>
          </cell>
          <cell r="O1262">
            <v>1.2</v>
          </cell>
          <cell r="P1262">
            <v>15.4</v>
          </cell>
          <cell r="S1262">
            <v>0</v>
          </cell>
          <cell r="T1262">
            <v>12.5</v>
          </cell>
        </row>
        <row r="1263">
          <cell r="B1263" t="str">
            <v>Male</v>
          </cell>
          <cell r="F1263">
            <v>9</v>
          </cell>
          <cell r="G1263">
            <v>25.2</v>
          </cell>
          <cell r="H1263">
            <v>7.7</v>
          </cell>
          <cell r="I1263">
            <v>56.6</v>
          </cell>
          <cell r="J1263">
            <v>1</v>
          </cell>
          <cell r="K1263">
            <v>17</v>
          </cell>
          <cell r="L1263">
            <v>75.95</v>
          </cell>
          <cell r="M1263">
            <v>22</v>
          </cell>
          <cell r="N1263">
            <v>41</v>
          </cell>
          <cell r="O1263">
            <v>2.9</v>
          </cell>
          <cell r="P1263">
            <v>18.8</v>
          </cell>
          <cell r="S1263">
            <v>23.1</v>
          </cell>
          <cell r="U1263">
            <v>4</v>
          </cell>
        </row>
        <row r="1264">
          <cell r="B1264" t="str">
            <v>Male</v>
          </cell>
          <cell r="F1264">
            <v>25</v>
          </cell>
          <cell r="G1264">
            <v>47.4</v>
          </cell>
          <cell r="H1264">
            <v>17.7</v>
          </cell>
          <cell r="I1264">
            <v>46.7</v>
          </cell>
          <cell r="J1264">
            <v>7</v>
          </cell>
          <cell r="K1264">
            <v>25</v>
          </cell>
          <cell r="L1264">
            <v>94.32</v>
          </cell>
          <cell r="M1264">
            <v>26</v>
          </cell>
          <cell r="P1264">
            <v>32.6</v>
          </cell>
          <cell r="S1264">
            <v>61.9</v>
          </cell>
          <cell r="T1264">
            <v>32.4</v>
          </cell>
          <cell r="U1264">
            <v>2</v>
          </cell>
        </row>
        <row r="1265">
          <cell r="B1265" t="str">
            <v>Male</v>
          </cell>
          <cell r="F1265">
            <v>18</v>
          </cell>
          <cell r="G1265">
            <v>37.700000000000003</v>
          </cell>
          <cell r="H1265">
            <v>13.9</v>
          </cell>
          <cell r="I1265">
            <v>32.299999999999997</v>
          </cell>
          <cell r="J1265">
            <v>6</v>
          </cell>
          <cell r="K1265">
            <v>18</v>
          </cell>
          <cell r="L1265">
            <v>107.27</v>
          </cell>
          <cell r="M1265">
            <v>11</v>
          </cell>
          <cell r="N1265">
            <v>23.1</v>
          </cell>
          <cell r="O1265">
            <v>9.4</v>
          </cell>
          <cell r="P1265">
            <v>30.3</v>
          </cell>
          <cell r="S1265">
            <v>52.4</v>
          </cell>
          <cell r="T1265">
            <v>30</v>
          </cell>
          <cell r="U1265">
            <v>2</v>
          </cell>
        </row>
        <row r="1266">
          <cell r="B1266" t="str">
            <v>Male</v>
          </cell>
          <cell r="F1266">
            <v>17</v>
          </cell>
          <cell r="G1266">
            <v>50.4</v>
          </cell>
          <cell r="H1266">
            <v>16.5</v>
          </cell>
          <cell r="I1266">
            <v>30.5</v>
          </cell>
          <cell r="K1266">
            <v>25</v>
          </cell>
          <cell r="L1266">
            <v>75.680000000000007</v>
          </cell>
          <cell r="M1266">
            <v>25</v>
          </cell>
          <cell r="N1266">
            <v>24.3</v>
          </cell>
          <cell r="O1266">
            <v>3.4</v>
          </cell>
          <cell r="P1266">
            <v>32.6</v>
          </cell>
          <cell r="S1266">
            <v>76.400000000000006</v>
          </cell>
          <cell r="T1266">
            <v>35.5</v>
          </cell>
          <cell r="U1266">
            <v>4</v>
          </cell>
        </row>
        <row r="1267">
          <cell r="B1267" t="str">
            <v>Male</v>
          </cell>
          <cell r="F1267">
            <v>1</v>
          </cell>
          <cell r="G1267">
            <v>21.1</v>
          </cell>
          <cell r="H1267">
            <v>6.2</v>
          </cell>
          <cell r="I1267">
            <v>71</v>
          </cell>
          <cell r="J1267">
            <v>1</v>
          </cell>
          <cell r="K1267">
            <v>11</v>
          </cell>
          <cell r="L1267">
            <v>232.51</v>
          </cell>
          <cell r="M1267">
            <v>6</v>
          </cell>
          <cell r="N1267">
            <v>42.5</v>
          </cell>
          <cell r="O1267">
            <v>3.8</v>
          </cell>
          <cell r="P1267">
            <v>5.2</v>
          </cell>
          <cell r="S1267">
            <v>0</v>
          </cell>
          <cell r="T1267">
            <v>13.7</v>
          </cell>
          <cell r="U1267">
            <v>4</v>
          </cell>
        </row>
        <row r="1268">
          <cell r="B1268" t="str">
            <v>Male</v>
          </cell>
          <cell r="F1268">
            <v>16</v>
          </cell>
          <cell r="G1268">
            <v>40.799999999999997</v>
          </cell>
          <cell r="H1268">
            <v>12.6</v>
          </cell>
          <cell r="I1268">
            <v>34.299999999999997</v>
          </cell>
          <cell r="J1268">
            <v>1</v>
          </cell>
          <cell r="K1268">
            <v>15</v>
          </cell>
          <cell r="L1268">
            <v>84.41</v>
          </cell>
          <cell r="M1268">
            <v>16</v>
          </cell>
          <cell r="N1268">
            <v>37.5</v>
          </cell>
          <cell r="O1268">
            <v>7.2</v>
          </cell>
          <cell r="P1268">
            <v>15.4</v>
          </cell>
          <cell r="T1268">
            <v>31.9</v>
          </cell>
          <cell r="U1268">
            <v>4</v>
          </cell>
        </row>
        <row r="1269">
          <cell r="B1269" t="str">
            <v>Male</v>
          </cell>
          <cell r="F1269">
            <v>25</v>
          </cell>
          <cell r="G1269">
            <v>52.7</v>
          </cell>
          <cell r="H1269">
            <v>12.8</v>
          </cell>
          <cell r="I1269">
            <v>51.9</v>
          </cell>
          <cell r="J1269">
            <v>6</v>
          </cell>
          <cell r="K1269">
            <v>23</v>
          </cell>
          <cell r="L1269">
            <v>74.63</v>
          </cell>
          <cell r="M1269">
            <v>39</v>
          </cell>
          <cell r="N1269">
            <v>60.4</v>
          </cell>
          <cell r="O1269">
            <v>8.6999999999999993</v>
          </cell>
          <cell r="P1269">
            <v>43.4</v>
          </cell>
          <cell r="S1269">
            <v>46.2</v>
          </cell>
          <cell r="T1269">
            <v>24.7</v>
          </cell>
          <cell r="U1269">
            <v>1</v>
          </cell>
        </row>
        <row r="1270">
          <cell r="B1270" t="str">
            <v>Female</v>
          </cell>
          <cell r="F1270">
            <v>8</v>
          </cell>
          <cell r="G1270">
            <v>7.2</v>
          </cell>
          <cell r="H1270">
            <v>4.5</v>
          </cell>
          <cell r="I1270">
            <v>80.7</v>
          </cell>
          <cell r="J1270">
            <v>1</v>
          </cell>
          <cell r="K1270">
            <v>10</v>
          </cell>
          <cell r="L1270">
            <v>203.54</v>
          </cell>
          <cell r="M1270">
            <v>12</v>
          </cell>
          <cell r="N1270">
            <v>37</v>
          </cell>
          <cell r="O1270">
            <v>7.7</v>
          </cell>
          <cell r="P1270">
            <v>13.8</v>
          </cell>
          <cell r="S1270">
            <v>21.4</v>
          </cell>
          <cell r="T1270">
            <v>5.8</v>
          </cell>
          <cell r="U1270">
            <v>4</v>
          </cell>
        </row>
        <row r="1271">
          <cell r="B1271" t="str">
            <v>Female</v>
          </cell>
          <cell r="F1271">
            <v>27</v>
          </cell>
          <cell r="G1271">
            <v>41.3</v>
          </cell>
          <cell r="H1271">
            <v>17</v>
          </cell>
          <cell r="I1271">
            <v>29.8</v>
          </cell>
          <cell r="J1271">
            <v>6</v>
          </cell>
          <cell r="K1271">
            <v>19</v>
          </cell>
          <cell r="L1271">
            <v>122.35</v>
          </cell>
          <cell r="M1271">
            <v>44</v>
          </cell>
          <cell r="N1271">
            <v>28.7</v>
          </cell>
          <cell r="O1271">
            <v>13.7</v>
          </cell>
          <cell r="P1271">
            <v>33.299999999999997</v>
          </cell>
          <cell r="S1271">
            <v>72.7</v>
          </cell>
          <cell r="T1271">
            <v>34.200000000000003</v>
          </cell>
          <cell r="U1271">
            <v>1</v>
          </cell>
        </row>
        <row r="1272">
          <cell r="B1272" t="str">
            <v>Male</v>
          </cell>
          <cell r="F1272">
            <v>25</v>
          </cell>
          <cell r="G1272">
            <v>48</v>
          </cell>
          <cell r="H1272">
            <v>17</v>
          </cell>
          <cell r="I1272">
            <v>30.7</v>
          </cell>
          <cell r="J1272">
            <v>8</v>
          </cell>
          <cell r="K1272">
            <v>21</v>
          </cell>
          <cell r="L1272">
            <v>70.069999999999993</v>
          </cell>
          <cell r="M1272">
            <v>11</v>
          </cell>
          <cell r="N1272">
            <v>19</v>
          </cell>
          <cell r="O1272">
            <v>5.3</v>
          </cell>
          <cell r="P1272">
            <v>37</v>
          </cell>
          <cell r="T1272">
            <v>33.299999999999997</v>
          </cell>
          <cell r="U1272">
            <v>1</v>
          </cell>
        </row>
        <row r="1273">
          <cell r="B1273" t="str">
            <v>Female</v>
          </cell>
          <cell r="F1273">
            <v>0</v>
          </cell>
          <cell r="H1273">
            <v>9.5</v>
          </cell>
          <cell r="I1273">
            <v>63.1</v>
          </cell>
          <cell r="K1273">
            <v>15</v>
          </cell>
          <cell r="L1273">
            <v>82.51</v>
          </cell>
          <cell r="M1273">
            <v>11</v>
          </cell>
          <cell r="N1273">
            <v>49</v>
          </cell>
          <cell r="O1273">
            <v>9.4</v>
          </cell>
          <cell r="P1273">
            <v>10.3</v>
          </cell>
          <cell r="S1273">
            <v>26.7</v>
          </cell>
          <cell r="T1273">
            <v>15.4</v>
          </cell>
          <cell r="U1273">
            <v>4</v>
          </cell>
        </row>
        <row r="1274">
          <cell r="B1274" t="str">
            <v>Male</v>
          </cell>
          <cell r="F1274">
            <v>16</v>
          </cell>
          <cell r="G1274">
            <v>41</v>
          </cell>
          <cell r="H1274">
            <v>15.3</v>
          </cell>
          <cell r="I1274">
            <v>35.5</v>
          </cell>
          <cell r="J1274">
            <v>7</v>
          </cell>
          <cell r="K1274">
            <v>21</v>
          </cell>
          <cell r="L1274">
            <v>141.43</v>
          </cell>
          <cell r="M1274">
            <v>43</v>
          </cell>
          <cell r="O1274">
            <v>6.3</v>
          </cell>
          <cell r="P1274">
            <v>28.6</v>
          </cell>
          <cell r="S1274">
            <v>72</v>
          </cell>
          <cell r="T1274">
            <v>35.4</v>
          </cell>
          <cell r="U1274">
            <v>4</v>
          </cell>
        </row>
        <row r="1275">
          <cell r="B1275" t="str">
            <v>Female</v>
          </cell>
          <cell r="F1275">
            <v>1</v>
          </cell>
          <cell r="G1275">
            <v>20.399999999999999</v>
          </cell>
          <cell r="H1275">
            <v>4.5999999999999996</v>
          </cell>
          <cell r="I1275">
            <v>74.599999999999994</v>
          </cell>
          <cell r="J1275">
            <v>2</v>
          </cell>
          <cell r="K1275">
            <v>13</v>
          </cell>
          <cell r="L1275">
            <v>105.53</v>
          </cell>
          <cell r="M1275">
            <v>27</v>
          </cell>
          <cell r="N1275">
            <v>55.3</v>
          </cell>
          <cell r="P1275">
            <v>17</v>
          </cell>
          <cell r="T1275">
            <v>14.6</v>
          </cell>
        </row>
        <row r="1276">
          <cell r="B1276" t="str">
            <v>Male</v>
          </cell>
          <cell r="F1276">
            <v>21</v>
          </cell>
          <cell r="G1276">
            <v>30.3</v>
          </cell>
          <cell r="H1276">
            <v>8.1999999999999993</v>
          </cell>
          <cell r="I1276">
            <v>42</v>
          </cell>
          <cell r="J1276">
            <v>3</v>
          </cell>
          <cell r="K1276">
            <v>14.3</v>
          </cell>
          <cell r="L1276">
            <v>121.28</v>
          </cell>
          <cell r="M1276">
            <v>8</v>
          </cell>
          <cell r="O1276">
            <v>2.9</v>
          </cell>
          <cell r="P1276">
            <v>15.3</v>
          </cell>
          <cell r="S1276">
            <v>40.6</v>
          </cell>
          <cell r="T1276">
            <v>20.5</v>
          </cell>
          <cell r="U1276">
            <v>3</v>
          </cell>
        </row>
        <row r="1277">
          <cell r="B1277" t="str">
            <v>Female</v>
          </cell>
          <cell r="F1277">
            <v>9</v>
          </cell>
          <cell r="G1277">
            <v>25.1</v>
          </cell>
          <cell r="H1277">
            <v>11.1</v>
          </cell>
          <cell r="I1277">
            <v>49.2</v>
          </cell>
          <cell r="J1277">
            <v>4</v>
          </cell>
          <cell r="K1277">
            <v>10</v>
          </cell>
          <cell r="L1277">
            <v>167.02</v>
          </cell>
          <cell r="M1277">
            <v>22</v>
          </cell>
          <cell r="N1277">
            <v>55.3</v>
          </cell>
          <cell r="O1277">
            <v>4.4000000000000004</v>
          </cell>
          <cell r="P1277">
            <v>14.7</v>
          </cell>
          <cell r="S1277">
            <v>40.6</v>
          </cell>
          <cell r="T1277">
            <v>19</v>
          </cell>
          <cell r="U1277">
            <v>3</v>
          </cell>
        </row>
        <row r="1278">
          <cell r="B1278" t="str">
            <v>Female</v>
          </cell>
          <cell r="F1278">
            <v>4</v>
          </cell>
          <cell r="G1278">
            <v>17.3</v>
          </cell>
          <cell r="H1278">
            <v>7.3</v>
          </cell>
          <cell r="I1278">
            <v>56.6</v>
          </cell>
          <cell r="J1278">
            <v>3</v>
          </cell>
          <cell r="K1278" t="str">
            <v>11.700000000000001</v>
          </cell>
          <cell r="L1278">
            <v>63.37</v>
          </cell>
          <cell r="M1278">
            <v>65</v>
          </cell>
          <cell r="N1278">
            <v>45.12</v>
          </cell>
          <cell r="S1278">
            <v>8.8000000000000007</v>
          </cell>
          <cell r="U1278">
            <v>4</v>
          </cell>
        </row>
        <row r="1279">
          <cell r="B1279" t="str">
            <v>Male</v>
          </cell>
          <cell r="F1279">
            <v>3</v>
          </cell>
          <cell r="G1279">
            <v>15.1</v>
          </cell>
          <cell r="H1279">
            <v>4.3</v>
          </cell>
          <cell r="I1279">
            <v>70.5</v>
          </cell>
          <cell r="J1279">
            <v>1</v>
          </cell>
          <cell r="K1279">
            <v>6</v>
          </cell>
          <cell r="L1279">
            <v>100.81</v>
          </cell>
          <cell r="M1279">
            <v>7</v>
          </cell>
          <cell r="N1279">
            <v>55.8</v>
          </cell>
          <cell r="O1279">
            <v>1.2</v>
          </cell>
          <cell r="P1279">
            <v>20.5</v>
          </cell>
          <cell r="S1279">
            <v>27.5</v>
          </cell>
          <cell r="T1279">
            <v>6.5</v>
          </cell>
          <cell r="U1279">
            <v>3</v>
          </cell>
        </row>
        <row r="1280">
          <cell r="B1280" t="str">
            <v>Female</v>
          </cell>
          <cell r="F1280">
            <v>0</v>
          </cell>
          <cell r="I1280">
            <v>70.400000000000006</v>
          </cell>
          <cell r="J1280">
            <v>3</v>
          </cell>
          <cell r="K1280">
            <v>6.5</v>
          </cell>
          <cell r="L1280">
            <v>115.93</v>
          </cell>
          <cell r="N1280">
            <v>67.319999999999993</v>
          </cell>
          <cell r="O1280">
            <v>9.6</v>
          </cell>
          <cell r="P1280">
            <v>16.899999999999999</v>
          </cell>
          <cell r="S1280">
            <v>0</v>
          </cell>
          <cell r="T1280">
            <v>12.2</v>
          </cell>
          <cell r="U1280">
            <v>2</v>
          </cell>
        </row>
        <row r="1281">
          <cell r="B1281" t="str">
            <v>Male</v>
          </cell>
          <cell r="F1281">
            <v>7</v>
          </cell>
          <cell r="G1281">
            <v>23.4</v>
          </cell>
          <cell r="H1281">
            <v>7.7</v>
          </cell>
          <cell r="I1281">
            <v>73</v>
          </cell>
          <cell r="J1281">
            <v>2</v>
          </cell>
          <cell r="K1281">
            <v>7</v>
          </cell>
          <cell r="L1281">
            <v>108.17</v>
          </cell>
          <cell r="M1281">
            <v>20</v>
          </cell>
          <cell r="N1281">
            <v>62.3</v>
          </cell>
          <cell r="O1281">
            <v>1.8</v>
          </cell>
          <cell r="P1281">
            <v>14.4</v>
          </cell>
          <cell r="S1281">
            <v>11.5</v>
          </cell>
          <cell r="T1281">
            <v>19.5</v>
          </cell>
        </row>
        <row r="1282">
          <cell r="B1282" t="str">
            <v>Female</v>
          </cell>
          <cell r="F1282">
            <v>1</v>
          </cell>
          <cell r="G1282">
            <v>13.6</v>
          </cell>
          <cell r="H1282">
            <v>3.2</v>
          </cell>
          <cell r="I1282">
            <v>63.6</v>
          </cell>
          <cell r="J1282">
            <v>1</v>
          </cell>
          <cell r="K1282">
            <v>5</v>
          </cell>
          <cell r="L1282">
            <v>159.86000000000001</v>
          </cell>
          <cell r="M1282">
            <v>4</v>
          </cell>
          <cell r="N1282">
            <v>63.2</v>
          </cell>
          <cell r="O1282">
            <v>9</v>
          </cell>
          <cell r="P1282">
            <v>0</v>
          </cell>
          <cell r="T1282">
            <v>6.7</v>
          </cell>
          <cell r="U1282">
            <v>3</v>
          </cell>
        </row>
        <row r="1283">
          <cell r="B1283" t="str">
            <v>Male</v>
          </cell>
          <cell r="F1283">
            <v>25</v>
          </cell>
          <cell r="G1283">
            <v>40.5</v>
          </cell>
          <cell r="H1283">
            <v>13</v>
          </cell>
          <cell r="I1283">
            <v>49.4</v>
          </cell>
          <cell r="J1283">
            <v>9</v>
          </cell>
          <cell r="K1283">
            <v>18.2</v>
          </cell>
          <cell r="L1283">
            <v>156.9</v>
          </cell>
          <cell r="M1283">
            <v>4</v>
          </cell>
          <cell r="N1283" t="str">
            <v>30.599999999999998</v>
          </cell>
          <cell r="O1283">
            <v>6.4</v>
          </cell>
          <cell r="P1283">
            <v>49.6</v>
          </cell>
          <cell r="S1283">
            <v>48.2</v>
          </cell>
          <cell r="T1283">
            <v>21.9</v>
          </cell>
          <cell r="U1283">
            <v>2</v>
          </cell>
        </row>
        <row r="1284">
          <cell r="B1284" t="str">
            <v>Other</v>
          </cell>
          <cell r="F1284">
            <v>15</v>
          </cell>
          <cell r="G1284">
            <v>32.1</v>
          </cell>
          <cell r="H1284">
            <v>10.1</v>
          </cell>
          <cell r="I1284">
            <v>55.5</v>
          </cell>
          <cell r="J1284">
            <v>8</v>
          </cell>
          <cell r="K1284">
            <v>12</v>
          </cell>
          <cell r="L1284">
            <v>151.5</v>
          </cell>
          <cell r="M1284">
            <v>25</v>
          </cell>
          <cell r="N1284">
            <v>31.7</v>
          </cell>
          <cell r="O1284">
            <v>17.600000000000001</v>
          </cell>
          <cell r="P1284">
            <v>11.7</v>
          </cell>
          <cell r="S1284">
            <v>44.6</v>
          </cell>
          <cell r="T1284">
            <v>20.9</v>
          </cell>
          <cell r="U1284">
            <v>2</v>
          </cell>
        </row>
        <row r="1285">
          <cell r="B1285" t="str">
            <v>Male</v>
          </cell>
          <cell r="F1285">
            <v>20</v>
          </cell>
          <cell r="G1285">
            <v>42</v>
          </cell>
          <cell r="H1285">
            <v>15</v>
          </cell>
          <cell r="I1285">
            <v>39.299999999999997</v>
          </cell>
          <cell r="J1285">
            <v>9</v>
          </cell>
          <cell r="K1285">
            <v>21</v>
          </cell>
          <cell r="L1285">
            <v>121.18</v>
          </cell>
          <cell r="M1285">
            <v>14</v>
          </cell>
          <cell r="N1285">
            <v>41.8</v>
          </cell>
          <cell r="O1285">
            <v>9.8000000000000007</v>
          </cell>
          <cell r="P1285">
            <v>37.299999999999997</v>
          </cell>
          <cell r="S1285">
            <v>64</v>
          </cell>
          <cell r="T1285">
            <v>35.200000000000003</v>
          </cell>
          <cell r="U1285">
            <v>4</v>
          </cell>
        </row>
        <row r="1286">
          <cell r="B1286" t="str">
            <v>Female</v>
          </cell>
          <cell r="F1286">
            <v>23</v>
          </cell>
          <cell r="G1286">
            <v>48.8</v>
          </cell>
          <cell r="H1286">
            <v>12.2</v>
          </cell>
          <cell r="I1286">
            <v>10.6</v>
          </cell>
          <cell r="J1286">
            <v>5</v>
          </cell>
          <cell r="K1286" t="str">
            <v>23.400000000000002</v>
          </cell>
          <cell r="L1286">
            <v>143.12</v>
          </cell>
          <cell r="M1286">
            <v>34</v>
          </cell>
          <cell r="N1286">
            <v>83.52</v>
          </cell>
          <cell r="O1286">
            <v>3.7</v>
          </cell>
          <cell r="P1286">
            <v>43.9</v>
          </cell>
          <cell r="S1286">
            <v>46.8</v>
          </cell>
          <cell r="T1286">
            <v>34</v>
          </cell>
          <cell r="U1286">
            <v>2</v>
          </cell>
        </row>
        <row r="1287">
          <cell r="B1287" t="str">
            <v>Male</v>
          </cell>
          <cell r="F1287">
            <v>2</v>
          </cell>
          <cell r="G1287">
            <v>19.2</v>
          </cell>
          <cell r="H1287">
            <v>4.5999999999999996</v>
          </cell>
          <cell r="I1287">
            <v>53.6</v>
          </cell>
          <cell r="K1287" t="str">
            <v>16.900000000000002</v>
          </cell>
          <cell r="L1287">
            <v>88.78</v>
          </cell>
          <cell r="M1287">
            <v>10</v>
          </cell>
          <cell r="N1287" t="str">
            <v>78.71999999999998</v>
          </cell>
          <cell r="O1287">
            <v>3</v>
          </cell>
          <cell r="P1287">
            <v>17.399999999999999</v>
          </cell>
          <cell r="S1287">
            <v>11.5</v>
          </cell>
          <cell r="T1287">
            <v>9.1999999999999993</v>
          </cell>
          <cell r="U1287">
            <v>2</v>
          </cell>
        </row>
        <row r="1288">
          <cell r="B1288" t="str">
            <v>Female</v>
          </cell>
          <cell r="F1288">
            <v>24</v>
          </cell>
          <cell r="G1288">
            <v>49</v>
          </cell>
          <cell r="H1288">
            <v>10.7</v>
          </cell>
          <cell r="I1288">
            <v>43.7</v>
          </cell>
          <cell r="J1288">
            <v>10</v>
          </cell>
          <cell r="K1288">
            <v>18</v>
          </cell>
          <cell r="L1288">
            <v>74.22</v>
          </cell>
          <cell r="M1288">
            <v>98</v>
          </cell>
          <cell r="N1288">
            <v>69.7</v>
          </cell>
          <cell r="O1288">
            <v>10.3</v>
          </cell>
          <cell r="P1288">
            <v>53.2</v>
          </cell>
          <cell r="S1288">
            <v>96.1</v>
          </cell>
          <cell r="T1288">
            <v>31.8</v>
          </cell>
          <cell r="U1288">
            <v>5</v>
          </cell>
        </row>
        <row r="1289">
          <cell r="B1289" t="str">
            <v>Female</v>
          </cell>
          <cell r="F1289">
            <v>19</v>
          </cell>
          <cell r="G1289">
            <v>38.4</v>
          </cell>
          <cell r="H1289">
            <v>14.7</v>
          </cell>
          <cell r="I1289">
            <v>47.5</v>
          </cell>
          <cell r="J1289">
            <v>3</v>
          </cell>
          <cell r="K1289">
            <v>22</v>
          </cell>
          <cell r="L1289">
            <v>132.99</v>
          </cell>
          <cell r="M1289">
            <v>62</v>
          </cell>
          <cell r="N1289">
            <v>61.5</v>
          </cell>
          <cell r="O1289">
            <v>7</v>
          </cell>
          <cell r="P1289">
            <v>17.3</v>
          </cell>
          <cell r="S1289">
            <v>55.9</v>
          </cell>
          <cell r="T1289">
            <v>38.9</v>
          </cell>
          <cell r="U1289">
            <v>3</v>
          </cell>
        </row>
        <row r="1290">
          <cell r="B1290" t="str">
            <v>Female</v>
          </cell>
          <cell r="F1290">
            <v>2</v>
          </cell>
          <cell r="G1290">
            <v>12.6</v>
          </cell>
          <cell r="H1290">
            <v>4.2</v>
          </cell>
          <cell r="I1290">
            <v>88.3</v>
          </cell>
          <cell r="J1290">
            <v>1</v>
          </cell>
          <cell r="K1290">
            <v>3</v>
          </cell>
          <cell r="L1290">
            <v>66.33</v>
          </cell>
          <cell r="M1290">
            <v>51</v>
          </cell>
          <cell r="N1290">
            <v>59.2</v>
          </cell>
          <cell r="O1290">
            <v>10.3</v>
          </cell>
          <cell r="P1290">
            <v>0</v>
          </cell>
          <cell r="S1290">
            <v>11.2</v>
          </cell>
          <cell r="T1290">
            <v>0</v>
          </cell>
          <cell r="U1290">
            <v>3</v>
          </cell>
        </row>
        <row r="1291">
          <cell r="B1291" t="str">
            <v>Female</v>
          </cell>
          <cell r="F1291">
            <v>13</v>
          </cell>
          <cell r="G1291">
            <v>31.3</v>
          </cell>
          <cell r="H1291">
            <v>8</v>
          </cell>
          <cell r="I1291">
            <v>59.3</v>
          </cell>
          <cell r="J1291">
            <v>5</v>
          </cell>
          <cell r="K1291">
            <v>10</v>
          </cell>
          <cell r="L1291">
            <v>206.44</v>
          </cell>
          <cell r="M1291">
            <v>15</v>
          </cell>
          <cell r="P1291">
            <v>37.9</v>
          </cell>
          <cell r="S1291">
            <v>41.9</v>
          </cell>
          <cell r="U1291">
            <v>2</v>
          </cell>
        </row>
        <row r="1292">
          <cell r="B1292" t="str">
            <v>Male</v>
          </cell>
          <cell r="F1292">
            <v>20</v>
          </cell>
          <cell r="G1292">
            <v>41</v>
          </cell>
          <cell r="H1292">
            <v>12</v>
          </cell>
          <cell r="I1292">
            <v>25.8</v>
          </cell>
          <cell r="J1292">
            <v>9</v>
          </cell>
          <cell r="K1292">
            <v>19</v>
          </cell>
          <cell r="L1292">
            <v>73.83</v>
          </cell>
          <cell r="M1292">
            <v>12</v>
          </cell>
          <cell r="N1292">
            <v>17.600000000000001</v>
          </cell>
          <cell r="O1292">
            <v>5.8</v>
          </cell>
          <cell r="P1292">
            <v>10.9</v>
          </cell>
          <cell r="S1292">
            <v>55.2</v>
          </cell>
          <cell r="T1292">
            <v>25.1</v>
          </cell>
          <cell r="U1292">
            <v>5</v>
          </cell>
        </row>
        <row r="1293">
          <cell r="B1293" t="str">
            <v>Male</v>
          </cell>
          <cell r="F1293">
            <v>6</v>
          </cell>
          <cell r="G1293">
            <v>33.4</v>
          </cell>
          <cell r="H1293">
            <v>9.1</v>
          </cell>
          <cell r="I1293">
            <v>39.1</v>
          </cell>
          <cell r="J1293">
            <v>4</v>
          </cell>
          <cell r="K1293">
            <v>7</v>
          </cell>
          <cell r="L1293">
            <v>62.97</v>
          </cell>
          <cell r="M1293">
            <v>10</v>
          </cell>
          <cell r="N1293">
            <v>25.9</v>
          </cell>
          <cell r="O1293">
            <v>9.4</v>
          </cell>
          <cell r="P1293">
            <v>28.2</v>
          </cell>
          <cell r="S1293">
            <v>45.8</v>
          </cell>
          <cell r="T1293">
            <v>23.3</v>
          </cell>
          <cell r="U1293">
            <v>2</v>
          </cell>
        </row>
        <row r="1294">
          <cell r="B1294" t="str">
            <v>Female</v>
          </cell>
          <cell r="F1294">
            <v>9</v>
          </cell>
          <cell r="G1294">
            <v>28.8</v>
          </cell>
          <cell r="H1294">
            <v>7.4</v>
          </cell>
          <cell r="I1294">
            <v>71.7</v>
          </cell>
          <cell r="J1294">
            <v>2</v>
          </cell>
          <cell r="K1294">
            <v>13</v>
          </cell>
          <cell r="L1294">
            <v>133.22</v>
          </cell>
          <cell r="M1294">
            <v>45</v>
          </cell>
          <cell r="N1294">
            <v>21.36</v>
          </cell>
          <cell r="O1294">
            <v>13.4</v>
          </cell>
          <cell r="P1294">
            <v>12.3</v>
          </cell>
          <cell r="S1294">
            <v>17.8</v>
          </cell>
          <cell r="T1294">
            <v>17.3</v>
          </cell>
          <cell r="U1294">
            <v>2</v>
          </cell>
        </row>
        <row r="1295">
          <cell r="B1295" t="str">
            <v>Male</v>
          </cell>
          <cell r="F1295">
            <v>20</v>
          </cell>
          <cell r="G1295">
            <v>55.2</v>
          </cell>
          <cell r="H1295">
            <v>15</v>
          </cell>
          <cell r="I1295">
            <v>25.7</v>
          </cell>
          <cell r="J1295">
            <v>10</v>
          </cell>
          <cell r="K1295">
            <v>35.1</v>
          </cell>
          <cell r="L1295">
            <v>86.95</v>
          </cell>
          <cell r="M1295">
            <v>0</v>
          </cell>
          <cell r="N1295">
            <v>53.64</v>
          </cell>
          <cell r="O1295">
            <v>6.2</v>
          </cell>
          <cell r="P1295">
            <v>47.7</v>
          </cell>
          <cell r="S1295">
            <v>46.5</v>
          </cell>
          <cell r="T1295">
            <v>43.6</v>
          </cell>
          <cell r="U1295">
            <v>2</v>
          </cell>
        </row>
        <row r="1296">
          <cell r="B1296" t="str">
            <v>Male</v>
          </cell>
          <cell r="F1296">
            <v>15</v>
          </cell>
          <cell r="G1296">
            <v>19.8</v>
          </cell>
          <cell r="H1296">
            <v>6.4</v>
          </cell>
          <cell r="I1296">
            <v>67.5</v>
          </cell>
          <cell r="J1296">
            <v>0</v>
          </cell>
          <cell r="K1296">
            <v>10.4</v>
          </cell>
          <cell r="L1296">
            <v>115.73</v>
          </cell>
          <cell r="M1296">
            <v>12</v>
          </cell>
          <cell r="N1296">
            <v>81.239999999999995</v>
          </cell>
          <cell r="O1296">
            <v>6</v>
          </cell>
          <cell r="P1296">
            <v>0.4</v>
          </cell>
          <cell r="S1296">
            <v>18.7</v>
          </cell>
          <cell r="T1296">
            <v>14.8</v>
          </cell>
          <cell r="U1296">
            <v>2</v>
          </cell>
        </row>
        <row r="1297">
          <cell r="B1297" t="str">
            <v>Male</v>
          </cell>
          <cell r="F1297">
            <v>10</v>
          </cell>
          <cell r="G1297">
            <v>41.1</v>
          </cell>
          <cell r="H1297">
            <v>12.4</v>
          </cell>
          <cell r="I1297">
            <v>40.4</v>
          </cell>
          <cell r="J1297">
            <v>9</v>
          </cell>
          <cell r="K1297">
            <v>15</v>
          </cell>
          <cell r="L1297">
            <v>164.62</v>
          </cell>
          <cell r="M1297">
            <v>29</v>
          </cell>
          <cell r="N1297">
            <v>25.4</v>
          </cell>
          <cell r="O1297">
            <v>7.2</v>
          </cell>
          <cell r="P1297">
            <v>34.200000000000003</v>
          </cell>
          <cell r="S1297">
            <v>20.9</v>
          </cell>
          <cell r="T1297">
            <v>35.1</v>
          </cell>
          <cell r="U1297">
            <v>1</v>
          </cell>
        </row>
        <row r="1298">
          <cell r="B1298" t="str">
            <v>Female</v>
          </cell>
          <cell r="F1298">
            <v>17</v>
          </cell>
          <cell r="G1298">
            <v>35.4</v>
          </cell>
          <cell r="H1298">
            <v>10.8</v>
          </cell>
          <cell r="I1298">
            <v>52.7</v>
          </cell>
          <cell r="K1298">
            <v>19</v>
          </cell>
          <cell r="L1298">
            <v>131.94999999999999</v>
          </cell>
          <cell r="M1298">
            <v>12</v>
          </cell>
          <cell r="N1298">
            <v>59.9</v>
          </cell>
          <cell r="P1298">
            <v>23.1</v>
          </cell>
          <cell r="S1298">
            <v>71.2</v>
          </cell>
          <cell r="T1298">
            <v>27.5</v>
          </cell>
          <cell r="U1298">
            <v>2</v>
          </cell>
        </row>
        <row r="1299">
          <cell r="B1299" t="str">
            <v>Female</v>
          </cell>
          <cell r="F1299">
            <v>8</v>
          </cell>
          <cell r="H1299">
            <v>6.9</v>
          </cell>
          <cell r="I1299">
            <v>80.900000000000006</v>
          </cell>
          <cell r="J1299">
            <v>6</v>
          </cell>
          <cell r="K1299">
            <v>8</v>
          </cell>
          <cell r="L1299">
            <v>215</v>
          </cell>
          <cell r="M1299">
            <v>75</v>
          </cell>
          <cell r="N1299">
            <v>48.7</v>
          </cell>
          <cell r="O1299">
            <v>13.7</v>
          </cell>
          <cell r="S1299">
            <v>4.9000000000000004</v>
          </cell>
          <cell r="T1299">
            <v>21</v>
          </cell>
          <cell r="U1299">
            <v>3</v>
          </cell>
        </row>
        <row r="1300">
          <cell r="B1300" t="str">
            <v>Female</v>
          </cell>
          <cell r="F1300">
            <v>1</v>
          </cell>
          <cell r="G1300">
            <v>15.9</v>
          </cell>
          <cell r="I1300">
            <v>80.400000000000006</v>
          </cell>
          <cell r="J1300">
            <v>1</v>
          </cell>
          <cell r="K1300">
            <v>2</v>
          </cell>
          <cell r="L1300">
            <v>71.930000000000007</v>
          </cell>
          <cell r="M1300">
            <v>3</v>
          </cell>
          <cell r="N1300">
            <v>6.9</v>
          </cell>
          <cell r="O1300">
            <v>0.2</v>
          </cell>
          <cell r="P1300">
            <v>0</v>
          </cell>
          <cell r="S1300">
            <v>3.1</v>
          </cell>
          <cell r="T1300">
            <v>0</v>
          </cell>
        </row>
        <row r="1301">
          <cell r="B1301" t="str">
            <v>Male</v>
          </cell>
          <cell r="F1301">
            <v>7</v>
          </cell>
          <cell r="G1301">
            <v>41</v>
          </cell>
          <cell r="H1301">
            <v>10.5</v>
          </cell>
          <cell r="I1301">
            <v>50</v>
          </cell>
          <cell r="J1301">
            <v>11</v>
          </cell>
          <cell r="K1301">
            <v>19</v>
          </cell>
          <cell r="L1301">
            <v>56.09</v>
          </cell>
          <cell r="M1301">
            <v>2</v>
          </cell>
          <cell r="N1301">
            <v>59.5</v>
          </cell>
          <cell r="O1301">
            <v>3.8</v>
          </cell>
          <cell r="P1301">
            <v>23.1</v>
          </cell>
          <cell r="S1301">
            <v>57.1</v>
          </cell>
          <cell r="T1301">
            <v>31.6</v>
          </cell>
          <cell r="U1301">
            <v>4</v>
          </cell>
        </row>
        <row r="1302">
          <cell r="B1302" t="str">
            <v>Female</v>
          </cell>
          <cell r="F1302">
            <v>0</v>
          </cell>
          <cell r="H1302">
            <v>7.3</v>
          </cell>
          <cell r="I1302">
            <v>64.2</v>
          </cell>
          <cell r="J1302">
            <v>3</v>
          </cell>
          <cell r="K1302" t="str">
            <v>15.600000000000001</v>
          </cell>
          <cell r="L1302">
            <v>80.19</v>
          </cell>
          <cell r="M1302">
            <v>40</v>
          </cell>
          <cell r="N1302">
            <v>29.04</v>
          </cell>
          <cell r="O1302">
            <v>1.7</v>
          </cell>
          <cell r="P1302">
            <v>0</v>
          </cell>
          <cell r="S1302">
            <v>17.399999999999999</v>
          </cell>
          <cell r="T1302">
            <v>14.3</v>
          </cell>
          <cell r="U1302">
            <v>1</v>
          </cell>
        </row>
        <row r="1303">
          <cell r="B1303" t="str">
            <v>Female</v>
          </cell>
          <cell r="F1303">
            <v>5</v>
          </cell>
          <cell r="G1303">
            <v>4.8</v>
          </cell>
          <cell r="H1303">
            <v>6</v>
          </cell>
          <cell r="I1303">
            <v>75</v>
          </cell>
          <cell r="J1303">
            <v>1</v>
          </cell>
          <cell r="K1303">
            <v>10</v>
          </cell>
          <cell r="L1303">
            <v>106.65</v>
          </cell>
          <cell r="M1303">
            <v>63</v>
          </cell>
          <cell r="N1303">
            <v>62.6</v>
          </cell>
          <cell r="O1303">
            <v>7.9</v>
          </cell>
          <cell r="P1303">
            <v>1.4</v>
          </cell>
          <cell r="S1303">
            <v>20.399999999999999</v>
          </cell>
          <cell r="T1303">
            <v>0</v>
          </cell>
          <cell r="U1303">
            <v>2</v>
          </cell>
        </row>
        <row r="1304">
          <cell r="B1304" t="str">
            <v>Male</v>
          </cell>
          <cell r="F1304">
            <v>28</v>
          </cell>
          <cell r="G1304">
            <v>47.3</v>
          </cell>
          <cell r="H1304">
            <v>9.3000000000000007</v>
          </cell>
          <cell r="I1304">
            <v>51.1</v>
          </cell>
          <cell r="J1304">
            <v>6</v>
          </cell>
          <cell r="K1304">
            <v>28.6</v>
          </cell>
          <cell r="L1304">
            <v>120.25</v>
          </cell>
          <cell r="M1304">
            <v>4</v>
          </cell>
          <cell r="N1304">
            <v>25.32</v>
          </cell>
          <cell r="O1304">
            <v>7</v>
          </cell>
          <cell r="P1304">
            <v>31.9</v>
          </cell>
          <cell r="T1304">
            <v>22.8</v>
          </cell>
          <cell r="U1304">
            <v>1</v>
          </cell>
        </row>
        <row r="1305">
          <cell r="B1305" t="str">
            <v>Male</v>
          </cell>
          <cell r="F1305">
            <v>30</v>
          </cell>
          <cell r="G1305">
            <v>35.9</v>
          </cell>
          <cell r="H1305">
            <v>15.5</v>
          </cell>
          <cell r="I1305">
            <v>30</v>
          </cell>
          <cell r="J1305">
            <v>6</v>
          </cell>
          <cell r="K1305">
            <v>16</v>
          </cell>
          <cell r="L1305">
            <v>135.25</v>
          </cell>
          <cell r="M1305">
            <v>2</v>
          </cell>
          <cell r="N1305">
            <v>28</v>
          </cell>
          <cell r="O1305">
            <v>14.4</v>
          </cell>
          <cell r="P1305">
            <v>41.7</v>
          </cell>
          <cell r="S1305">
            <v>36.1</v>
          </cell>
          <cell r="T1305">
            <v>37.5</v>
          </cell>
          <cell r="U1305">
            <v>2</v>
          </cell>
        </row>
        <row r="1306">
          <cell r="B1306" t="str">
            <v>Male</v>
          </cell>
          <cell r="F1306">
            <v>25</v>
          </cell>
          <cell r="G1306">
            <v>39.700000000000003</v>
          </cell>
          <cell r="I1306">
            <v>42.2</v>
          </cell>
          <cell r="J1306">
            <v>7</v>
          </cell>
          <cell r="K1306">
            <v>20</v>
          </cell>
          <cell r="L1306">
            <v>50.73</v>
          </cell>
          <cell r="M1306">
            <v>1</v>
          </cell>
          <cell r="N1306">
            <v>32.1</v>
          </cell>
          <cell r="O1306">
            <v>5.3</v>
          </cell>
          <cell r="P1306">
            <v>38.6</v>
          </cell>
          <cell r="S1306">
            <v>52.3</v>
          </cell>
          <cell r="T1306">
            <v>23.6</v>
          </cell>
          <cell r="U1306">
            <v>2</v>
          </cell>
        </row>
        <row r="1307">
          <cell r="B1307" t="str">
            <v>Female</v>
          </cell>
          <cell r="F1307">
            <v>12</v>
          </cell>
          <cell r="G1307">
            <v>32.5</v>
          </cell>
          <cell r="H1307">
            <v>12.5</v>
          </cell>
          <cell r="I1307">
            <v>49.2</v>
          </cell>
          <cell r="J1307">
            <v>4</v>
          </cell>
          <cell r="K1307">
            <v>11</v>
          </cell>
          <cell r="L1307">
            <v>58.48</v>
          </cell>
          <cell r="M1307">
            <v>1</v>
          </cell>
          <cell r="N1307">
            <v>31.5</v>
          </cell>
          <cell r="O1307">
            <v>1.6</v>
          </cell>
          <cell r="P1307">
            <v>26.2</v>
          </cell>
          <cell r="S1307">
            <v>31.5</v>
          </cell>
          <cell r="U1307">
            <v>2</v>
          </cell>
        </row>
        <row r="1308">
          <cell r="B1308" t="str">
            <v>Other</v>
          </cell>
          <cell r="F1308">
            <v>7</v>
          </cell>
          <cell r="G1308">
            <v>20</v>
          </cell>
          <cell r="H1308">
            <v>6.2</v>
          </cell>
          <cell r="I1308">
            <v>73.8</v>
          </cell>
          <cell r="J1308">
            <v>1</v>
          </cell>
          <cell r="K1308">
            <v>10.4</v>
          </cell>
          <cell r="L1308">
            <v>170.57</v>
          </cell>
          <cell r="N1308">
            <v>13.08</v>
          </cell>
          <cell r="O1308">
            <v>1.2</v>
          </cell>
          <cell r="P1308">
            <v>0</v>
          </cell>
          <cell r="S1308">
            <v>0</v>
          </cell>
          <cell r="T1308">
            <v>12.3</v>
          </cell>
          <cell r="U1308">
            <v>2</v>
          </cell>
        </row>
        <row r="1309">
          <cell r="B1309" t="str">
            <v>Female</v>
          </cell>
          <cell r="F1309">
            <v>16</v>
          </cell>
          <cell r="G1309">
            <v>15.7</v>
          </cell>
          <cell r="H1309">
            <v>5.6</v>
          </cell>
          <cell r="I1309">
            <v>59.6</v>
          </cell>
          <cell r="K1309">
            <v>6</v>
          </cell>
          <cell r="L1309">
            <v>149.54</v>
          </cell>
          <cell r="M1309">
            <v>75</v>
          </cell>
          <cell r="N1309">
            <v>39.6</v>
          </cell>
          <cell r="O1309">
            <v>7.9</v>
          </cell>
          <cell r="P1309">
            <v>22.6</v>
          </cell>
          <cell r="S1309">
            <v>13</v>
          </cell>
          <cell r="U1309">
            <v>3</v>
          </cell>
        </row>
        <row r="1310">
          <cell r="B1310" t="str">
            <v>Male</v>
          </cell>
          <cell r="F1310">
            <v>13</v>
          </cell>
          <cell r="G1310">
            <v>18.399999999999999</v>
          </cell>
          <cell r="I1310">
            <v>35.6</v>
          </cell>
          <cell r="J1310">
            <v>4</v>
          </cell>
          <cell r="K1310">
            <v>12</v>
          </cell>
          <cell r="L1310">
            <v>136.18</v>
          </cell>
          <cell r="M1310">
            <v>63</v>
          </cell>
          <cell r="N1310">
            <v>67.599999999999994</v>
          </cell>
          <cell r="O1310">
            <v>6.8</v>
          </cell>
          <cell r="P1310">
            <v>24.3</v>
          </cell>
          <cell r="S1310">
            <v>40.299999999999997</v>
          </cell>
          <cell r="T1310">
            <v>20.399999999999999</v>
          </cell>
          <cell r="U1310">
            <v>4</v>
          </cell>
        </row>
        <row r="1311">
          <cell r="B1311" t="str">
            <v>Male</v>
          </cell>
          <cell r="F1311">
            <v>16</v>
          </cell>
          <cell r="G1311">
            <v>24.4</v>
          </cell>
          <cell r="H1311">
            <v>7.4</v>
          </cell>
          <cell r="I1311">
            <v>57.8</v>
          </cell>
          <cell r="J1311">
            <v>1</v>
          </cell>
          <cell r="K1311">
            <v>7</v>
          </cell>
          <cell r="L1311">
            <v>95.36</v>
          </cell>
          <cell r="M1311">
            <v>2</v>
          </cell>
          <cell r="N1311">
            <v>23.7</v>
          </cell>
          <cell r="O1311">
            <v>5.6</v>
          </cell>
          <cell r="P1311">
            <v>10.7</v>
          </cell>
          <cell r="S1311">
            <v>0</v>
          </cell>
          <cell r="T1311">
            <v>14.9</v>
          </cell>
          <cell r="U1311">
            <v>4</v>
          </cell>
        </row>
        <row r="1312">
          <cell r="B1312" t="str">
            <v>Female</v>
          </cell>
          <cell r="F1312">
            <v>5</v>
          </cell>
          <cell r="G1312">
            <v>25</v>
          </cell>
          <cell r="H1312">
            <v>10.1</v>
          </cell>
          <cell r="I1312">
            <v>58.7</v>
          </cell>
          <cell r="J1312">
            <v>4</v>
          </cell>
          <cell r="K1312">
            <v>12</v>
          </cell>
          <cell r="L1312">
            <v>125.36</v>
          </cell>
          <cell r="M1312">
            <v>14</v>
          </cell>
          <cell r="N1312">
            <v>22.5</v>
          </cell>
          <cell r="P1312">
            <v>13</v>
          </cell>
          <cell r="S1312">
            <v>22.3</v>
          </cell>
          <cell r="T1312">
            <v>20.9</v>
          </cell>
          <cell r="U1312">
            <v>1</v>
          </cell>
        </row>
        <row r="1313">
          <cell r="B1313" t="str">
            <v>Male</v>
          </cell>
          <cell r="F1313">
            <v>1</v>
          </cell>
          <cell r="G1313">
            <v>31.2</v>
          </cell>
          <cell r="H1313">
            <v>4.9000000000000004</v>
          </cell>
          <cell r="I1313">
            <v>74.3</v>
          </cell>
          <cell r="K1313">
            <v>9</v>
          </cell>
          <cell r="L1313">
            <v>132.06</v>
          </cell>
          <cell r="M1313">
            <v>40</v>
          </cell>
          <cell r="N1313">
            <v>43</v>
          </cell>
          <cell r="O1313">
            <v>5.2</v>
          </cell>
          <cell r="T1313">
            <v>8.6999999999999993</v>
          </cell>
        </row>
        <row r="1314">
          <cell r="B1314" t="str">
            <v>Female</v>
          </cell>
          <cell r="F1314">
            <v>23</v>
          </cell>
          <cell r="G1314">
            <v>37.299999999999997</v>
          </cell>
          <cell r="H1314">
            <v>11.1</v>
          </cell>
          <cell r="I1314">
            <v>40.4</v>
          </cell>
          <cell r="J1314">
            <v>10</v>
          </cell>
          <cell r="K1314">
            <v>15</v>
          </cell>
          <cell r="L1314">
            <v>124.04</v>
          </cell>
          <cell r="M1314">
            <v>11</v>
          </cell>
          <cell r="N1314">
            <v>66.099999999999994</v>
          </cell>
          <cell r="O1314">
            <v>5.3</v>
          </cell>
          <cell r="P1314">
            <v>41.5</v>
          </cell>
          <cell r="S1314">
            <v>31.8</v>
          </cell>
          <cell r="T1314">
            <v>25</v>
          </cell>
          <cell r="U1314">
            <v>4</v>
          </cell>
        </row>
        <row r="1315">
          <cell r="B1315" t="str">
            <v>Female</v>
          </cell>
          <cell r="F1315">
            <v>9</v>
          </cell>
          <cell r="G1315">
            <v>34.5</v>
          </cell>
          <cell r="H1315">
            <v>10.1</v>
          </cell>
          <cell r="I1315">
            <v>62.1</v>
          </cell>
          <cell r="J1315">
            <v>3</v>
          </cell>
          <cell r="K1315">
            <v>18</v>
          </cell>
          <cell r="L1315">
            <v>150.80000000000001</v>
          </cell>
          <cell r="M1315">
            <v>45</v>
          </cell>
          <cell r="N1315">
            <v>19</v>
          </cell>
          <cell r="O1315">
            <v>15.6</v>
          </cell>
          <cell r="P1315">
            <v>33.4</v>
          </cell>
          <cell r="S1315">
            <v>27</v>
          </cell>
          <cell r="T1315">
            <v>25.3</v>
          </cell>
          <cell r="U1315">
            <v>3</v>
          </cell>
        </row>
        <row r="1316">
          <cell r="B1316" t="str">
            <v>Female</v>
          </cell>
          <cell r="F1316">
            <v>7</v>
          </cell>
          <cell r="H1316">
            <v>4.9000000000000004</v>
          </cell>
          <cell r="I1316">
            <v>61.5</v>
          </cell>
          <cell r="J1316">
            <v>3</v>
          </cell>
          <cell r="K1316">
            <v>19.5</v>
          </cell>
          <cell r="L1316">
            <v>77.11</v>
          </cell>
          <cell r="N1316">
            <v>82.2</v>
          </cell>
          <cell r="O1316">
            <v>10.199999999999999</v>
          </cell>
          <cell r="P1316">
            <v>13.3</v>
          </cell>
          <cell r="S1316">
            <v>14.2</v>
          </cell>
          <cell r="T1316">
            <v>21</v>
          </cell>
        </row>
        <row r="1317">
          <cell r="B1317" t="str">
            <v>Male</v>
          </cell>
          <cell r="F1317">
            <v>7</v>
          </cell>
          <cell r="G1317">
            <v>42.4</v>
          </cell>
          <cell r="H1317">
            <v>15.8</v>
          </cell>
          <cell r="I1317">
            <v>37.700000000000003</v>
          </cell>
          <cell r="J1317">
            <v>7</v>
          </cell>
          <cell r="K1317">
            <v>16</v>
          </cell>
          <cell r="L1317">
            <v>95.13</v>
          </cell>
          <cell r="M1317">
            <v>52</v>
          </cell>
          <cell r="N1317">
            <v>66.3</v>
          </cell>
          <cell r="O1317">
            <v>5.8</v>
          </cell>
          <cell r="P1317">
            <v>38.5</v>
          </cell>
          <cell r="T1317">
            <v>33</v>
          </cell>
          <cell r="U1317">
            <v>2</v>
          </cell>
        </row>
        <row r="1318">
          <cell r="B1318" t="str">
            <v>Male</v>
          </cell>
          <cell r="F1318">
            <v>16</v>
          </cell>
          <cell r="G1318">
            <v>30.9</v>
          </cell>
          <cell r="H1318">
            <v>7.1</v>
          </cell>
          <cell r="I1318">
            <v>52.1</v>
          </cell>
          <cell r="J1318">
            <v>3</v>
          </cell>
          <cell r="K1318">
            <v>13</v>
          </cell>
          <cell r="L1318">
            <v>88.47</v>
          </cell>
          <cell r="M1318">
            <v>49</v>
          </cell>
          <cell r="N1318">
            <v>6.2</v>
          </cell>
          <cell r="O1318">
            <v>3.9</v>
          </cell>
          <cell r="P1318">
            <v>22.5</v>
          </cell>
          <cell r="S1318">
            <v>31.9</v>
          </cell>
          <cell r="T1318">
            <v>21.5</v>
          </cell>
          <cell r="U1318">
            <v>3</v>
          </cell>
        </row>
        <row r="1319">
          <cell r="B1319" t="str">
            <v>Female</v>
          </cell>
          <cell r="F1319">
            <v>6</v>
          </cell>
          <cell r="H1319">
            <v>5.7</v>
          </cell>
          <cell r="I1319">
            <v>64.7</v>
          </cell>
          <cell r="K1319">
            <v>14</v>
          </cell>
          <cell r="L1319">
            <v>164.34</v>
          </cell>
          <cell r="M1319">
            <v>32</v>
          </cell>
          <cell r="N1319">
            <v>67.3</v>
          </cell>
          <cell r="O1319">
            <v>16.3</v>
          </cell>
          <cell r="P1319">
            <v>0</v>
          </cell>
          <cell r="S1319">
            <v>2.7</v>
          </cell>
          <cell r="T1319">
            <v>8.9</v>
          </cell>
          <cell r="U1319">
            <v>3</v>
          </cell>
        </row>
        <row r="1320">
          <cell r="B1320" t="str">
            <v>Male</v>
          </cell>
          <cell r="F1320">
            <v>12</v>
          </cell>
          <cell r="G1320">
            <v>27</v>
          </cell>
          <cell r="H1320">
            <v>8.4</v>
          </cell>
          <cell r="I1320">
            <v>41.1</v>
          </cell>
          <cell r="J1320">
            <v>5</v>
          </cell>
          <cell r="K1320">
            <v>10</v>
          </cell>
          <cell r="L1320">
            <v>106.99</v>
          </cell>
          <cell r="M1320">
            <v>9</v>
          </cell>
          <cell r="N1320">
            <v>10.7</v>
          </cell>
          <cell r="O1320">
            <v>8.3000000000000007</v>
          </cell>
          <cell r="P1320">
            <v>21.7</v>
          </cell>
          <cell r="S1320">
            <v>37.9</v>
          </cell>
          <cell r="T1320">
            <v>15.4</v>
          </cell>
          <cell r="U1320">
            <v>4</v>
          </cell>
        </row>
        <row r="1321">
          <cell r="B1321" t="str">
            <v>Male</v>
          </cell>
          <cell r="F1321">
            <v>16</v>
          </cell>
          <cell r="G1321">
            <v>39</v>
          </cell>
          <cell r="H1321">
            <v>13.7</v>
          </cell>
          <cell r="I1321">
            <v>47.5</v>
          </cell>
          <cell r="J1321">
            <v>5</v>
          </cell>
          <cell r="K1321">
            <v>15</v>
          </cell>
          <cell r="L1321">
            <v>103.04</v>
          </cell>
          <cell r="M1321">
            <v>12</v>
          </cell>
          <cell r="N1321">
            <v>67.099999999999994</v>
          </cell>
          <cell r="O1321">
            <v>12.1</v>
          </cell>
          <cell r="P1321">
            <v>49.2</v>
          </cell>
          <cell r="S1321">
            <v>46.7</v>
          </cell>
          <cell r="U1321">
            <v>1</v>
          </cell>
        </row>
        <row r="1322">
          <cell r="B1322" t="str">
            <v>Female</v>
          </cell>
          <cell r="F1322">
            <v>17</v>
          </cell>
          <cell r="G1322">
            <v>32.5</v>
          </cell>
          <cell r="I1322">
            <v>54.6</v>
          </cell>
          <cell r="J1322">
            <v>4</v>
          </cell>
          <cell r="K1322" t="str">
            <v>16.900000000000002</v>
          </cell>
          <cell r="L1322">
            <v>188.71</v>
          </cell>
          <cell r="M1322">
            <v>2</v>
          </cell>
          <cell r="N1322">
            <v>50.52</v>
          </cell>
          <cell r="O1322">
            <v>0.4</v>
          </cell>
          <cell r="P1322">
            <v>28.7</v>
          </cell>
          <cell r="T1322">
            <v>20.6</v>
          </cell>
          <cell r="U1322">
            <v>2</v>
          </cell>
        </row>
        <row r="1323">
          <cell r="B1323" t="str">
            <v>Male</v>
          </cell>
          <cell r="F1323">
            <v>3</v>
          </cell>
          <cell r="H1323">
            <v>8.3000000000000007</v>
          </cell>
          <cell r="I1323">
            <v>89.4</v>
          </cell>
          <cell r="J1323">
            <v>1</v>
          </cell>
          <cell r="K1323">
            <v>4</v>
          </cell>
          <cell r="L1323">
            <v>56.83</v>
          </cell>
          <cell r="M1323">
            <v>7</v>
          </cell>
          <cell r="N1323">
            <v>81.599999999999994</v>
          </cell>
          <cell r="O1323">
            <v>13.7</v>
          </cell>
          <cell r="P1323">
            <v>1.8</v>
          </cell>
          <cell r="U1323">
            <v>1</v>
          </cell>
        </row>
        <row r="1324">
          <cell r="B1324" t="str">
            <v>Female</v>
          </cell>
          <cell r="F1324">
            <v>9</v>
          </cell>
          <cell r="G1324">
            <v>17.3</v>
          </cell>
          <cell r="H1324">
            <v>6.7</v>
          </cell>
          <cell r="I1324">
            <v>69.599999999999994</v>
          </cell>
          <cell r="J1324">
            <v>4</v>
          </cell>
          <cell r="K1324">
            <v>5</v>
          </cell>
          <cell r="L1324">
            <v>88.33</v>
          </cell>
          <cell r="M1324">
            <v>86</v>
          </cell>
          <cell r="N1324">
            <v>29.2</v>
          </cell>
          <cell r="O1324">
            <v>21.2</v>
          </cell>
          <cell r="P1324">
            <v>0</v>
          </cell>
          <cell r="T1324">
            <v>15</v>
          </cell>
          <cell r="U1324">
            <v>3</v>
          </cell>
        </row>
        <row r="1325">
          <cell r="B1325" t="str">
            <v>Male</v>
          </cell>
          <cell r="F1325">
            <v>14</v>
          </cell>
          <cell r="G1325">
            <v>22.7</v>
          </cell>
          <cell r="H1325">
            <v>9.5</v>
          </cell>
          <cell r="I1325">
            <v>55</v>
          </cell>
          <cell r="J1325">
            <v>4</v>
          </cell>
          <cell r="K1325" t="str">
            <v>16.900000000000002</v>
          </cell>
          <cell r="L1325">
            <v>149.38999999999999</v>
          </cell>
          <cell r="N1325" t="str">
            <v>86.88000000000001</v>
          </cell>
          <cell r="O1325">
            <v>0.6</v>
          </cell>
          <cell r="P1325">
            <v>23.1</v>
          </cell>
          <cell r="S1325">
            <v>20.7</v>
          </cell>
          <cell r="T1325">
            <v>21.9</v>
          </cell>
          <cell r="U1325">
            <v>1</v>
          </cell>
        </row>
        <row r="1326">
          <cell r="B1326" t="str">
            <v>Female</v>
          </cell>
          <cell r="F1326">
            <v>18</v>
          </cell>
          <cell r="G1326">
            <v>27.8</v>
          </cell>
          <cell r="H1326">
            <v>11.7</v>
          </cell>
          <cell r="I1326">
            <v>45.4</v>
          </cell>
          <cell r="J1326">
            <v>3</v>
          </cell>
          <cell r="K1326">
            <v>16</v>
          </cell>
          <cell r="L1326">
            <v>135.36000000000001</v>
          </cell>
          <cell r="N1326">
            <v>36.299999999999997</v>
          </cell>
          <cell r="O1326">
            <v>7.1</v>
          </cell>
          <cell r="P1326">
            <v>27.8</v>
          </cell>
          <cell r="S1326">
            <v>32.799999999999997</v>
          </cell>
          <cell r="T1326">
            <v>27.1</v>
          </cell>
          <cell r="U1326">
            <v>2</v>
          </cell>
        </row>
        <row r="1327">
          <cell r="B1327" t="str">
            <v>Male</v>
          </cell>
          <cell r="F1327">
            <v>0</v>
          </cell>
          <cell r="H1327">
            <v>2.8</v>
          </cell>
          <cell r="I1327">
            <v>69.2</v>
          </cell>
          <cell r="J1327">
            <v>1</v>
          </cell>
          <cell r="K1327">
            <v>9</v>
          </cell>
          <cell r="L1327">
            <v>112.27</v>
          </cell>
          <cell r="M1327">
            <v>63</v>
          </cell>
          <cell r="N1327">
            <v>38.5</v>
          </cell>
          <cell r="O1327">
            <v>5</v>
          </cell>
          <cell r="P1327">
            <v>0</v>
          </cell>
          <cell r="S1327">
            <v>29.8</v>
          </cell>
          <cell r="T1327">
            <v>9.8000000000000007</v>
          </cell>
          <cell r="U1327">
            <v>2</v>
          </cell>
        </row>
        <row r="1328">
          <cell r="B1328" t="str">
            <v>Female</v>
          </cell>
          <cell r="F1328">
            <v>10</v>
          </cell>
          <cell r="H1328">
            <v>5.3</v>
          </cell>
          <cell r="I1328">
            <v>80.2</v>
          </cell>
          <cell r="J1328">
            <v>2</v>
          </cell>
          <cell r="K1328">
            <v>10</v>
          </cell>
          <cell r="L1328">
            <v>89.69</v>
          </cell>
          <cell r="M1328">
            <v>11</v>
          </cell>
          <cell r="N1328">
            <v>34.5</v>
          </cell>
          <cell r="O1328">
            <v>1.3</v>
          </cell>
          <cell r="P1328">
            <v>13.5</v>
          </cell>
          <cell r="S1328">
            <v>5.4</v>
          </cell>
          <cell r="T1328">
            <v>14.5</v>
          </cell>
          <cell r="U1328">
            <v>2</v>
          </cell>
        </row>
        <row r="1329">
          <cell r="B1329" t="str">
            <v>Female</v>
          </cell>
          <cell r="F1329">
            <v>27</v>
          </cell>
          <cell r="G1329">
            <v>56.4</v>
          </cell>
          <cell r="H1329">
            <v>15.5</v>
          </cell>
          <cell r="I1329">
            <v>21</v>
          </cell>
          <cell r="J1329">
            <v>15</v>
          </cell>
          <cell r="K1329">
            <v>19</v>
          </cell>
          <cell r="L1329">
            <v>170</v>
          </cell>
          <cell r="M1329">
            <v>27</v>
          </cell>
          <cell r="N1329">
            <v>17.100000000000001</v>
          </cell>
          <cell r="O1329">
            <v>3.1</v>
          </cell>
          <cell r="P1329">
            <v>44.2</v>
          </cell>
          <cell r="S1329">
            <v>88.2</v>
          </cell>
          <cell r="T1329">
            <v>33.6</v>
          </cell>
          <cell r="U1329">
            <v>2</v>
          </cell>
        </row>
        <row r="1330">
          <cell r="B1330" t="str">
            <v>Female</v>
          </cell>
          <cell r="F1330">
            <v>15</v>
          </cell>
          <cell r="G1330">
            <v>29.3</v>
          </cell>
          <cell r="H1330">
            <v>8.8000000000000007</v>
          </cell>
          <cell r="I1330">
            <v>62.5</v>
          </cell>
          <cell r="J1330">
            <v>6</v>
          </cell>
          <cell r="K1330">
            <v>14</v>
          </cell>
          <cell r="L1330">
            <v>115.01</v>
          </cell>
          <cell r="M1330">
            <v>20</v>
          </cell>
          <cell r="N1330">
            <v>11.2</v>
          </cell>
          <cell r="O1330">
            <v>3.1</v>
          </cell>
          <cell r="P1330">
            <v>23</v>
          </cell>
          <cell r="S1330">
            <v>0</v>
          </cell>
          <cell r="T1330">
            <v>11.9</v>
          </cell>
          <cell r="U1330">
            <v>2</v>
          </cell>
        </row>
        <row r="1331">
          <cell r="B1331" t="str">
            <v>Female</v>
          </cell>
          <cell r="F1331">
            <v>5</v>
          </cell>
          <cell r="G1331">
            <v>21.5</v>
          </cell>
          <cell r="H1331">
            <v>8.5</v>
          </cell>
          <cell r="I1331">
            <v>69.7</v>
          </cell>
          <cell r="J1331">
            <v>2</v>
          </cell>
          <cell r="K1331">
            <v>8</v>
          </cell>
          <cell r="L1331">
            <v>138.59</v>
          </cell>
          <cell r="M1331">
            <v>83</v>
          </cell>
          <cell r="N1331">
            <v>22.1</v>
          </cell>
          <cell r="O1331">
            <v>8.3000000000000007</v>
          </cell>
          <cell r="P1331">
            <v>16.899999999999999</v>
          </cell>
          <cell r="S1331">
            <v>3.4</v>
          </cell>
          <cell r="T1331">
            <v>15.3</v>
          </cell>
          <cell r="U1331">
            <v>2</v>
          </cell>
        </row>
        <row r="1332">
          <cell r="B1332" t="str">
            <v>Male</v>
          </cell>
          <cell r="F1332">
            <v>20</v>
          </cell>
          <cell r="H1332">
            <v>11.4</v>
          </cell>
          <cell r="I1332">
            <v>70.400000000000006</v>
          </cell>
          <cell r="J1332">
            <v>1</v>
          </cell>
          <cell r="K1332">
            <v>9</v>
          </cell>
          <cell r="L1332">
            <v>114.36</v>
          </cell>
          <cell r="M1332">
            <v>13</v>
          </cell>
          <cell r="N1332">
            <v>43.4</v>
          </cell>
          <cell r="O1332">
            <v>1.3</v>
          </cell>
          <cell r="P1332">
            <v>29.6</v>
          </cell>
          <cell r="S1332">
            <v>41.5</v>
          </cell>
          <cell r="T1332">
            <v>11.9</v>
          </cell>
          <cell r="U1332">
            <v>2</v>
          </cell>
        </row>
        <row r="1333">
          <cell r="B1333" t="str">
            <v>Other</v>
          </cell>
          <cell r="F1333">
            <v>12</v>
          </cell>
          <cell r="G1333">
            <v>24.7</v>
          </cell>
          <cell r="I1333">
            <v>41.3</v>
          </cell>
          <cell r="J1333">
            <v>10</v>
          </cell>
          <cell r="K1333">
            <v>17</v>
          </cell>
          <cell r="L1333">
            <v>157.86000000000001</v>
          </cell>
          <cell r="M1333">
            <v>7</v>
          </cell>
          <cell r="N1333">
            <v>51.9</v>
          </cell>
          <cell r="P1333">
            <v>17.3</v>
          </cell>
          <cell r="S1333">
            <v>57.2</v>
          </cell>
          <cell r="T1333">
            <v>24.9</v>
          </cell>
          <cell r="U1333">
            <v>2</v>
          </cell>
        </row>
        <row r="1334">
          <cell r="B1334" t="str">
            <v>Female</v>
          </cell>
          <cell r="F1334">
            <v>16</v>
          </cell>
          <cell r="G1334">
            <v>28.7</v>
          </cell>
          <cell r="H1334">
            <v>11.3</v>
          </cell>
          <cell r="I1334">
            <v>42.2</v>
          </cell>
          <cell r="J1334">
            <v>4</v>
          </cell>
          <cell r="K1334">
            <v>18.2</v>
          </cell>
          <cell r="L1334">
            <v>167.3</v>
          </cell>
          <cell r="M1334">
            <v>26</v>
          </cell>
          <cell r="N1334">
            <v>64.44</v>
          </cell>
          <cell r="P1334">
            <v>20.6</v>
          </cell>
          <cell r="T1334">
            <v>26</v>
          </cell>
          <cell r="U1334">
            <v>4</v>
          </cell>
        </row>
        <row r="1335">
          <cell r="B1335" t="str">
            <v>Female</v>
          </cell>
          <cell r="F1335">
            <v>6</v>
          </cell>
          <cell r="H1335">
            <v>9.1999999999999993</v>
          </cell>
          <cell r="I1335">
            <v>79.400000000000006</v>
          </cell>
          <cell r="J1335">
            <v>2</v>
          </cell>
          <cell r="K1335">
            <v>17</v>
          </cell>
          <cell r="L1335">
            <v>148.21</v>
          </cell>
          <cell r="N1335">
            <v>48.4</v>
          </cell>
          <cell r="O1335">
            <v>10.1</v>
          </cell>
          <cell r="P1335">
            <v>24.3</v>
          </cell>
          <cell r="S1335">
            <v>16.2</v>
          </cell>
          <cell r="U1335">
            <v>2</v>
          </cell>
        </row>
        <row r="1336">
          <cell r="B1336" t="str">
            <v>Male</v>
          </cell>
          <cell r="F1336">
            <v>0</v>
          </cell>
          <cell r="G1336">
            <v>18.3</v>
          </cell>
          <cell r="H1336">
            <v>5.9</v>
          </cell>
          <cell r="I1336">
            <v>59.1</v>
          </cell>
          <cell r="J1336">
            <v>4</v>
          </cell>
          <cell r="K1336">
            <v>7</v>
          </cell>
          <cell r="L1336">
            <v>85.12</v>
          </cell>
          <cell r="M1336">
            <v>50</v>
          </cell>
          <cell r="O1336">
            <v>6.9</v>
          </cell>
          <cell r="P1336">
            <v>1.8</v>
          </cell>
          <cell r="S1336">
            <v>18</v>
          </cell>
          <cell r="T1336">
            <v>25.1</v>
          </cell>
          <cell r="U1336">
            <v>2</v>
          </cell>
        </row>
        <row r="1337">
          <cell r="B1337" t="str">
            <v>Female</v>
          </cell>
          <cell r="F1337">
            <v>13</v>
          </cell>
          <cell r="G1337">
            <v>15.8</v>
          </cell>
          <cell r="H1337">
            <v>6.7</v>
          </cell>
          <cell r="I1337">
            <v>67.599999999999994</v>
          </cell>
          <cell r="J1337">
            <v>3</v>
          </cell>
          <cell r="K1337">
            <v>4</v>
          </cell>
          <cell r="L1337">
            <v>59.45</v>
          </cell>
          <cell r="M1337">
            <v>28</v>
          </cell>
          <cell r="N1337">
            <v>21.1</v>
          </cell>
          <cell r="O1337">
            <v>3.3</v>
          </cell>
          <cell r="P1337">
            <v>3.6</v>
          </cell>
          <cell r="S1337">
            <v>18.600000000000001</v>
          </cell>
          <cell r="T1337">
            <v>9.6</v>
          </cell>
          <cell r="U1337">
            <v>1</v>
          </cell>
        </row>
        <row r="1338">
          <cell r="B1338" t="str">
            <v>Female</v>
          </cell>
          <cell r="F1338">
            <v>28</v>
          </cell>
          <cell r="G1338">
            <v>56</v>
          </cell>
          <cell r="I1338">
            <v>16</v>
          </cell>
          <cell r="J1338">
            <v>10</v>
          </cell>
          <cell r="K1338">
            <v>22</v>
          </cell>
          <cell r="L1338">
            <v>180.17</v>
          </cell>
          <cell r="M1338">
            <v>31</v>
          </cell>
          <cell r="N1338">
            <v>50.6</v>
          </cell>
          <cell r="O1338">
            <v>7</v>
          </cell>
          <cell r="P1338">
            <v>51.7</v>
          </cell>
          <cell r="S1338">
            <v>69.400000000000006</v>
          </cell>
          <cell r="T1338">
            <v>32.6</v>
          </cell>
          <cell r="U1338">
            <v>3</v>
          </cell>
        </row>
        <row r="1339">
          <cell r="B1339" t="str">
            <v>Male</v>
          </cell>
          <cell r="F1339">
            <v>6</v>
          </cell>
          <cell r="G1339">
            <v>33.200000000000003</v>
          </cell>
          <cell r="H1339">
            <v>7.4</v>
          </cell>
          <cell r="I1339">
            <v>39.4</v>
          </cell>
          <cell r="J1339">
            <v>10</v>
          </cell>
          <cell r="K1339">
            <v>15</v>
          </cell>
          <cell r="L1339">
            <v>126.96</v>
          </cell>
          <cell r="M1339">
            <v>34</v>
          </cell>
          <cell r="N1339">
            <v>15.2</v>
          </cell>
          <cell r="O1339">
            <v>18.5</v>
          </cell>
          <cell r="P1339">
            <v>7.1</v>
          </cell>
          <cell r="S1339">
            <v>60.5</v>
          </cell>
          <cell r="T1339">
            <v>31.3</v>
          </cell>
          <cell r="U1339">
            <v>3</v>
          </cell>
        </row>
        <row r="1340">
          <cell r="B1340" t="str">
            <v>Male</v>
          </cell>
          <cell r="F1340">
            <v>9</v>
          </cell>
          <cell r="G1340">
            <v>26.5</v>
          </cell>
          <cell r="H1340">
            <v>8.1</v>
          </cell>
          <cell r="I1340">
            <v>51.6</v>
          </cell>
          <cell r="J1340">
            <v>4</v>
          </cell>
          <cell r="K1340" t="str">
            <v>15.600000000000001</v>
          </cell>
          <cell r="L1340">
            <v>139.52000000000001</v>
          </cell>
          <cell r="M1340">
            <v>18</v>
          </cell>
          <cell r="N1340">
            <v>59.4</v>
          </cell>
          <cell r="O1340">
            <v>2.5</v>
          </cell>
          <cell r="S1340">
            <v>25.6</v>
          </cell>
          <cell r="T1340">
            <v>19.2</v>
          </cell>
          <cell r="U1340">
            <v>1</v>
          </cell>
        </row>
        <row r="1341">
          <cell r="B1341" t="str">
            <v>Male</v>
          </cell>
          <cell r="F1341">
            <v>10</v>
          </cell>
          <cell r="G1341">
            <v>40.5</v>
          </cell>
          <cell r="H1341">
            <v>9.6</v>
          </cell>
          <cell r="I1341">
            <v>32.5</v>
          </cell>
          <cell r="J1341">
            <v>7</v>
          </cell>
          <cell r="K1341">
            <v>19.5</v>
          </cell>
          <cell r="L1341">
            <v>104.37</v>
          </cell>
          <cell r="M1341">
            <v>8</v>
          </cell>
          <cell r="O1341">
            <v>11.8</v>
          </cell>
          <cell r="P1341">
            <v>12</v>
          </cell>
          <cell r="S1341">
            <v>27.5</v>
          </cell>
          <cell r="U1341">
            <v>1</v>
          </cell>
        </row>
        <row r="1342">
          <cell r="B1342" t="str">
            <v>Female</v>
          </cell>
          <cell r="F1342">
            <v>0</v>
          </cell>
          <cell r="G1342">
            <v>7</v>
          </cell>
          <cell r="H1342">
            <v>2.1</v>
          </cell>
          <cell r="I1342">
            <v>66.2</v>
          </cell>
          <cell r="K1342">
            <v>2</v>
          </cell>
          <cell r="L1342">
            <v>78.36</v>
          </cell>
          <cell r="M1342">
            <v>10</v>
          </cell>
          <cell r="N1342">
            <v>79.7</v>
          </cell>
          <cell r="O1342">
            <v>14.6</v>
          </cell>
          <cell r="S1342">
            <v>1.3</v>
          </cell>
          <cell r="U1342">
            <v>3</v>
          </cell>
        </row>
        <row r="1343">
          <cell r="B1343" t="str">
            <v>Female</v>
          </cell>
          <cell r="F1343">
            <v>22</v>
          </cell>
          <cell r="G1343">
            <v>29.9</v>
          </cell>
          <cell r="H1343">
            <v>14.1</v>
          </cell>
          <cell r="I1343">
            <v>60</v>
          </cell>
          <cell r="J1343">
            <v>1</v>
          </cell>
          <cell r="K1343">
            <v>16</v>
          </cell>
          <cell r="L1343">
            <v>211.08</v>
          </cell>
          <cell r="M1343">
            <v>24</v>
          </cell>
          <cell r="N1343">
            <v>65</v>
          </cell>
          <cell r="O1343">
            <v>5.3</v>
          </cell>
          <cell r="P1343">
            <v>23.3</v>
          </cell>
          <cell r="S1343">
            <v>5.3</v>
          </cell>
          <cell r="T1343">
            <v>19.600000000000001</v>
          </cell>
          <cell r="U1343">
            <v>3</v>
          </cell>
        </row>
        <row r="1344">
          <cell r="B1344" t="str">
            <v>Female</v>
          </cell>
          <cell r="F1344">
            <v>15</v>
          </cell>
          <cell r="G1344">
            <v>33.6</v>
          </cell>
          <cell r="H1344">
            <v>12</v>
          </cell>
          <cell r="I1344">
            <v>40.1</v>
          </cell>
          <cell r="J1344">
            <v>6</v>
          </cell>
          <cell r="K1344">
            <v>16</v>
          </cell>
          <cell r="L1344">
            <v>105.05</v>
          </cell>
          <cell r="M1344">
            <v>1</v>
          </cell>
          <cell r="N1344">
            <v>4.7</v>
          </cell>
          <cell r="O1344">
            <v>3.5</v>
          </cell>
          <cell r="P1344">
            <v>28.4</v>
          </cell>
          <cell r="S1344">
            <v>52.3</v>
          </cell>
          <cell r="T1344">
            <v>33.5</v>
          </cell>
          <cell r="U1344">
            <v>2</v>
          </cell>
        </row>
        <row r="1345">
          <cell r="B1345" t="str">
            <v>Female</v>
          </cell>
          <cell r="F1345">
            <v>14</v>
          </cell>
          <cell r="G1345">
            <v>39.5</v>
          </cell>
          <cell r="H1345">
            <v>13.6</v>
          </cell>
          <cell r="I1345">
            <v>36.200000000000003</v>
          </cell>
          <cell r="J1345">
            <v>9</v>
          </cell>
          <cell r="K1345">
            <v>22.1</v>
          </cell>
          <cell r="L1345">
            <v>187.27</v>
          </cell>
          <cell r="M1345">
            <v>45</v>
          </cell>
          <cell r="N1345">
            <v>26.04</v>
          </cell>
          <cell r="P1345">
            <v>33.200000000000003</v>
          </cell>
          <cell r="S1345">
            <v>59</v>
          </cell>
          <cell r="T1345">
            <v>33.700000000000003</v>
          </cell>
          <cell r="U1345">
            <v>1</v>
          </cell>
        </row>
        <row r="1346">
          <cell r="B1346" t="str">
            <v>Male</v>
          </cell>
          <cell r="F1346">
            <v>24</v>
          </cell>
          <cell r="G1346">
            <v>40</v>
          </cell>
          <cell r="H1346">
            <v>14.9</v>
          </cell>
          <cell r="I1346">
            <v>44.5</v>
          </cell>
          <cell r="J1346">
            <v>6</v>
          </cell>
          <cell r="K1346">
            <v>21</v>
          </cell>
          <cell r="L1346">
            <v>127.59</v>
          </cell>
          <cell r="M1346">
            <v>4</v>
          </cell>
          <cell r="N1346">
            <v>53.5</v>
          </cell>
          <cell r="O1346">
            <v>13.5</v>
          </cell>
          <cell r="P1346">
            <v>42.2</v>
          </cell>
          <cell r="S1346">
            <v>35</v>
          </cell>
          <cell r="T1346">
            <v>37.700000000000003</v>
          </cell>
          <cell r="U1346">
            <v>2</v>
          </cell>
        </row>
        <row r="1347">
          <cell r="B1347" t="str">
            <v>Female</v>
          </cell>
          <cell r="F1347">
            <v>23</v>
          </cell>
          <cell r="G1347">
            <v>39</v>
          </cell>
          <cell r="H1347">
            <v>14.3</v>
          </cell>
          <cell r="I1347">
            <v>41</v>
          </cell>
          <cell r="J1347">
            <v>5</v>
          </cell>
          <cell r="K1347">
            <v>15</v>
          </cell>
          <cell r="L1347">
            <v>127.32</v>
          </cell>
          <cell r="M1347">
            <v>1</v>
          </cell>
          <cell r="N1347">
            <v>82.8</v>
          </cell>
          <cell r="O1347">
            <v>1.4</v>
          </cell>
          <cell r="P1347">
            <v>45.4</v>
          </cell>
          <cell r="S1347">
            <v>48.9</v>
          </cell>
          <cell r="T1347">
            <v>31.1</v>
          </cell>
          <cell r="U1347">
            <v>3</v>
          </cell>
        </row>
        <row r="1348">
          <cell r="B1348" t="str">
            <v>Female</v>
          </cell>
          <cell r="F1348">
            <v>4</v>
          </cell>
          <cell r="G1348">
            <v>13.1</v>
          </cell>
          <cell r="H1348">
            <v>1.2</v>
          </cell>
          <cell r="I1348">
            <v>76.900000000000006</v>
          </cell>
          <cell r="J1348">
            <v>2</v>
          </cell>
          <cell r="K1348">
            <v>1</v>
          </cell>
          <cell r="L1348">
            <v>78.3</v>
          </cell>
          <cell r="M1348">
            <v>40</v>
          </cell>
          <cell r="N1348">
            <v>43.2</v>
          </cell>
          <cell r="O1348">
            <v>3.6</v>
          </cell>
          <cell r="S1348">
            <v>13</v>
          </cell>
          <cell r="T1348">
            <v>4.5999999999999996</v>
          </cell>
          <cell r="U1348">
            <v>1</v>
          </cell>
        </row>
        <row r="1349">
          <cell r="B1349" t="str">
            <v>Female</v>
          </cell>
          <cell r="F1349">
            <v>12</v>
          </cell>
          <cell r="G1349">
            <v>35.700000000000003</v>
          </cell>
          <cell r="H1349">
            <v>10.5</v>
          </cell>
          <cell r="I1349">
            <v>65.599999999999994</v>
          </cell>
          <cell r="J1349">
            <v>4</v>
          </cell>
          <cell r="K1349">
            <v>16</v>
          </cell>
          <cell r="L1349">
            <v>142.59</v>
          </cell>
          <cell r="M1349">
            <v>46</v>
          </cell>
          <cell r="N1349">
            <v>16.600000000000001</v>
          </cell>
          <cell r="O1349">
            <v>2</v>
          </cell>
          <cell r="P1349">
            <v>13.5</v>
          </cell>
          <cell r="S1349">
            <v>28.4</v>
          </cell>
          <cell r="T1349">
            <v>20.6</v>
          </cell>
          <cell r="U1349">
            <v>4</v>
          </cell>
        </row>
        <row r="1350">
          <cell r="B1350" t="str">
            <v>Male</v>
          </cell>
          <cell r="F1350">
            <v>26</v>
          </cell>
          <cell r="G1350">
            <v>44.4</v>
          </cell>
          <cell r="H1350">
            <v>9.9</v>
          </cell>
          <cell r="I1350">
            <v>33.6</v>
          </cell>
          <cell r="J1350">
            <v>10</v>
          </cell>
          <cell r="K1350">
            <v>24</v>
          </cell>
          <cell r="L1350">
            <v>132.58000000000001</v>
          </cell>
          <cell r="M1350">
            <v>89</v>
          </cell>
          <cell r="N1350">
            <v>48.4</v>
          </cell>
          <cell r="O1350">
            <v>13.2</v>
          </cell>
          <cell r="P1350">
            <v>41.6</v>
          </cell>
          <cell r="S1350">
            <v>57.7</v>
          </cell>
          <cell r="T1350">
            <v>34</v>
          </cell>
          <cell r="U1350">
            <v>3</v>
          </cell>
        </row>
        <row r="1351">
          <cell r="B1351" t="str">
            <v>Male</v>
          </cell>
          <cell r="F1351">
            <v>17</v>
          </cell>
          <cell r="G1351">
            <v>19.2</v>
          </cell>
          <cell r="H1351">
            <v>12.1</v>
          </cell>
          <cell r="I1351">
            <v>48.6</v>
          </cell>
          <cell r="J1351">
            <v>6</v>
          </cell>
          <cell r="K1351">
            <v>8</v>
          </cell>
          <cell r="L1351">
            <v>94.67</v>
          </cell>
          <cell r="M1351">
            <v>43</v>
          </cell>
          <cell r="N1351">
            <v>34</v>
          </cell>
          <cell r="O1351">
            <v>2.6</v>
          </cell>
          <cell r="P1351">
            <v>14.3</v>
          </cell>
          <cell r="S1351">
            <v>49</v>
          </cell>
          <cell r="T1351">
            <v>19.8</v>
          </cell>
          <cell r="U1351">
            <v>1</v>
          </cell>
        </row>
        <row r="1352">
          <cell r="B1352" t="str">
            <v>Female</v>
          </cell>
          <cell r="F1352">
            <v>2</v>
          </cell>
          <cell r="G1352">
            <v>18.7</v>
          </cell>
          <cell r="H1352">
            <v>5.2</v>
          </cell>
          <cell r="I1352">
            <v>70.2</v>
          </cell>
          <cell r="J1352">
            <v>2</v>
          </cell>
          <cell r="K1352">
            <v>12</v>
          </cell>
          <cell r="L1352">
            <v>123.15</v>
          </cell>
          <cell r="M1352">
            <v>3</v>
          </cell>
          <cell r="N1352">
            <v>22.9</v>
          </cell>
          <cell r="O1352">
            <v>10</v>
          </cell>
          <cell r="P1352">
            <v>23.8</v>
          </cell>
          <cell r="S1352">
            <v>12.6</v>
          </cell>
          <cell r="T1352">
            <v>10.5</v>
          </cell>
          <cell r="U1352">
            <v>2</v>
          </cell>
        </row>
        <row r="1353">
          <cell r="B1353" t="str">
            <v>Male</v>
          </cell>
          <cell r="F1353">
            <v>13</v>
          </cell>
          <cell r="G1353">
            <v>34.5</v>
          </cell>
          <cell r="H1353">
            <v>6.5</v>
          </cell>
          <cell r="I1353">
            <v>63.1</v>
          </cell>
          <cell r="J1353">
            <v>4</v>
          </cell>
          <cell r="K1353" t="str">
            <v>15.600000000000001</v>
          </cell>
          <cell r="L1353">
            <v>116.13</v>
          </cell>
          <cell r="M1353">
            <v>5</v>
          </cell>
          <cell r="N1353">
            <v>43.08</v>
          </cell>
          <cell r="O1353">
            <v>7.7</v>
          </cell>
          <cell r="P1353">
            <v>32.700000000000003</v>
          </cell>
          <cell r="S1353">
            <v>75</v>
          </cell>
          <cell r="T1353">
            <v>30.3</v>
          </cell>
          <cell r="U1353">
            <v>3</v>
          </cell>
        </row>
        <row r="1354">
          <cell r="B1354" t="str">
            <v>Female</v>
          </cell>
          <cell r="F1354">
            <v>11</v>
          </cell>
          <cell r="G1354">
            <v>27.7</v>
          </cell>
          <cell r="H1354">
            <v>6.3</v>
          </cell>
          <cell r="I1354">
            <v>69.7</v>
          </cell>
          <cell r="J1354">
            <v>6</v>
          </cell>
          <cell r="K1354">
            <v>11</v>
          </cell>
          <cell r="L1354">
            <v>59.53</v>
          </cell>
          <cell r="M1354">
            <v>13</v>
          </cell>
          <cell r="N1354">
            <v>78.900000000000006</v>
          </cell>
          <cell r="P1354">
            <v>18.8</v>
          </cell>
          <cell r="S1354">
            <v>42.4</v>
          </cell>
          <cell r="U1354">
            <v>4</v>
          </cell>
        </row>
        <row r="1355">
          <cell r="B1355" t="str">
            <v>Male</v>
          </cell>
          <cell r="F1355">
            <v>24</v>
          </cell>
          <cell r="G1355">
            <v>40.799999999999997</v>
          </cell>
          <cell r="H1355">
            <v>8.9</v>
          </cell>
          <cell r="I1355">
            <v>16.399999999999999</v>
          </cell>
          <cell r="J1355">
            <v>8</v>
          </cell>
          <cell r="K1355">
            <v>22.1</v>
          </cell>
          <cell r="L1355">
            <v>109.65</v>
          </cell>
          <cell r="M1355">
            <v>30</v>
          </cell>
          <cell r="N1355">
            <v>34.799999999999997</v>
          </cell>
          <cell r="O1355">
            <v>1.3</v>
          </cell>
          <cell r="P1355">
            <v>26.8</v>
          </cell>
          <cell r="S1355">
            <v>73.5</v>
          </cell>
          <cell r="T1355">
            <v>27.5</v>
          </cell>
          <cell r="U1355">
            <v>2</v>
          </cell>
        </row>
        <row r="1356">
          <cell r="B1356" t="str">
            <v>Male</v>
          </cell>
          <cell r="F1356">
            <v>13</v>
          </cell>
          <cell r="G1356">
            <v>30.2</v>
          </cell>
          <cell r="H1356">
            <v>9.9</v>
          </cell>
          <cell r="I1356">
            <v>56</v>
          </cell>
          <cell r="J1356">
            <v>3</v>
          </cell>
          <cell r="K1356">
            <v>11</v>
          </cell>
          <cell r="L1356">
            <v>86.17</v>
          </cell>
          <cell r="M1356">
            <v>113</v>
          </cell>
          <cell r="N1356">
            <v>55.8</v>
          </cell>
          <cell r="O1356">
            <v>8.6</v>
          </cell>
          <cell r="P1356">
            <v>22.7</v>
          </cell>
          <cell r="S1356">
            <v>16.399999999999999</v>
          </cell>
          <cell r="T1356">
            <v>23.8</v>
          </cell>
          <cell r="U1356">
            <v>3</v>
          </cell>
        </row>
        <row r="1357">
          <cell r="B1357" t="str">
            <v>Female</v>
          </cell>
          <cell r="F1357">
            <v>10</v>
          </cell>
          <cell r="G1357">
            <v>30.2</v>
          </cell>
          <cell r="H1357">
            <v>16.899999999999999</v>
          </cell>
          <cell r="I1357">
            <v>35.200000000000003</v>
          </cell>
          <cell r="J1357">
            <v>3</v>
          </cell>
          <cell r="K1357">
            <v>12</v>
          </cell>
          <cell r="L1357">
            <v>84.95</v>
          </cell>
          <cell r="M1357">
            <v>4</v>
          </cell>
          <cell r="N1357">
            <v>52.4</v>
          </cell>
          <cell r="O1357">
            <v>10</v>
          </cell>
          <cell r="P1357">
            <v>32.5</v>
          </cell>
          <cell r="S1357">
            <v>58.4</v>
          </cell>
          <cell r="T1357">
            <v>15.9</v>
          </cell>
          <cell r="U1357">
            <v>2</v>
          </cell>
        </row>
        <row r="1358">
          <cell r="B1358" t="str">
            <v>Female</v>
          </cell>
          <cell r="F1358">
            <v>0</v>
          </cell>
          <cell r="H1358">
            <v>5.0999999999999996</v>
          </cell>
          <cell r="I1358">
            <v>61.8</v>
          </cell>
          <cell r="J1358">
            <v>2</v>
          </cell>
          <cell r="K1358">
            <v>4</v>
          </cell>
          <cell r="L1358">
            <v>48.21</v>
          </cell>
          <cell r="M1358">
            <v>8</v>
          </cell>
          <cell r="N1358">
            <v>22.9</v>
          </cell>
          <cell r="P1358">
            <v>6.5</v>
          </cell>
          <cell r="S1358">
            <v>3.2</v>
          </cell>
          <cell r="T1358">
            <v>3.8</v>
          </cell>
          <cell r="U1358">
            <v>1</v>
          </cell>
        </row>
        <row r="1359">
          <cell r="B1359" t="str">
            <v>Female</v>
          </cell>
          <cell r="F1359">
            <v>17</v>
          </cell>
          <cell r="G1359">
            <v>42.3</v>
          </cell>
          <cell r="H1359">
            <v>10.5</v>
          </cell>
          <cell r="I1359">
            <v>39.5</v>
          </cell>
          <cell r="J1359">
            <v>3</v>
          </cell>
          <cell r="K1359">
            <v>21</v>
          </cell>
          <cell r="L1359">
            <v>109.13</v>
          </cell>
          <cell r="M1359">
            <v>2</v>
          </cell>
          <cell r="N1359">
            <v>48</v>
          </cell>
          <cell r="O1359">
            <v>4.8</v>
          </cell>
          <cell r="P1359">
            <v>44</v>
          </cell>
          <cell r="S1359">
            <v>32.1</v>
          </cell>
        </row>
        <row r="1360">
          <cell r="B1360" t="str">
            <v>Male</v>
          </cell>
          <cell r="F1360">
            <v>14</v>
          </cell>
          <cell r="G1360">
            <v>32.6</v>
          </cell>
          <cell r="H1360">
            <v>12</v>
          </cell>
          <cell r="I1360">
            <v>56.4</v>
          </cell>
          <cell r="J1360">
            <v>4</v>
          </cell>
          <cell r="K1360">
            <v>13</v>
          </cell>
          <cell r="L1360">
            <v>150.30000000000001</v>
          </cell>
          <cell r="M1360">
            <v>4</v>
          </cell>
          <cell r="N1360">
            <v>10.4</v>
          </cell>
          <cell r="O1360">
            <v>5.0999999999999996</v>
          </cell>
          <cell r="P1360">
            <v>24</v>
          </cell>
          <cell r="S1360">
            <v>20.2</v>
          </cell>
          <cell r="T1360">
            <v>20.100000000000001</v>
          </cell>
          <cell r="U1360">
            <v>2</v>
          </cell>
        </row>
        <row r="1361">
          <cell r="B1361" t="str">
            <v>Male</v>
          </cell>
          <cell r="F1361">
            <v>11</v>
          </cell>
          <cell r="G1361">
            <v>20.5</v>
          </cell>
          <cell r="H1361">
            <v>6.2</v>
          </cell>
          <cell r="I1361">
            <v>76.8</v>
          </cell>
          <cell r="J1361">
            <v>5</v>
          </cell>
          <cell r="K1361">
            <v>10.4</v>
          </cell>
          <cell r="L1361">
            <v>161.49</v>
          </cell>
          <cell r="M1361">
            <v>37</v>
          </cell>
          <cell r="N1361" t="str">
            <v>50.879999999999995</v>
          </cell>
          <cell r="O1361">
            <v>10.1</v>
          </cell>
          <cell r="P1361">
            <v>19.600000000000001</v>
          </cell>
          <cell r="S1361">
            <v>44.6</v>
          </cell>
          <cell r="T1361">
            <v>10</v>
          </cell>
          <cell r="U1361">
            <v>2</v>
          </cell>
        </row>
        <row r="1362">
          <cell r="B1362" t="str">
            <v>Male</v>
          </cell>
          <cell r="F1362">
            <v>15</v>
          </cell>
          <cell r="G1362">
            <v>33</v>
          </cell>
          <cell r="H1362">
            <v>14.5</v>
          </cell>
          <cell r="I1362">
            <v>37.6</v>
          </cell>
          <cell r="J1362">
            <v>5</v>
          </cell>
          <cell r="K1362">
            <v>16</v>
          </cell>
          <cell r="L1362">
            <v>84.65</v>
          </cell>
          <cell r="M1362">
            <v>1</v>
          </cell>
          <cell r="N1362">
            <v>31.8</v>
          </cell>
          <cell r="O1362">
            <v>1.4</v>
          </cell>
          <cell r="P1362">
            <v>26.7</v>
          </cell>
          <cell r="S1362">
            <v>30.5</v>
          </cell>
          <cell r="T1362">
            <v>31.3</v>
          </cell>
        </row>
        <row r="1363">
          <cell r="B1363" t="str">
            <v>Male</v>
          </cell>
          <cell r="F1363">
            <v>18</v>
          </cell>
          <cell r="G1363">
            <v>39.1</v>
          </cell>
          <cell r="H1363">
            <v>11.6</v>
          </cell>
          <cell r="I1363">
            <v>30.2</v>
          </cell>
          <cell r="J1363">
            <v>10</v>
          </cell>
          <cell r="K1363">
            <v>14</v>
          </cell>
          <cell r="L1363">
            <v>255.64</v>
          </cell>
          <cell r="M1363">
            <v>37</v>
          </cell>
          <cell r="N1363">
            <v>74.400000000000006</v>
          </cell>
          <cell r="O1363">
            <v>9.4</v>
          </cell>
          <cell r="P1363">
            <v>45.1</v>
          </cell>
          <cell r="S1363">
            <v>32.5</v>
          </cell>
          <cell r="T1363">
            <v>36.9</v>
          </cell>
          <cell r="U1363">
            <v>4</v>
          </cell>
        </row>
        <row r="1364">
          <cell r="B1364" t="str">
            <v>Male</v>
          </cell>
          <cell r="F1364">
            <v>14</v>
          </cell>
          <cell r="G1364">
            <v>20</v>
          </cell>
          <cell r="H1364">
            <v>8</v>
          </cell>
          <cell r="I1364">
            <v>41.9</v>
          </cell>
          <cell r="J1364">
            <v>5</v>
          </cell>
          <cell r="K1364">
            <v>10</v>
          </cell>
          <cell r="L1364">
            <v>46.16</v>
          </cell>
          <cell r="M1364">
            <v>3</v>
          </cell>
          <cell r="N1364">
            <v>66.7</v>
          </cell>
          <cell r="O1364">
            <v>7.9</v>
          </cell>
          <cell r="P1364">
            <v>18.100000000000001</v>
          </cell>
          <cell r="S1364">
            <v>32.6</v>
          </cell>
          <cell r="T1364">
            <v>17</v>
          </cell>
          <cell r="U1364">
            <v>2</v>
          </cell>
        </row>
        <row r="1365">
          <cell r="B1365" t="str">
            <v>Male</v>
          </cell>
          <cell r="F1365">
            <v>3</v>
          </cell>
          <cell r="G1365">
            <v>17.899999999999999</v>
          </cell>
          <cell r="H1365">
            <v>6.5</v>
          </cell>
          <cell r="I1365">
            <v>62.1</v>
          </cell>
          <cell r="K1365">
            <v>7</v>
          </cell>
          <cell r="L1365">
            <v>176.21</v>
          </cell>
          <cell r="M1365">
            <v>46</v>
          </cell>
          <cell r="N1365">
            <v>35.799999999999997</v>
          </cell>
          <cell r="O1365">
            <v>5.6</v>
          </cell>
          <cell r="P1365">
            <v>17.2</v>
          </cell>
          <cell r="S1365">
            <v>1.1000000000000001</v>
          </cell>
          <cell r="T1365">
            <v>17.2</v>
          </cell>
          <cell r="U1365">
            <v>2</v>
          </cell>
        </row>
        <row r="1366">
          <cell r="B1366" t="str">
            <v>Male</v>
          </cell>
          <cell r="F1366">
            <v>31</v>
          </cell>
          <cell r="G1366">
            <v>50.3</v>
          </cell>
          <cell r="H1366">
            <v>16.2</v>
          </cell>
          <cell r="I1366">
            <v>37.799999999999997</v>
          </cell>
          <cell r="J1366">
            <v>11</v>
          </cell>
          <cell r="K1366">
            <v>21</v>
          </cell>
          <cell r="L1366">
            <v>131.61000000000001</v>
          </cell>
          <cell r="M1366">
            <v>10</v>
          </cell>
          <cell r="N1366">
            <v>51.2</v>
          </cell>
          <cell r="O1366">
            <v>3.4</v>
          </cell>
          <cell r="P1366">
            <v>41.1</v>
          </cell>
          <cell r="S1366">
            <v>39.6</v>
          </cell>
          <cell r="T1366">
            <v>41.5</v>
          </cell>
          <cell r="U1366">
            <v>1</v>
          </cell>
        </row>
        <row r="1367">
          <cell r="B1367" t="str">
            <v>Female</v>
          </cell>
          <cell r="F1367">
            <v>18</v>
          </cell>
          <cell r="G1367">
            <v>20.2</v>
          </cell>
          <cell r="H1367">
            <v>10.8</v>
          </cell>
          <cell r="I1367">
            <v>62.8</v>
          </cell>
          <cell r="J1367">
            <v>6</v>
          </cell>
          <cell r="K1367">
            <v>11</v>
          </cell>
          <cell r="L1367">
            <v>121.07</v>
          </cell>
          <cell r="M1367">
            <v>34</v>
          </cell>
          <cell r="N1367">
            <v>44.2</v>
          </cell>
          <cell r="O1367">
            <v>4.5</v>
          </cell>
          <cell r="P1367">
            <v>15</v>
          </cell>
          <cell r="S1367">
            <v>52</v>
          </cell>
          <cell r="T1367">
            <v>19.899999999999999</v>
          </cell>
          <cell r="U1367">
            <v>1</v>
          </cell>
        </row>
        <row r="1368">
          <cell r="B1368" t="str">
            <v>Male</v>
          </cell>
          <cell r="F1368">
            <v>17</v>
          </cell>
          <cell r="G1368">
            <v>44.4</v>
          </cell>
          <cell r="H1368">
            <v>11.2</v>
          </cell>
          <cell r="I1368">
            <v>56.5</v>
          </cell>
          <cell r="J1368">
            <v>7</v>
          </cell>
          <cell r="K1368">
            <v>17</v>
          </cell>
          <cell r="L1368">
            <v>180.08</v>
          </cell>
          <cell r="M1368">
            <v>31</v>
          </cell>
          <cell r="O1368">
            <v>5.7</v>
          </cell>
          <cell r="P1368">
            <v>36.5</v>
          </cell>
          <cell r="S1368">
            <v>42.1</v>
          </cell>
          <cell r="T1368">
            <v>20.7</v>
          </cell>
          <cell r="U1368">
            <v>2</v>
          </cell>
        </row>
        <row r="1369">
          <cell r="B1369" t="str">
            <v>Male</v>
          </cell>
          <cell r="F1369">
            <v>9</v>
          </cell>
          <cell r="H1369">
            <v>6.9</v>
          </cell>
          <cell r="I1369">
            <v>67.099999999999994</v>
          </cell>
          <cell r="J1369">
            <v>3</v>
          </cell>
          <cell r="K1369" t="str">
            <v>11.700000000000001</v>
          </cell>
          <cell r="L1369">
            <v>137.16</v>
          </cell>
          <cell r="M1369">
            <v>19</v>
          </cell>
          <cell r="N1369">
            <v>56.52</v>
          </cell>
          <cell r="O1369">
            <v>16.5</v>
          </cell>
          <cell r="P1369">
            <v>0</v>
          </cell>
          <cell r="S1369">
            <v>0</v>
          </cell>
          <cell r="T1369">
            <v>13.4</v>
          </cell>
          <cell r="U1369">
            <v>4</v>
          </cell>
        </row>
        <row r="1370">
          <cell r="B1370" t="str">
            <v>Female</v>
          </cell>
          <cell r="F1370">
            <v>10</v>
          </cell>
          <cell r="G1370">
            <v>37.200000000000003</v>
          </cell>
          <cell r="H1370">
            <v>13</v>
          </cell>
          <cell r="I1370">
            <v>49.9</v>
          </cell>
          <cell r="J1370">
            <v>9</v>
          </cell>
          <cell r="K1370">
            <v>17</v>
          </cell>
          <cell r="L1370">
            <v>169.33</v>
          </cell>
          <cell r="M1370">
            <v>37</v>
          </cell>
          <cell r="N1370">
            <v>50.7</v>
          </cell>
          <cell r="O1370">
            <v>4.5</v>
          </cell>
          <cell r="P1370">
            <v>27.5</v>
          </cell>
          <cell r="S1370">
            <v>47.9</v>
          </cell>
          <cell r="T1370">
            <v>22.4</v>
          </cell>
          <cell r="U1370">
            <v>1</v>
          </cell>
        </row>
        <row r="1371">
          <cell r="B1371" t="str">
            <v>Male</v>
          </cell>
          <cell r="F1371">
            <v>3</v>
          </cell>
          <cell r="G1371">
            <v>28.3</v>
          </cell>
          <cell r="H1371">
            <v>3.4</v>
          </cell>
          <cell r="I1371">
            <v>70.400000000000006</v>
          </cell>
          <cell r="J1371">
            <v>1</v>
          </cell>
          <cell r="K1371">
            <v>13</v>
          </cell>
          <cell r="L1371">
            <v>135.52000000000001</v>
          </cell>
          <cell r="M1371">
            <v>5</v>
          </cell>
          <cell r="N1371">
            <v>25.5</v>
          </cell>
          <cell r="O1371">
            <v>3.5</v>
          </cell>
          <cell r="P1371">
            <v>10.4</v>
          </cell>
          <cell r="S1371">
            <v>5.7</v>
          </cell>
          <cell r="T1371">
            <v>10.3</v>
          </cell>
          <cell r="U1371">
            <v>4</v>
          </cell>
        </row>
        <row r="1372">
          <cell r="B1372" t="str">
            <v>Female</v>
          </cell>
          <cell r="F1372">
            <v>11</v>
          </cell>
          <cell r="G1372">
            <v>23.5</v>
          </cell>
          <cell r="H1372">
            <v>9.1999999999999993</v>
          </cell>
          <cell r="I1372">
            <v>60.8</v>
          </cell>
          <cell r="J1372">
            <v>4</v>
          </cell>
          <cell r="K1372">
            <v>14</v>
          </cell>
          <cell r="L1372">
            <v>147.68</v>
          </cell>
          <cell r="M1372">
            <v>36</v>
          </cell>
          <cell r="N1372">
            <v>17.100000000000001</v>
          </cell>
          <cell r="O1372">
            <v>8.1</v>
          </cell>
          <cell r="P1372">
            <v>6.7</v>
          </cell>
          <cell r="S1372">
            <v>7.3</v>
          </cell>
          <cell r="T1372">
            <v>10.5</v>
          </cell>
          <cell r="U1372">
            <v>3</v>
          </cell>
        </row>
        <row r="1373">
          <cell r="B1373" t="str">
            <v>Female</v>
          </cell>
          <cell r="F1373">
            <v>6</v>
          </cell>
          <cell r="I1373">
            <v>65.599999999999994</v>
          </cell>
          <cell r="J1373">
            <v>3</v>
          </cell>
          <cell r="K1373">
            <v>6.5</v>
          </cell>
          <cell r="L1373">
            <v>139.87</v>
          </cell>
          <cell r="M1373">
            <v>58</v>
          </cell>
          <cell r="N1373">
            <v>78.959999999999994</v>
          </cell>
          <cell r="O1373">
            <v>3.4</v>
          </cell>
          <cell r="P1373">
            <v>8.6999999999999993</v>
          </cell>
          <cell r="S1373">
            <v>4.4000000000000004</v>
          </cell>
          <cell r="U1373">
            <v>2</v>
          </cell>
        </row>
        <row r="1374">
          <cell r="B1374" t="str">
            <v>Female</v>
          </cell>
          <cell r="F1374">
            <v>1</v>
          </cell>
          <cell r="G1374">
            <v>26.8</v>
          </cell>
          <cell r="H1374">
            <v>1</v>
          </cell>
          <cell r="I1374">
            <v>49.5</v>
          </cell>
          <cell r="J1374">
            <v>0</v>
          </cell>
          <cell r="K1374">
            <v>6</v>
          </cell>
          <cell r="L1374">
            <v>115.19</v>
          </cell>
          <cell r="M1374">
            <v>10</v>
          </cell>
          <cell r="O1374">
            <v>6.7</v>
          </cell>
          <cell r="P1374">
            <v>0</v>
          </cell>
          <cell r="S1374">
            <v>12.4</v>
          </cell>
          <cell r="U1374">
            <v>2</v>
          </cell>
        </row>
        <row r="1375">
          <cell r="B1375" t="str">
            <v>Male</v>
          </cell>
          <cell r="F1375">
            <v>18</v>
          </cell>
          <cell r="G1375">
            <v>39.299999999999997</v>
          </cell>
          <cell r="H1375">
            <v>14.6</v>
          </cell>
          <cell r="I1375">
            <v>17.7</v>
          </cell>
          <cell r="J1375">
            <v>4</v>
          </cell>
          <cell r="K1375">
            <v>20.8</v>
          </cell>
          <cell r="L1375">
            <v>124.62</v>
          </cell>
          <cell r="M1375">
            <v>17</v>
          </cell>
          <cell r="N1375">
            <v>58.92</v>
          </cell>
          <cell r="O1375">
            <v>10.6</v>
          </cell>
          <cell r="P1375">
            <v>45.5</v>
          </cell>
          <cell r="S1375">
            <v>73.3</v>
          </cell>
          <cell r="T1375">
            <v>31.5</v>
          </cell>
          <cell r="U1375">
            <v>2</v>
          </cell>
        </row>
        <row r="1376">
          <cell r="B1376" t="str">
            <v>Female</v>
          </cell>
          <cell r="F1376">
            <v>0</v>
          </cell>
          <cell r="G1376">
            <v>12.8</v>
          </cell>
          <cell r="H1376">
            <v>3.2</v>
          </cell>
          <cell r="I1376">
            <v>84.5</v>
          </cell>
          <cell r="J1376">
            <v>0</v>
          </cell>
          <cell r="K1376">
            <v>6</v>
          </cell>
          <cell r="L1376">
            <v>108.53</v>
          </cell>
          <cell r="M1376">
            <v>21</v>
          </cell>
          <cell r="N1376">
            <v>40.200000000000003</v>
          </cell>
          <cell r="O1376">
            <v>2.5</v>
          </cell>
          <cell r="P1376">
            <v>0</v>
          </cell>
          <cell r="S1376">
            <v>0</v>
          </cell>
          <cell r="T1376">
            <v>3.6</v>
          </cell>
          <cell r="U1376">
            <v>4</v>
          </cell>
        </row>
        <row r="1377">
          <cell r="B1377" t="str">
            <v>Male</v>
          </cell>
          <cell r="F1377">
            <v>22</v>
          </cell>
          <cell r="G1377">
            <v>39.4</v>
          </cell>
          <cell r="H1377">
            <v>8.9</v>
          </cell>
          <cell r="I1377">
            <v>21.8</v>
          </cell>
          <cell r="J1377">
            <v>2</v>
          </cell>
          <cell r="K1377" t="str">
            <v>29.900000000000002</v>
          </cell>
          <cell r="L1377">
            <v>172.41</v>
          </cell>
          <cell r="M1377">
            <v>33</v>
          </cell>
          <cell r="N1377">
            <v>27.96</v>
          </cell>
          <cell r="O1377">
            <v>18.399999999999999</v>
          </cell>
          <cell r="P1377">
            <v>26.8</v>
          </cell>
          <cell r="U1377">
            <v>3</v>
          </cell>
        </row>
        <row r="1378">
          <cell r="B1378" t="str">
            <v>Male</v>
          </cell>
          <cell r="F1378">
            <v>5</v>
          </cell>
          <cell r="G1378">
            <v>19.2</v>
          </cell>
          <cell r="H1378">
            <v>7.6</v>
          </cell>
          <cell r="I1378">
            <v>61.5</v>
          </cell>
          <cell r="J1378">
            <v>4</v>
          </cell>
          <cell r="K1378">
            <v>91</v>
          </cell>
          <cell r="L1378">
            <v>144.46</v>
          </cell>
          <cell r="M1378">
            <v>50</v>
          </cell>
          <cell r="N1378">
            <v>82.5</v>
          </cell>
          <cell r="O1378" t="str">
            <v>99.22080175503413</v>
          </cell>
          <cell r="P1378">
            <v>21.4</v>
          </cell>
          <cell r="S1378">
            <v>16.3</v>
          </cell>
          <cell r="T1378">
            <v>9.3000000000000007</v>
          </cell>
          <cell r="U1378">
            <v>2</v>
          </cell>
        </row>
        <row r="1379">
          <cell r="B1379" t="str">
            <v>Male</v>
          </cell>
          <cell r="F1379">
            <v>18</v>
          </cell>
          <cell r="G1379">
            <v>33.200000000000003</v>
          </cell>
          <cell r="H1379">
            <v>11.5</v>
          </cell>
          <cell r="I1379">
            <v>31.8</v>
          </cell>
          <cell r="K1379">
            <v>15</v>
          </cell>
          <cell r="L1379">
            <v>86.02</v>
          </cell>
          <cell r="M1379">
            <v>106</v>
          </cell>
          <cell r="N1379">
            <v>27.7</v>
          </cell>
          <cell r="O1379">
            <v>2.6</v>
          </cell>
          <cell r="P1379">
            <v>20.8</v>
          </cell>
          <cell r="S1379">
            <v>20.3</v>
          </cell>
          <cell r="U1379">
            <v>4</v>
          </cell>
        </row>
        <row r="1380">
          <cell r="B1380" t="str">
            <v>Male</v>
          </cell>
          <cell r="F1380">
            <v>1</v>
          </cell>
          <cell r="G1380">
            <v>8.5</v>
          </cell>
          <cell r="H1380">
            <v>1</v>
          </cell>
          <cell r="I1380">
            <v>61.7</v>
          </cell>
          <cell r="J1380">
            <v>1</v>
          </cell>
          <cell r="K1380">
            <v>7</v>
          </cell>
          <cell r="L1380">
            <v>76.12</v>
          </cell>
          <cell r="M1380">
            <v>87</v>
          </cell>
          <cell r="N1380">
            <v>39.200000000000003</v>
          </cell>
          <cell r="O1380">
            <v>13.2</v>
          </cell>
          <cell r="P1380">
            <v>2.2999999999999998</v>
          </cell>
          <cell r="S1380">
            <v>12</v>
          </cell>
          <cell r="T1380">
            <v>2.1</v>
          </cell>
          <cell r="U1380">
            <v>5</v>
          </cell>
        </row>
        <row r="1381">
          <cell r="B1381" t="str">
            <v>Male</v>
          </cell>
          <cell r="F1381">
            <v>13</v>
          </cell>
          <cell r="G1381">
            <v>39.6</v>
          </cell>
          <cell r="H1381">
            <v>11.9</v>
          </cell>
          <cell r="I1381">
            <v>49.8</v>
          </cell>
          <cell r="K1381">
            <v>15</v>
          </cell>
          <cell r="L1381">
            <v>183.26</v>
          </cell>
          <cell r="M1381">
            <v>149</v>
          </cell>
          <cell r="N1381">
            <v>21</v>
          </cell>
          <cell r="O1381">
            <v>10.8</v>
          </cell>
          <cell r="P1381">
            <v>25.4</v>
          </cell>
          <cell r="S1381">
            <v>17.100000000000001</v>
          </cell>
          <cell r="U1381">
            <v>1</v>
          </cell>
        </row>
        <row r="1382">
          <cell r="B1382" t="str">
            <v>Female</v>
          </cell>
          <cell r="F1382">
            <v>10</v>
          </cell>
          <cell r="G1382">
            <v>13.6</v>
          </cell>
          <cell r="H1382">
            <v>6.7</v>
          </cell>
          <cell r="I1382">
            <v>69.900000000000006</v>
          </cell>
          <cell r="J1382">
            <v>1</v>
          </cell>
          <cell r="K1382">
            <v>12</v>
          </cell>
          <cell r="L1382">
            <v>93.14</v>
          </cell>
          <cell r="M1382">
            <v>8</v>
          </cell>
          <cell r="N1382">
            <v>6.2</v>
          </cell>
          <cell r="O1382">
            <v>3.2</v>
          </cell>
          <cell r="P1382">
            <v>10.9</v>
          </cell>
          <cell r="S1382">
            <v>31</v>
          </cell>
          <cell r="T1382">
            <v>8.8000000000000007</v>
          </cell>
          <cell r="U1382">
            <v>1</v>
          </cell>
        </row>
        <row r="1383">
          <cell r="B1383" t="str">
            <v>Female</v>
          </cell>
          <cell r="F1383">
            <v>26</v>
          </cell>
          <cell r="G1383">
            <v>45.5</v>
          </cell>
          <cell r="I1383">
            <v>42.2</v>
          </cell>
          <cell r="J1383">
            <v>4</v>
          </cell>
          <cell r="K1383">
            <v>17</v>
          </cell>
          <cell r="L1383">
            <v>142.16999999999999</v>
          </cell>
          <cell r="M1383">
            <v>26</v>
          </cell>
          <cell r="N1383">
            <v>17.7</v>
          </cell>
          <cell r="O1383">
            <v>2.2000000000000002</v>
          </cell>
          <cell r="P1383">
            <v>48.2</v>
          </cell>
          <cell r="T1383">
            <v>35.4</v>
          </cell>
          <cell r="U1383">
            <v>1</v>
          </cell>
        </row>
        <row r="1384">
          <cell r="B1384" t="str">
            <v>Male</v>
          </cell>
          <cell r="F1384">
            <v>13</v>
          </cell>
          <cell r="G1384">
            <v>20.6</v>
          </cell>
          <cell r="H1384">
            <v>5</v>
          </cell>
          <cell r="I1384">
            <v>84.4</v>
          </cell>
          <cell r="J1384">
            <v>2</v>
          </cell>
          <cell r="K1384">
            <v>14</v>
          </cell>
          <cell r="L1384">
            <v>191.14</v>
          </cell>
          <cell r="M1384">
            <v>81</v>
          </cell>
          <cell r="N1384">
            <v>33.5</v>
          </cell>
          <cell r="O1384">
            <v>0.4</v>
          </cell>
          <cell r="P1384">
            <v>8</v>
          </cell>
          <cell r="S1384">
            <v>42.9</v>
          </cell>
          <cell r="T1384">
            <v>14.6</v>
          </cell>
          <cell r="U1384">
            <v>2</v>
          </cell>
        </row>
        <row r="1385">
          <cell r="B1385" t="str">
            <v>Male</v>
          </cell>
          <cell r="F1385">
            <v>20</v>
          </cell>
          <cell r="G1385">
            <v>41.7</v>
          </cell>
          <cell r="H1385">
            <v>13.4</v>
          </cell>
          <cell r="I1385">
            <v>31.9</v>
          </cell>
          <cell r="J1385">
            <v>7</v>
          </cell>
          <cell r="K1385">
            <v>17</v>
          </cell>
          <cell r="L1385">
            <v>77.88</v>
          </cell>
          <cell r="N1385">
            <v>53.5</v>
          </cell>
          <cell r="O1385">
            <v>6.9</v>
          </cell>
          <cell r="P1385">
            <v>42.6</v>
          </cell>
          <cell r="S1385">
            <v>41.6</v>
          </cell>
          <cell r="T1385">
            <v>30.1</v>
          </cell>
          <cell r="U1385">
            <v>2</v>
          </cell>
        </row>
        <row r="1386">
          <cell r="B1386" t="str">
            <v>Male</v>
          </cell>
          <cell r="F1386">
            <v>5</v>
          </cell>
          <cell r="G1386">
            <v>7.9</v>
          </cell>
          <cell r="H1386">
            <v>2.6</v>
          </cell>
          <cell r="I1386">
            <v>72.900000000000006</v>
          </cell>
          <cell r="J1386">
            <v>0</v>
          </cell>
          <cell r="K1386">
            <v>8</v>
          </cell>
          <cell r="L1386">
            <v>128.94999999999999</v>
          </cell>
          <cell r="M1386">
            <v>23</v>
          </cell>
          <cell r="N1386">
            <v>54.8</v>
          </cell>
          <cell r="O1386">
            <v>1</v>
          </cell>
          <cell r="P1386">
            <v>22.4</v>
          </cell>
          <cell r="S1386">
            <v>29.9</v>
          </cell>
          <cell r="T1386">
            <v>11.6</v>
          </cell>
          <cell r="U1386">
            <v>2</v>
          </cell>
        </row>
        <row r="1387">
          <cell r="B1387" t="str">
            <v>Male</v>
          </cell>
          <cell r="F1387">
            <v>14</v>
          </cell>
          <cell r="G1387">
            <v>29.5</v>
          </cell>
          <cell r="H1387">
            <v>10.9</v>
          </cell>
          <cell r="I1387">
            <v>52.2</v>
          </cell>
          <cell r="J1387">
            <v>10</v>
          </cell>
          <cell r="K1387">
            <v>19.5</v>
          </cell>
          <cell r="L1387">
            <v>222.92</v>
          </cell>
          <cell r="M1387">
            <v>67</v>
          </cell>
          <cell r="O1387">
            <v>30</v>
          </cell>
          <cell r="P1387">
            <v>39.700000000000003</v>
          </cell>
          <cell r="S1387">
            <v>41</v>
          </cell>
          <cell r="U1387">
            <v>3</v>
          </cell>
        </row>
        <row r="1388">
          <cell r="B1388" t="str">
            <v>Male</v>
          </cell>
          <cell r="F1388">
            <v>24</v>
          </cell>
          <cell r="G1388">
            <v>37.5</v>
          </cell>
          <cell r="H1388">
            <v>13.9</v>
          </cell>
          <cell r="I1388">
            <v>15.8</v>
          </cell>
          <cell r="K1388" t="str">
            <v>29.900000000000002</v>
          </cell>
          <cell r="L1388">
            <v>133.72</v>
          </cell>
          <cell r="M1388">
            <v>13</v>
          </cell>
          <cell r="N1388">
            <v>82.68</v>
          </cell>
          <cell r="O1388">
            <v>4.0999999999999996</v>
          </cell>
          <cell r="P1388">
            <v>52.8</v>
          </cell>
          <cell r="S1388">
            <v>51.8</v>
          </cell>
          <cell r="T1388">
            <v>26.2</v>
          </cell>
          <cell r="U1388">
            <v>1</v>
          </cell>
        </row>
        <row r="1389">
          <cell r="B1389" t="str">
            <v>Male</v>
          </cell>
          <cell r="F1389">
            <v>16</v>
          </cell>
          <cell r="G1389">
            <v>33.299999999999997</v>
          </cell>
          <cell r="H1389">
            <v>12.3</v>
          </cell>
          <cell r="I1389">
            <v>42.7</v>
          </cell>
          <cell r="J1389">
            <v>7</v>
          </cell>
          <cell r="K1389">
            <v>18</v>
          </cell>
          <cell r="L1389">
            <v>69.650000000000006</v>
          </cell>
          <cell r="M1389">
            <v>6</v>
          </cell>
          <cell r="N1389">
            <v>46.5</v>
          </cell>
          <cell r="P1389">
            <v>47.5</v>
          </cell>
          <cell r="S1389">
            <v>43.3</v>
          </cell>
          <cell r="T1389">
            <v>29.6</v>
          </cell>
          <cell r="U1389">
            <v>1</v>
          </cell>
        </row>
        <row r="1390">
          <cell r="B1390" t="str">
            <v>Female</v>
          </cell>
          <cell r="F1390">
            <v>15</v>
          </cell>
          <cell r="G1390">
            <v>26.3</v>
          </cell>
          <cell r="H1390">
            <v>8.9</v>
          </cell>
          <cell r="I1390">
            <v>65.7</v>
          </cell>
          <cell r="J1390">
            <v>6</v>
          </cell>
          <cell r="K1390">
            <v>18</v>
          </cell>
          <cell r="L1390">
            <v>76.31</v>
          </cell>
          <cell r="M1390">
            <v>9</v>
          </cell>
          <cell r="N1390">
            <v>74.099999999999994</v>
          </cell>
          <cell r="O1390">
            <v>15.5</v>
          </cell>
          <cell r="P1390">
            <v>30.1</v>
          </cell>
          <cell r="T1390">
            <v>9.9</v>
          </cell>
          <cell r="U1390">
            <v>2</v>
          </cell>
        </row>
        <row r="1391">
          <cell r="B1391" t="str">
            <v>Female</v>
          </cell>
          <cell r="F1391">
            <v>21</v>
          </cell>
          <cell r="G1391">
            <v>27.1</v>
          </cell>
          <cell r="H1391">
            <v>9.9</v>
          </cell>
          <cell r="I1391">
            <v>49.1</v>
          </cell>
          <cell r="J1391">
            <v>3</v>
          </cell>
          <cell r="K1391">
            <v>13</v>
          </cell>
          <cell r="L1391">
            <v>177.44</v>
          </cell>
          <cell r="M1391">
            <v>34</v>
          </cell>
          <cell r="N1391">
            <v>16.3</v>
          </cell>
          <cell r="P1391">
            <v>27.4</v>
          </cell>
          <cell r="S1391">
            <v>24.1</v>
          </cell>
          <cell r="T1391">
            <v>26.7</v>
          </cell>
          <cell r="U1391">
            <v>2</v>
          </cell>
        </row>
        <row r="1392">
          <cell r="B1392" t="str">
            <v>Male</v>
          </cell>
          <cell r="F1392">
            <v>12</v>
          </cell>
          <cell r="G1392">
            <v>15.7</v>
          </cell>
          <cell r="H1392">
            <v>4.5999999999999996</v>
          </cell>
          <cell r="I1392">
            <v>73.400000000000006</v>
          </cell>
          <cell r="J1392">
            <v>0</v>
          </cell>
          <cell r="K1392">
            <v>9</v>
          </cell>
          <cell r="L1392">
            <v>182.31</v>
          </cell>
          <cell r="M1392">
            <v>35</v>
          </cell>
          <cell r="N1392">
            <v>17.399999999999999</v>
          </cell>
          <cell r="O1392">
            <v>6.3</v>
          </cell>
          <cell r="P1392">
            <v>2.9</v>
          </cell>
          <cell r="S1392">
            <v>0</v>
          </cell>
          <cell r="T1392">
            <v>10.5</v>
          </cell>
          <cell r="U1392">
            <v>1</v>
          </cell>
        </row>
        <row r="1393">
          <cell r="B1393" t="str">
            <v>Male</v>
          </cell>
          <cell r="F1393">
            <v>0</v>
          </cell>
          <cell r="G1393">
            <v>7.7</v>
          </cell>
          <cell r="H1393">
            <v>4.5</v>
          </cell>
          <cell r="I1393">
            <v>78.8</v>
          </cell>
          <cell r="J1393">
            <v>2</v>
          </cell>
          <cell r="K1393">
            <v>1</v>
          </cell>
          <cell r="L1393">
            <v>171.05</v>
          </cell>
          <cell r="M1393">
            <v>66</v>
          </cell>
          <cell r="N1393">
            <v>58.3</v>
          </cell>
          <cell r="O1393">
            <v>2.1</v>
          </cell>
          <cell r="P1393">
            <v>0</v>
          </cell>
          <cell r="S1393">
            <v>0</v>
          </cell>
          <cell r="T1393">
            <v>0</v>
          </cell>
          <cell r="U1393">
            <v>1</v>
          </cell>
        </row>
        <row r="1394">
          <cell r="B1394" t="str">
            <v>Male</v>
          </cell>
          <cell r="F1394">
            <v>15</v>
          </cell>
          <cell r="G1394">
            <v>30.7</v>
          </cell>
          <cell r="H1394">
            <v>12.3</v>
          </cell>
          <cell r="I1394">
            <v>43.1</v>
          </cell>
          <cell r="K1394">
            <v>13</v>
          </cell>
          <cell r="L1394">
            <v>145.13</v>
          </cell>
          <cell r="M1394">
            <v>29</v>
          </cell>
          <cell r="N1394">
            <v>37.32</v>
          </cell>
          <cell r="O1394">
            <v>6.2</v>
          </cell>
          <cell r="P1394">
            <v>32.200000000000003</v>
          </cell>
          <cell r="S1394">
            <v>5.2</v>
          </cell>
          <cell r="T1394">
            <v>26.7</v>
          </cell>
          <cell r="U1394">
            <v>4</v>
          </cell>
        </row>
        <row r="1395">
          <cell r="B1395" t="str">
            <v>Male</v>
          </cell>
          <cell r="F1395">
            <v>3</v>
          </cell>
          <cell r="G1395">
            <v>23.8</v>
          </cell>
          <cell r="H1395">
            <v>3.8</v>
          </cell>
          <cell r="I1395">
            <v>61.5</v>
          </cell>
          <cell r="J1395">
            <v>3</v>
          </cell>
          <cell r="K1395">
            <v>7</v>
          </cell>
          <cell r="L1395">
            <v>95.64</v>
          </cell>
          <cell r="M1395">
            <v>102</v>
          </cell>
          <cell r="N1395">
            <v>8.6</v>
          </cell>
          <cell r="P1395">
            <v>13.1</v>
          </cell>
          <cell r="S1395">
            <v>20.7</v>
          </cell>
          <cell r="T1395">
            <v>13.6</v>
          </cell>
          <cell r="U1395">
            <v>3</v>
          </cell>
        </row>
        <row r="1396">
          <cell r="B1396" t="str">
            <v>Male</v>
          </cell>
          <cell r="F1396">
            <v>7</v>
          </cell>
          <cell r="G1396">
            <v>18.8</v>
          </cell>
          <cell r="H1396">
            <v>9.5</v>
          </cell>
          <cell r="I1396">
            <v>49.5</v>
          </cell>
          <cell r="K1396">
            <v>13</v>
          </cell>
          <cell r="L1396">
            <v>75.430000000000007</v>
          </cell>
          <cell r="M1396">
            <v>147</v>
          </cell>
          <cell r="N1396">
            <v>43.68</v>
          </cell>
          <cell r="O1396">
            <v>9.8000000000000007</v>
          </cell>
          <cell r="P1396">
            <v>24.9</v>
          </cell>
          <cell r="S1396">
            <v>31.4</v>
          </cell>
          <cell r="T1396">
            <v>10.3</v>
          </cell>
          <cell r="U1396">
            <v>4</v>
          </cell>
        </row>
        <row r="1397">
          <cell r="B1397" t="str">
            <v>Female</v>
          </cell>
          <cell r="F1397">
            <v>0</v>
          </cell>
          <cell r="G1397">
            <v>26.3</v>
          </cell>
          <cell r="I1397">
            <v>70.3</v>
          </cell>
          <cell r="J1397">
            <v>3</v>
          </cell>
          <cell r="K1397">
            <v>10</v>
          </cell>
          <cell r="L1397">
            <v>120.46</v>
          </cell>
          <cell r="M1397">
            <v>2</v>
          </cell>
          <cell r="N1397">
            <v>37.1</v>
          </cell>
          <cell r="O1397">
            <v>12</v>
          </cell>
          <cell r="P1397">
            <v>3.7</v>
          </cell>
          <cell r="S1397">
            <v>10.199999999999999</v>
          </cell>
          <cell r="T1397">
            <v>18.600000000000001</v>
          </cell>
          <cell r="U1397">
            <v>5</v>
          </cell>
        </row>
        <row r="1398">
          <cell r="B1398" t="str">
            <v>Male</v>
          </cell>
          <cell r="F1398">
            <v>26</v>
          </cell>
          <cell r="G1398">
            <v>36.4</v>
          </cell>
          <cell r="H1398">
            <v>14.6</v>
          </cell>
          <cell r="I1398">
            <v>25.6</v>
          </cell>
          <cell r="K1398">
            <v>16</v>
          </cell>
          <cell r="L1398">
            <v>153.06</v>
          </cell>
          <cell r="M1398">
            <v>34</v>
          </cell>
          <cell r="N1398">
            <v>51.2</v>
          </cell>
          <cell r="O1398">
            <v>3.9</v>
          </cell>
          <cell r="P1398">
            <v>32.700000000000003</v>
          </cell>
          <cell r="S1398">
            <v>52.1</v>
          </cell>
          <cell r="T1398">
            <v>28.8</v>
          </cell>
          <cell r="U1398">
            <v>2</v>
          </cell>
        </row>
        <row r="1399">
          <cell r="B1399" t="str">
            <v>Female</v>
          </cell>
          <cell r="F1399">
            <v>15</v>
          </cell>
          <cell r="G1399">
            <v>24</v>
          </cell>
          <cell r="H1399">
            <v>10.8</v>
          </cell>
          <cell r="I1399">
            <v>44</v>
          </cell>
          <cell r="J1399">
            <v>5</v>
          </cell>
          <cell r="K1399">
            <v>14.3</v>
          </cell>
          <cell r="L1399">
            <v>124.17</v>
          </cell>
          <cell r="N1399">
            <v>27.24</v>
          </cell>
          <cell r="O1399">
            <v>4.3</v>
          </cell>
          <cell r="P1399">
            <v>39.4</v>
          </cell>
          <cell r="T1399">
            <v>20</v>
          </cell>
          <cell r="U1399">
            <v>2</v>
          </cell>
        </row>
        <row r="1400">
          <cell r="B1400" t="str">
            <v>Female</v>
          </cell>
          <cell r="F1400">
            <v>8</v>
          </cell>
          <cell r="G1400">
            <v>29.8</v>
          </cell>
          <cell r="I1400">
            <v>48.8</v>
          </cell>
          <cell r="J1400">
            <v>7</v>
          </cell>
          <cell r="K1400">
            <v>15</v>
          </cell>
          <cell r="L1400">
            <v>114.99</v>
          </cell>
          <cell r="M1400">
            <v>11</v>
          </cell>
          <cell r="N1400">
            <v>40.299999999999997</v>
          </cell>
          <cell r="O1400">
            <v>0.8</v>
          </cell>
          <cell r="P1400">
            <v>26.2</v>
          </cell>
          <cell r="S1400">
            <v>32.1</v>
          </cell>
          <cell r="T1400">
            <v>15</v>
          </cell>
          <cell r="U1400">
            <v>2</v>
          </cell>
        </row>
        <row r="1401">
          <cell r="B1401" t="str">
            <v>Female</v>
          </cell>
          <cell r="F1401">
            <v>5</v>
          </cell>
          <cell r="G1401">
            <v>22.6</v>
          </cell>
          <cell r="H1401">
            <v>6.3</v>
          </cell>
          <cell r="I1401">
            <v>63.6</v>
          </cell>
          <cell r="J1401">
            <v>1</v>
          </cell>
          <cell r="K1401">
            <v>6</v>
          </cell>
          <cell r="L1401">
            <v>45.88</v>
          </cell>
          <cell r="N1401">
            <v>67</v>
          </cell>
          <cell r="O1401">
            <v>3.6</v>
          </cell>
          <cell r="S1401">
            <v>26.8</v>
          </cell>
          <cell r="U1401">
            <v>1</v>
          </cell>
        </row>
        <row r="1402">
          <cell r="B1402" t="str">
            <v>Male</v>
          </cell>
          <cell r="F1402">
            <v>16</v>
          </cell>
          <cell r="G1402">
            <v>26.4</v>
          </cell>
          <cell r="H1402">
            <v>10</v>
          </cell>
          <cell r="I1402">
            <v>59.3</v>
          </cell>
          <cell r="J1402">
            <v>7</v>
          </cell>
          <cell r="K1402">
            <v>13</v>
          </cell>
          <cell r="L1402">
            <v>83.49</v>
          </cell>
          <cell r="M1402">
            <v>6</v>
          </cell>
          <cell r="N1402">
            <v>26.1</v>
          </cell>
          <cell r="O1402">
            <v>4.9000000000000004</v>
          </cell>
          <cell r="P1402">
            <v>33.700000000000003</v>
          </cell>
          <cell r="S1402">
            <v>27.4</v>
          </cell>
          <cell r="T1402">
            <v>24.4</v>
          </cell>
          <cell r="U1402">
            <v>1</v>
          </cell>
        </row>
        <row r="1403">
          <cell r="B1403" t="str">
            <v>Male</v>
          </cell>
          <cell r="F1403">
            <v>10</v>
          </cell>
          <cell r="G1403">
            <v>18.2</v>
          </cell>
          <cell r="I1403">
            <v>75.599999999999994</v>
          </cell>
          <cell r="J1403">
            <v>1</v>
          </cell>
          <cell r="K1403">
            <v>5</v>
          </cell>
          <cell r="L1403">
            <v>160.91999999999999</v>
          </cell>
          <cell r="M1403">
            <v>7</v>
          </cell>
          <cell r="N1403">
            <v>15.2</v>
          </cell>
          <cell r="O1403">
            <v>8.8000000000000007</v>
          </cell>
          <cell r="P1403">
            <v>2.9</v>
          </cell>
          <cell r="S1403">
            <v>18.600000000000001</v>
          </cell>
          <cell r="T1403">
            <v>13</v>
          </cell>
          <cell r="U1403">
            <v>4</v>
          </cell>
        </row>
        <row r="1404">
          <cell r="B1404" t="str">
            <v>Male</v>
          </cell>
          <cell r="F1404">
            <v>13</v>
          </cell>
          <cell r="G1404">
            <v>27.6</v>
          </cell>
          <cell r="H1404">
            <v>13.2</v>
          </cell>
          <cell r="I1404">
            <v>42.6</v>
          </cell>
          <cell r="J1404">
            <v>4</v>
          </cell>
          <cell r="K1404">
            <v>15</v>
          </cell>
          <cell r="L1404">
            <v>138.66999999999999</v>
          </cell>
          <cell r="M1404">
            <v>98</v>
          </cell>
          <cell r="N1404">
            <v>43.9</v>
          </cell>
          <cell r="O1404">
            <v>8.1</v>
          </cell>
          <cell r="P1404">
            <v>15.9</v>
          </cell>
          <cell r="S1404">
            <v>10.9</v>
          </cell>
          <cell r="T1404">
            <v>19.600000000000001</v>
          </cell>
          <cell r="U1404">
            <v>2</v>
          </cell>
        </row>
        <row r="1405">
          <cell r="B1405" t="str">
            <v>Male</v>
          </cell>
          <cell r="F1405">
            <v>16</v>
          </cell>
          <cell r="G1405">
            <v>32.9</v>
          </cell>
          <cell r="H1405">
            <v>10.5</v>
          </cell>
          <cell r="I1405">
            <v>49</v>
          </cell>
          <cell r="J1405">
            <v>4</v>
          </cell>
          <cell r="K1405">
            <v>12</v>
          </cell>
          <cell r="L1405">
            <v>79.53</v>
          </cell>
          <cell r="M1405">
            <v>12</v>
          </cell>
          <cell r="N1405">
            <v>58.4</v>
          </cell>
          <cell r="O1405">
            <v>9.4</v>
          </cell>
          <cell r="P1405">
            <v>22.3</v>
          </cell>
          <cell r="S1405">
            <v>13.5</v>
          </cell>
          <cell r="T1405">
            <v>21.4</v>
          </cell>
        </row>
        <row r="1406">
          <cell r="B1406" t="str">
            <v>Male</v>
          </cell>
          <cell r="F1406">
            <v>12</v>
          </cell>
          <cell r="G1406">
            <v>20.9</v>
          </cell>
          <cell r="H1406">
            <v>8.5</v>
          </cell>
          <cell r="I1406">
            <v>58.2</v>
          </cell>
          <cell r="J1406">
            <v>3</v>
          </cell>
          <cell r="K1406">
            <v>10</v>
          </cell>
          <cell r="L1406">
            <v>221.17</v>
          </cell>
          <cell r="N1406">
            <v>31.7</v>
          </cell>
          <cell r="O1406">
            <v>3.1</v>
          </cell>
          <cell r="P1406">
            <v>24.1</v>
          </cell>
          <cell r="S1406">
            <v>21.8</v>
          </cell>
          <cell r="T1406">
            <v>18.8</v>
          </cell>
          <cell r="U1406">
            <v>2</v>
          </cell>
        </row>
        <row r="1407">
          <cell r="B1407" t="str">
            <v>Male</v>
          </cell>
          <cell r="F1407">
            <v>1</v>
          </cell>
          <cell r="G1407">
            <v>12.8</v>
          </cell>
          <cell r="I1407">
            <v>57.6</v>
          </cell>
          <cell r="J1407">
            <v>1</v>
          </cell>
          <cell r="K1407">
            <v>5</v>
          </cell>
          <cell r="L1407">
            <v>77.17</v>
          </cell>
          <cell r="M1407">
            <v>22</v>
          </cell>
          <cell r="N1407">
            <v>54.8</v>
          </cell>
          <cell r="O1407">
            <v>3.5</v>
          </cell>
          <cell r="P1407">
            <v>11.1</v>
          </cell>
          <cell r="S1407">
            <v>44.8</v>
          </cell>
          <cell r="T1407">
            <v>14.7</v>
          </cell>
          <cell r="U1407">
            <v>1</v>
          </cell>
        </row>
        <row r="1408">
          <cell r="B1408" t="str">
            <v>Female</v>
          </cell>
          <cell r="F1408">
            <v>11</v>
          </cell>
          <cell r="G1408">
            <v>39.6</v>
          </cell>
          <cell r="H1408">
            <v>14.2</v>
          </cell>
          <cell r="I1408">
            <v>36.299999999999997</v>
          </cell>
          <cell r="J1408">
            <v>9</v>
          </cell>
          <cell r="K1408">
            <v>16</v>
          </cell>
          <cell r="L1408">
            <v>129.85</v>
          </cell>
          <cell r="M1408">
            <v>6</v>
          </cell>
          <cell r="N1408">
            <v>37.5</v>
          </cell>
          <cell r="O1408">
            <v>2</v>
          </cell>
          <cell r="P1408">
            <v>41.8</v>
          </cell>
          <cell r="T1408">
            <v>28.3</v>
          </cell>
          <cell r="U1408">
            <v>4</v>
          </cell>
        </row>
        <row r="1409">
          <cell r="B1409" t="str">
            <v>Male</v>
          </cell>
          <cell r="F1409">
            <v>18</v>
          </cell>
          <cell r="G1409">
            <v>27.4</v>
          </cell>
          <cell r="H1409">
            <v>7.9</v>
          </cell>
          <cell r="I1409">
            <v>52.5</v>
          </cell>
          <cell r="J1409">
            <v>4</v>
          </cell>
          <cell r="K1409">
            <v>12</v>
          </cell>
          <cell r="L1409">
            <v>89.6</v>
          </cell>
          <cell r="M1409">
            <v>123</v>
          </cell>
          <cell r="N1409">
            <v>33.1</v>
          </cell>
          <cell r="O1409">
            <v>2</v>
          </cell>
          <cell r="P1409">
            <v>18.3</v>
          </cell>
          <cell r="S1409">
            <v>0</v>
          </cell>
          <cell r="U1409">
            <v>3</v>
          </cell>
        </row>
        <row r="1410">
          <cell r="B1410" t="str">
            <v>Male</v>
          </cell>
          <cell r="F1410">
            <v>9</v>
          </cell>
          <cell r="G1410">
            <v>22.5</v>
          </cell>
          <cell r="H1410">
            <v>6.9</v>
          </cell>
          <cell r="I1410">
            <v>67.400000000000006</v>
          </cell>
          <cell r="J1410">
            <v>4</v>
          </cell>
          <cell r="K1410">
            <v>8</v>
          </cell>
          <cell r="L1410">
            <v>121.76</v>
          </cell>
          <cell r="M1410">
            <v>6</v>
          </cell>
          <cell r="N1410">
            <v>49.6</v>
          </cell>
          <cell r="O1410">
            <v>10.6</v>
          </cell>
          <cell r="P1410">
            <v>8.9</v>
          </cell>
          <cell r="S1410">
            <v>18.600000000000001</v>
          </cell>
          <cell r="U1410">
            <v>2</v>
          </cell>
        </row>
        <row r="1411">
          <cell r="B1411" t="str">
            <v>Female</v>
          </cell>
          <cell r="F1411">
            <v>5</v>
          </cell>
          <cell r="G1411">
            <v>26.6</v>
          </cell>
          <cell r="H1411">
            <v>7.2</v>
          </cell>
          <cell r="I1411">
            <v>51.8</v>
          </cell>
          <cell r="J1411">
            <v>5</v>
          </cell>
          <cell r="K1411">
            <v>10</v>
          </cell>
          <cell r="L1411">
            <v>53.36</v>
          </cell>
          <cell r="M1411">
            <v>10</v>
          </cell>
          <cell r="N1411">
            <v>10.8</v>
          </cell>
          <cell r="O1411">
            <v>5.2</v>
          </cell>
          <cell r="S1411">
            <v>37.200000000000003</v>
          </cell>
          <cell r="U1411">
            <v>1</v>
          </cell>
        </row>
        <row r="1412">
          <cell r="B1412" t="str">
            <v>Female</v>
          </cell>
          <cell r="F1412">
            <v>10</v>
          </cell>
          <cell r="G1412">
            <v>30.4</v>
          </cell>
          <cell r="H1412">
            <v>11.3</v>
          </cell>
          <cell r="I1412">
            <v>38.799999999999997</v>
          </cell>
          <cell r="J1412">
            <v>6</v>
          </cell>
          <cell r="K1412" t="str">
            <v>15.600000000000001</v>
          </cell>
          <cell r="L1412">
            <v>147.69999999999999</v>
          </cell>
          <cell r="M1412">
            <v>13</v>
          </cell>
          <cell r="N1412">
            <v>14.28</v>
          </cell>
          <cell r="O1412">
            <v>7.7</v>
          </cell>
          <cell r="P1412">
            <v>31.1</v>
          </cell>
          <cell r="S1412">
            <v>43.7</v>
          </cell>
          <cell r="T1412">
            <v>22.7</v>
          </cell>
          <cell r="U1412">
            <v>2</v>
          </cell>
        </row>
        <row r="1413">
          <cell r="B1413" t="str">
            <v>Male</v>
          </cell>
          <cell r="F1413">
            <v>18</v>
          </cell>
          <cell r="G1413">
            <v>24.6</v>
          </cell>
          <cell r="H1413">
            <v>8.6999999999999993</v>
          </cell>
          <cell r="I1413">
            <v>61.3</v>
          </cell>
          <cell r="J1413">
            <v>5</v>
          </cell>
          <cell r="K1413">
            <v>13</v>
          </cell>
          <cell r="L1413">
            <v>62.72</v>
          </cell>
          <cell r="M1413">
            <v>30</v>
          </cell>
          <cell r="N1413">
            <v>41.9</v>
          </cell>
          <cell r="O1413">
            <v>4.4000000000000004</v>
          </cell>
          <cell r="P1413">
            <v>17.399999999999999</v>
          </cell>
          <cell r="S1413">
            <v>41.1</v>
          </cell>
          <cell r="T1413">
            <v>17.399999999999999</v>
          </cell>
          <cell r="U1413">
            <v>2</v>
          </cell>
        </row>
        <row r="1414">
          <cell r="B1414" t="str">
            <v>Male</v>
          </cell>
          <cell r="F1414">
            <v>4</v>
          </cell>
          <cell r="G1414">
            <v>21.8</v>
          </cell>
          <cell r="H1414">
            <v>5</v>
          </cell>
          <cell r="I1414">
            <v>57.1</v>
          </cell>
          <cell r="J1414">
            <v>0</v>
          </cell>
          <cell r="K1414">
            <v>4</v>
          </cell>
          <cell r="L1414">
            <v>143.06</v>
          </cell>
          <cell r="M1414">
            <v>37</v>
          </cell>
          <cell r="N1414">
            <v>19.7</v>
          </cell>
          <cell r="O1414">
            <v>5.2</v>
          </cell>
          <cell r="P1414">
            <v>12.3</v>
          </cell>
          <cell r="S1414">
            <v>19.899999999999999</v>
          </cell>
          <cell r="T1414">
            <v>12.1</v>
          </cell>
          <cell r="U1414">
            <v>1</v>
          </cell>
        </row>
        <row r="1415">
          <cell r="B1415" t="str">
            <v>Male</v>
          </cell>
          <cell r="F1415">
            <v>8</v>
          </cell>
          <cell r="G1415">
            <v>24.7</v>
          </cell>
          <cell r="H1415">
            <v>6.7</v>
          </cell>
          <cell r="I1415">
            <v>78.2</v>
          </cell>
          <cell r="J1415">
            <v>3</v>
          </cell>
          <cell r="K1415">
            <v>7</v>
          </cell>
          <cell r="L1415">
            <v>85.65</v>
          </cell>
          <cell r="M1415">
            <v>47</v>
          </cell>
          <cell r="N1415">
            <v>32.6</v>
          </cell>
          <cell r="O1415">
            <v>0.4</v>
          </cell>
          <cell r="P1415">
            <v>25.4</v>
          </cell>
          <cell r="S1415">
            <v>19.8</v>
          </cell>
          <cell r="T1415">
            <v>21.2</v>
          </cell>
          <cell r="U1415">
            <v>1</v>
          </cell>
        </row>
        <row r="1416">
          <cell r="B1416" t="str">
            <v>Female</v>
          </cell>
          <cell r="F1416">
            <v>17</v>
          </cell>
          <cell r="G1416">
            <v>37.700000000000003</v>
          </cell>
          <cell r="H1416">
            <v>12.5</v>
          </cell>
          <cell r="I1416">
            <v>72.3</v>
          </cell>
          <cell r="J1416">
            <v>7</v>
          </cell>
          <cell r="K1416">
            <v>24.7</v>
          </cell>
          <cell r="L1416">
            <v>104.99</v>
          </cell>
          <cell r="M1416">
            <v>96</v>
          </cell>
          <cell r="N1416">
            <v>36.96</v>
          </cell>
          <cell r="P1416">
            <v>16.100000000000001</v>
          </cell>
          <cell r="T1416">
            <v>29.2</v>
          </cell>
          <cell r="U1416">
            <v>2</v>
          </cell>
        </row>
        <row r="1417">
          <cell r="B1417" t="str">
            <v>Female</v>
          </cell>
          <cell r="F1417">
            <v>2</v>
          </cell>
          <cell r="G1417">
            <v>21.8</v>
          </cell>
          <cell r="H1417">
            <v>2.7</v>
          </cell>
          <cell r="I1417">
            <v>75.3</v>
          </cell>
          <cell r="K1417">
            <v>5.2</v>
          </cell>
          <cell r="L1417">
            <v>119.82</v>
          </cell>
          <cell r="M1417">
            <v>34</v>
          </cell>
          <cell r="N1417">
            <v>54.84</v>
          </cell>
          <cell r="O1417">
            <v>1.4</v>
          </cell>
          <cell r="P1417">
            <v>0</v>
          </cell>
          <cell r="S1417">
            <v>5.7</v>
          </cell>
          <cell r="T1417">
            <v>14.4</v>
          </cell>
          <cell r="U1417">
            <v>4</v>
          </cell>
        </row>
        <row r="1418">
          <cell r="B1418" t="str">
            <v>Female</v>
          </cell>
          <cell r="F1418">
            <v>7</v>
          </cell>
          <cell r="G1418">
            <v>26.7</v>
          </cell>
          <cell r="H1418">
            <v>9.8000000000000007</v>
          </cell>
          <cell r="I1418">
            <v>51.7</v>
          </cell>
          <cell r="J1418">
            <v>8</v>
          </cell>
          <cell r="K1418">
            <v>15</v>
          </cell>
          <cell r="L1418">
            <v>92.99</v>
          </cell>
          <cell r="M1418">
            <v>17</v>
          </cell>
          <cell r="N1418">
            <v>4.9000000000000004</v>
          </cell>
          <cell r="O1418">
            <v>12.7</v>
          </cell>
          <cell r="P1418">
            <v>18.399999999999999</v>
          </cell>
          <cell r="S1418">
            <v>23.9</v>
          </cell>
          <cell r="T1418">
            <v>24.4</v>
          </cell>
          <cell r="U1418">
            <v>1</v>
          </cell>
        </row>
        <row r="1419">
          <cell r="B1419" t="str">
            <v>Female</v>
          </cell>
          <cell r="F1419">
            <v>19</v>
          </cell>
          <cell r="G1419">
            <v>32.9</v>
          </cell>
          <cell r="H1419">
            <v>7.9</v>
          </cell>
          <cell r="I1419">
            <v>36.299999999999997</v>
          </cell>
          <cell r="J1419">
            <v>8</v>
          </cell>
          <cell r="K1419">
            <v>14</v>
          </cell>
          <cell r="L1419">
            <v>128.66</v>
          </cell>
          <cell r="M1419">
            <v>13</v>
          </cell>
          <cell r="N1419">
            <v>18</v>
          </cell>
          <cell r="O1419">
            <v>7</v>
          </cell>
          <cell r="P1419">
            <v>19.8</v>
          </cell>
          <cell r="S1419">
            <v>47.8</v>
          </cell>
          <cell r="T1419">
            <v>16.5</v>
          </cell>
          <cell r="U1419">
            <v>3</v>
          </cell>
        </row>
        <row r="1420">
          <cell r="B1420" t="str">
            <v>Male</v>
          </cell>
          <cell r="F1420">
            <v>8</v>
          </cell>
          <cell r="G1420">
            <v>16.899999999999999</v>
          </cell>
          <cell r="H1420">
            <v>2.2999999999999998</v>
          </cell>
          <cell r="I1420">
            <v>81.3</v>
          </cell>
          <cell r="J1420">
            <v>4</v>
          </cell>
          <cell r="K1420" t="str">
            <v>16.900000000000002</v>
          </cell>
          <cell r="L1420">
            <v>190.5</v>
          </cell>
          <cell r="M1420">
            <v>11</v>
          </cell>
          <cell r="N1420">
            <v>13.08</v>
          </cell>
          <cell r="O1420">
            <v>3.7</v>
          </cell>
          <cell r="P1420">
            <v>13</v>
          </cell>
          <cell r="S1420">
            <v>5.2</v>
          </cell>
          <cell r="T1420">
            <v>18.5</v>
          </cell>
          <cell r="U1420">
            <v>3</v>
          </cell>
        </row>
        <row r="1421">
          <cell r="B1421" t="str">
            <v>Male</v>
          </cell>
          <cell r="F1421">
            <v>11</v>
          </cell>
          <cell r="G1421">
            <v>13</v>
          </cell>
          <cell r="H1421">
            <v>4.3</v>
          </cell>
          <cell r="I1421">
            <v>73.099999999999994</v>
          </cell>
          <cell r="J1421">
            <v>2</v>
          </cell>
          <cell r="K1421">
            <v>9</v>
          </cell>
          <cell r="L1421">
            <v>132.72</v>
          </cell>
          <cell r="M1421">
            <v>69</v>
          </cell>
          <cell r="N1421">
            <v>48.2</v>
          </cell>
          <cell r="O1421">
            <v>10.9</v>
          </cell>
          <cell r="P1421">
            <v>12.6</v>
          </cell>
          <cell r="S1421">
            <v>39.1</v>
          </cell>
          <cell r="T1421">
            <v>18.3</v>
          </cell>
          <cell r="U1421">
            <v>1</v>
          </cell>
        </row>
        <row r="1422">
          <cell r="B1422" t="str">
            <v>Male</v>
          </cell>
          <cell r="F1422">
            <v>0</v>
          </cell>
          <cell r="G1422">
            <v>15.7</v>
          </cell>
          <cell r="H1422">
            <v>4.0999999999999996</v>
          </cell>
          <cell r="I1422">
            <v>80.400000000000006</v>
          </cell>
          <cell r="J1422">
            <v>2</v>
          </cell>
          <cell r="K1422" t="str">
            <v>3.9000000000000004</v>
          </cell>
          <cell r="L1422">
            <v>140.78</v>
          </cell>
          <cell r="M1422">
            <v>5</v>
          </cell>
          <cell r="N1422">
            <v>61.92</v>
          </cell>
          <cell r="O1422">
            <v>9.4</v>
          </cell>
          <cell r="P1422">
            <v>12.2</v>
          </cell>
          <cell r="S1422">
            <v>0</v>
          </cell>
        </row>
        <row r="1423">
          <cell r="B1423" t="str">
            <v>Female</v>
          </cell>
          <cell r="F1423">
            <v>18</v>
          </cell>
          <cell r="G1423">
            <v>22.5</v>
          </cell>
          <cell r="H1423">
            <v>8.6</v>
          </cell>
          <cell r="I1423">
            <v>67</v>
          </cell>
          <cell r="J1423">
            <v>2</v>
          </cell>
          <cell r="K1423">
            <v>8</v>
          </cell>
          <cell r="L1423">
            <v>104.15</v>
          </cell>
          <cell r="M1423">
            <v>12</v>
          </cell>
          <cell r="N1423">
            <v>67</v>
          </cell>
          <cell r="O1423">
            <v>1.7</v>
          </cell>
          <cell r="P1423">
            <v>11.8</v>
          </cell>
          <cell r="S1423">
            <v>12.5</v>
          </cell>
          <cell r="T1423">
            <v>20.5</v>
          </cell>
          <cell r="U1423">
            <v>2</v>
          </cell>
        </row>
        <row r="1424">
          <cell r="B1424" t="str">
            <v>Male</v>
          </cell>
          <cell r="F1424">
            <v>10</v>
          </cell>
          <cell r="G1424">
            <v>25.9</v>
          </cell>
          <cell r="H1424">
            <v>9.4</v>
          </cell>
          <cell r="I1424">
            <v>68</v>
          </cell>
          <cell r="J1424">
            <v>7</v>
          </cell>
          <cell r="K1424">
            <v>9.1</v>
          </cell>
          <cell r="L1424">
            <v>142.97</v>
          </cell>
          <cell r="M1424">
            <v>35</v>
          </cell>
          <cell r="N1424">
            <v>64.92</v>
          </cell>
          <cell r="O1424">
            <v>1.7</v>
          </cell>
          <cell r="P1424">
            <v>22.5</v>
          </cell>
          <cell r="T1424">
            <v>8.4</v>
          </cell>
        </row>
        <row r="1425">
          <cell r="B1425" t="str">
            <v>Female</v>
          </cell>
          <cell r="F1425">
            <v>19</v>
          </cell>
          <cell r="G1425">
            <v>33.799999999999997</v>
          </cell>
          <cell r="H1425">
            <v>13.3</v>
          </cell>
          <cell r="I1425">
            <v>43.1</v>
          </cell>
          <cell r="J1425">
            <v>12</v>
          </cell>
          <cell r="K1425">
            <v>15</v>
          </cell>
          <cell r="L1425">
            <v>54.47</v>
          </cell>
          <cell r="M1425">
            <v>4</v>
          </cell>
          <cell r="N1425">
            <v>14.8</v>
          </cell>
          <cell r="O1425">
            <v>5.0999999999999996</v>
          </cell>
          <cell r="P1425">
            <v>24.2</v>
          </cell>
          <cell r="S1425">
            <v>47.4</v>
          </cell>
          <cell r="T1425">
            <v>20.5</v>
          </cell>
          <cell r="U1425">
            <v>3</v>
          </cell>
        </row>
        <row r="1426">
          <cell r="B1426" t="str">
            <v>Male</v>
          </cell>
          <cell r="F1426">
            <v>4</v>
          </cell>
          <cell r="G1426">
            <v>18.399999999999999</v>
          </cell>
          <cell r="H1426">
            <v>5.4</v>
          </cell>
          <cell r="I1426">
            <v>69.599999999999994</v>
          </cell>
          <cell r="J1426">
            <v>3</v>
          </cell>
          <cell r="K1426">
            <v>9</v>
          </cell>
          <cell r="L1426">
            <v>154.24</v>
          </cell>
          <cell r="M1426">
            <v>41</v>
          </cell>
          <cell r="N1426">
            <v>8</v>
          </cell>
          <cell r="O1426">
            <v>1.1000000000000001</v>
          </cell>
          <cell r="P1426">
            <v>17.3</v>
          </cell>
          <cell r="S1426">
            <v>41.7</v>
          </cell>
          <cell r="T1426">
            <v>10.1</v>
          </cell>
          <cell r="U1426">
            <v>1</v>
          </cell>
        </row>
        <row r="1427">
          <cell r="B1427" t="str">
            <v>Female</v>
          </cell>
          <cell r="F1427">
            <v>3</v>
          </cell>
          <cell r="G1427">
            <v>23.8</v>
          </cell>
          <cell r="H1427">
            <v>5.9</v>
          </cell>
          <cell r="I1427">
            <v>53.8</v>
          </cell>
          <cell r="J1427">
            <v>2</v>
          </cell>
          <cell r="K1427">
            <v>6</v>
          </cell>
          <cell r="L1427">
            <v>46.7</v>
          </cell>
          <cell r="M1427">
            <v>18</v>
          </cell>
          <cell r="N1427">
            <v>3.1</v>
          </cell>
          <cell r="O1427">
            <v>2.2999999999999998</v>
          </cell>
          <cell r="P1427">
            <v>11.2</v>
          </cell>
          <cell r="S1427">
            <v>57.2</v>
          </cell>
          <cell r="T1427">
            <v>15.7</v>
          </cell>
          <cell r="U1427">
            <v>4</v>
          </cell>
        </row>
        <row r="1428">
          <cell r="B1428" t="str">
            <v>Male</v>
          </cell>
          <cell r="F1428">
            <v>31</v>
          </cell>
          <cell r="G1428">
            <v>55.9</v>
          </cell>
          <cell r="H1428">
            <v>17</v>
          </cell>
          <cell r="I1428">
            <v>10.7</v>
          </cell>
          <cell r="J1428">
            <v>9</v>
          </cell>
          <cell r="K1428">
            <v>26</v>
          </cell>
          <cell r="L1428">
            <v>113.25</v>
          </cell>
          <cell r="M1428">
            <v>6</v>
          </cell>
          <cell r="N1428">
            <v>92.1</v>
          </cell>
          <cell r="O1428">
            <v>4.0999999999999996</v>
          </cell>
          <cell r="P1428">
            <v>65.3</v>
          </cell>
          <cell r="S1428">
            <v>100</v>
          </cell>
          <cell r="T1428">
            <v>43.3</v>
          </cell>
          <cell r="U1428">
            <v>2</v>
          </cell>
        </row>
        <row r="1429">
          <cell r="B1429" t="str">
            <v>Female</v>
          </cell>
          <cell r="F1429">
            <v>9</v>
          </cell>
          <cell r="G1429">
            <v>43.4</v>
          </cell>
          <cell r="H1429">
            <v>13</v>
          </cell>
          <cell r="I1429">
            <v>48.8</v>
          </cell>
          <cell r="J1429">
            <v>1</v>
          </cell>
          <cell r="K1429" t="str">
            <v>16.900000000000002</v>
          </cell>
          <cell r="L1429">
            <v>106.42</v>
          </cell>
          <cell r="M1429">
            <v>3</v>
          </cell>
          <cell r="N1429">
            <v>37.68</v>
          </cell>
          <cell r="O1429">
            <v>14.5</v>
          </cell>
          <cell r="P1429">
            <v>25</v>
          </cell>
          <cell r="S1429">
            <v>37.200000000000003</v>
          </cell>
          <cell r="U1429">
            <v>2</v>
          </cell>
        </row>
        <row r="1430">
          <cell r="B1430" t="str">
            <v>Female</v>
          </cell>
          <cell r="F1430">
            <v>10</v>
          </cell>
          <cell r="G1430">
            <v>30.5</v>
          </cell>
          <cell r="H1430">
            <v>9.6</v>
          </cell>
          <cell r="I1430">
            <v>59.4</v>
          </cell>
          <cell r="J1430">
            <v>7</v>
          </cell>
          <cell r="K1430">
            <v>10</v>
          </cell>
          <cell r="L1430">
            <v>120.62</v>
          </cell>
          <cell r="M1430">
            <v>0</v>
          </cell>
          <cell r="N1430">
            <v>49.5</v>
          </cell>
          <cell r="P1430">
            <v>18</v>
          </cell>
          <cell r="S1430">
            <v>14.6</v>
          </cell>
          <cell r="T1430">
            <v>29.5</v>
          </cell>
          <cell r="U1430">
            <v>2</v>
          </cell>
        </row>
        <row r="1431">
          <cell r="B1431" t="str">
            <v>Male</v>
          </cell>
          <cell r="F1431">
            <v>19</v>
          </cell>
          <cell r="G1431">
            <v>42.7</v>
          </cell>
          <cell r="H1431">
            <v>13.4</v>
          </cell>
          <cell r="I1431">
            <v>41.6</v>
          </cell>
          <cell r="J1431">
            <v>13</v>
          </cell>
          <cell r="K1431">
            <v>18</v>
          </cell>
          <cell r="L1431">
            <v>249.14</v>
          </cell>
          <cell r="M1431">
            <v>10</v>
          </cell>
          <cell r="N1431">
            <v>21.6</v>
          </cell>
          <cell r="O1431">
            <v>12.2</v>
          </cell>
          <cell r="P1431">
            <v>35.9</v>
          </cell>
          <cell r="S1431">
            <v>40</v>
          </cell>
        </row>
        <row r="1432">
          <cell r="B1432" t="str">
            <v>Female</v>
          </cell>
          <cell r="F1432">
            <v>4</v>
          </cell>
          <cell r="H1432">
            <v>3.4</v>
          </cell>
          <cell r="I1432">
            <v>96.3</v>
          </cell>
          <cell r="J1432">
            <v>2</v>
          </cell>
          <cell r="K1432">
            <v>6</v>
          </cell>
          <cell r="L1432">
            <v>150.03</v>
          </cell>
          <cell r="M1432">
            <v>78</v>
          </cell>
          <cell r="N1432">
            <v>75.599999999999994</v>
          </cell>
          <cell r="O1432">
            <v>9.1</v>
          </cell>
          <cell r="P1432">
            <v>0</v>
          </cell>
          <cell r="S1432">
            <v>31.9</v>
          </cell>
          <cell r="U1432">
            <v>3</v>
          </cell>
        </row>
        <row r="1433">
          <cell r="B1433" t="str">
            <v>Male</v>
          </cell>
          <cell r="F1433">
            <v>29</v>
          </cell>
          <cell r="G1433">
            <v>40.200000000000003</v>
          </cell>
          <cell r="H1433">
            <v>15.4</v>
          </cell>
          <cell r="I1433">
            <v>45.7</v>
          </cell>
          <cell r="J1433">
            <v>15</v>
          </cell>
          <cell r="K1433">
            <v>22</v>
          </cell>
          <cell r="L1433">
            <v>84.98</v>
          </cell>
          <cell r="M1433">
            <v>3</v>
          </cell>
          <cell r="N1433">
            <v>14.1</v>
          </cell>
          <cell r="O1433">
            <v>3.4</v>
          </cell>
          <cell r="P1433">
            <v>39.1</v>
          </cell>
          <cell r="S1433">
            <v>57</v>
          </cell>
          <cell r="T1433">
            <v>41.5</v>
          </cell>
          <cell r="U1433">
            <v>3</v>
          </cell>
        </row>
        <row r="1434">
          <cell r="B1434" t="str">
            <v>Female</v>
          </cell>
          <cell r="F1434">
            <v>2</v>
          </cell>
          <cell r="G1434">
            <v>29.6</v>
          </cell>
          <cell r="H1434">
            <v>3.4</v>
          </cell>
          <cell r="I1434">
            <v>58.9</v>
          </cell>
          <cell r="J1434">
            <v>2</v>
          </cell>
          <cell r="K1434" t="str">
            <v>11.700000000000001</v>
          </cell>
          <cell r="L1434">
            <v>86.53</v>
          </cell>
          <cell r="M1434">
            <v>19</v>
          </cell>
          <cell r="N1434">
            <v>22.56</v>
          </cell>
          <cell r="O1434">
            <v>2.5</v>
          </cell>
          <cell r="P1434">
            <v>13.3</v>
          </cell>
          <cell r="S1434">
            <v>2</v>
          </cell>
          <cell r="T1434">
            <v>16.3</v>
          </cell>
          <cell r="U1434">
            <v>1</v>
          </cell>
        </row>
        <row r="1435">
          <cell r="B1435" t="str">
            <v>Female</v>
          </cell>
          <cell r="F1435">
            <v>19</v>
          </cell>
          <cell r="G1435">
            <v>32.9</v>
          </cell>
          <cell r="H1435">
            <v>10.9</v>
          </cell>
          <cell r="I1435">
            <v>69.599999999999994</v>
          </cell>
          <cell r="J1435">
            <v>5</v>
          </cell>
          <cell r="K1435">
            <v>15</v>
          </cell>
          <cell r="L1435">
            <v>110.13</v>
          </cell>
          <cell r="M1435">
            <v>53</v>
          </cell>
          <cell r="N1435">
            <v>20.3</v>
          </cell>
          <cell r="P1435">
            <v>16.8</v>
          </cell>
          <cell r="S1435">
            <v>34.700000000000003</v>
          </cell>
          <cell r="T1435">
            <v>33.6</v>
          </cell>
          <cell r="U1435">
            <v>1</v>
          </cell>
        </row>
        <row r="1436">
          <cell r="B1436" t="str">
            <v>Female</v>
          </cell>
          <cell r="F1436">
            <v>3</v>
          </cell>
          <cell r="G1436">
            <v>18.399999999999999</v>
          </cell>
          <cell r="H1436">
            <v>8.8000000000000007</v>
          </cell>
          <cell r="I1436">
            <v>60.4</v>
          </cell>
          <cell r="J1436">
            <v>3</v>
          </cell>
          <cell r="K1436">
            <v>14</v>
          </cell>
          <cell r="L1436">
            <v>107.87</v>
          </cell>
          <cell r="M1436">
            <v>76</v>
          </cell>
          <cell r="N1436">
            <v>68.5</v>
          </cell>
          <cell r="O1436">
            <v>3</v>
          </cell>
          <cell r="P1436">
            <v>14</v>
          </cell>
          <cell r="S1436">
            <v>40.1</v>
          </cell>
          <cell r="T1436">
            <v>6.7</v>
          </cell>
          <cell r="U1436">
            <v>2</v>
          </cell>
        </row>
        <row r="1437">
          <cell r="B1437" t="str">
            <v>Male</v>
          </cell>
          <cell r="F1437">
            <v>24</v>
          </cell>
          <cell r="G1437">
            <v>41.4</v>
          </cell>
          <cell r="H1437">
            <v>14.8</v>
          </cell>
          <cell r="I1437">
            <v>39.6</v>
          </cell>
          <cell r="J1437">
            <v>13</v>
          </cell>
          <cell r="K1437">
            <v>17</v>
          </cell>
          <cell r="L1437">
            <v>80.510000000000005</v>
          </cell>
          <cell r="M1437">
            <v>10</v>
          </cell>
          <cell r="N1437">
            <v>34.9</v>
          </cell>
          <cell r="O1437">
            <v>9.3000000000000007</v>
          </cell>
          <cell r="P1437">
            <v>39.5</v>
          </cell>
          <cell r="T1437">
            <v>40.1</v>
          </cell>
          <cell r="U1437">
            <v>4</v>
          </cell>
        </row>
        <row r="1438">
          <cell r="B1438" t="str">
            <v>Male</v>
          </cell>
          <cell r="F1438">
            <v>13</v>
          </cell>
          <cell r="G1438">
            <v>33.6</v>
          </cell>
          <cell r="H1438">
            <v>9.3000000000000007</v>
          </cell>
          <cell r="I1438">
            <v>56.8</v>
          </cell>
          <cell r="J1438">
            <v>3</v>
          </cell>
          <cell r="K1438">
            <v>11</v>
          </cell>
          <cell r="L1438">
            <v>105.96</v>
          </cell>
          <cell r="N1438">
            <v>60.2</v>
          </cell>
          <cell r="O1438">
            <v>2.2000000000000002</v>
          </cell>
          <cell r="P1438">
            <v>20.5</v>
          </cell>
          <cell r="S1438">
            <v>75.599999999999994</v>
          </cell>
          <cell r="T1438">
            <v>21.8</v>
          </cell>
        </row>
        <row r="1439">
          <cell r="B1439" t="str">
            <v>Male</v>
          </cell>
          <cell r="F1439">
            <v>10</v>
          </cell>
          <cell r="G1439">
            <v>29.7</v>
          </cell>
          <cell r="H1439">
            <v>10.7</v>
          </cell>
          <cell r="I1439">
            <v>59.2</v>
          </cell>
          <cell r="J1439">
            <v>3</v>
          </cell>
          <cell r="K1439">
            <v>14.3</v>
          </cell>
          <cell r="L1439">
            <v>66.44</v>
          </cell>
          <cell r="M1439">
            <v>10</v>
          </cell>
          <cell r="N1439">
            <v>41.52</v>
          </cell>
          <cell r="O1439">
            <v>1.6</v>
          </cell>
          <cell r="P1439">
            <v>24.1</v>
          </cell>
          <cell r="S1439">
            <v>29.8</v>
          </cell>
          <cell r="T1439">
            <v>13.8</v>
          </cell>
          <cell r="U1439">
            <v>3</v>
          </cell>
        </row>
        <row r="1440">
          <cell r="B1440" t="str">
            <v>Male</v>
          </cell>
          <cell r="F1440">
            <v>21</v>
          </cell>
          <cell r="G1440">
            <v>37.1</v>
          </cell>
          <cell r="H1440">
            <v>9.6999999999999993</v>
          </cell>
          <cell r="I1440">
            <v>57.2</v>
          </cell>
          <cell r="J1440">
            <v>6</v>
          </cell>
          <cell r="K1440">
            <v>11</v>
          </cell>
          <cell r="L1440">
            <v>63.54</v>
          </cell>
          <cell r="M1440">
            <v>28</v>
          </cell>
          <cell r="N1440">
            <v>15.6</v>
          </cell>
          <cell r="O1440">
            <v>9.4</v>
          </cell>
          <cell r="P1440">
            <v>18</v>
          </cell>
          <cell r="S1440">
            <v>25.5</v>
          </cell>
          <cell r="T1440">
            <v>20.6</v>
          </cell>
          <cell r="U1440">
            <v>4</v>
          </cell>
        </row>
        <row r="1441">
          <cell r="B1441" t="str">
            <v>Female</v>
          </cell>
          <cell r="F1441">
            <v>19</v>
          </cell>
          <cell r="H1441">
            <v>11.1</v>
          </cell>
          <cell r="I1441">
            <v>61.2</v>
          </cell>
          <cell r="J1441">
            <v>6</v>
          </cell>
          <cell r="K1441">
            <v>15</v>
          </cell>
          <cell r="L1441">
            <v>205.77</v>
          </cell>
          <cell r="M1441">
            <v>8</v>
          </cell>
          <cell r="N1441">
            <v>14.2</v>
          </cell>
          <cell r="O1441">
            <v>5</v>
          </cell>
          <cell r="P1441">
            <v>25.6</v>
          </cell>
          <cell r="S1441">
            <v>27.6</v>
          </cell>
          <cell r="U1441">
            <v>1</v>
          </cell>
        </row>
        <row r="1442">
          <cell r="B1442" t="str">
            <v>Male</v>
          </cell>
          <cell r="F1442">
            <v>0</v>
          </cell>
          <cell r="G1442">
            <v>12.8</v>
          </cell>
          <cell r="H1442">
            <v>3.1</v>
          </cell>
          <cell r="I1442">
            <v>79.5</v>
          </cell>
          <cell r="J1442">
            <v>0</v>
          </cell>
          <cell r="K1442">
            <v>6</v>
          </cell>
          <cell r="L1442">
            <v>80.7</v>
          </cell>
          <cell r="M1442">
            <v>28</v>
          </cell>
          <cell r="N1442">
            <v>4.3</v>
          </cell>
          <cell r="O1442">
            <v>8.3000000000000007</v>
          </cell>
          <cell r="P1442">
            <v>0</v>
          </cell>
          <cell r="S1442">
            <v>23.5</v>
          </cell>
          <cell r="T1442">
            <v>9.1</v>
          </cell>
          <cell r="U1442">
            <v>2</v>
          </cell>
        </row>
        <row r="1443">
          <cell r="B1443" t="str">
            <v>Female</v>
          </cell>
          <cell r="F1443">
            <v>9</v>
          </cell>
          <cell r="H1443">
            <v>6.8</v>
          </cell>
          <cell r="I1443">
            <v>72.400000000000006</v>
          </cell>
          <cell r="J1443">
            <v>3</v>
          </cell>
          <cell r="K1443">
            <v>13</v>
          </cell>
          <cell r="L1443">
            <v>45.23</v>
          </cell>
          <cell r="M1443">
            <v>13</v>
          </cell>
          <cell r="N1443" t="str">
            <v>37.199999999999996</v>
          </cell>
          <cell r="S1443">
            <v>15.3</v>
          </cell>
          <cell r="U1443">
            <v>2</v>
          </cell>
        </row>
        <row r="1444">
          <cell r="B1444" t="str">
            <v>Male</v>
          </cell>
          <cell r="F1444">
            <v>4</v>
          </cell>
          <cell r="G1444">
            <v>22.6</v>
          </cell>
          <cell r="H1444">
            <v>6.8</v>
          </cell>
          <cell r="I1444">
            <v>75.2</v>
          </cell>
          <cell r="J1444">
            <v>0</v>
          </cell>
          <cell r="K1444">
            <v>9</v>
          </cell>
          <cell r="L1444">
            <v>133.80000000000001</v>
          </cell>
          <cell r="M1444">
            <v>1</v>
          </cell>
          <cell r="N1444">
            <v>57.1</v>
          </cell>
          <cell r="O1444">
            <v>20.399999999999999</v>
          </cell>
          <cell r="P1444">
            <v>0</v>
          </cell>
          <cell r="S1444">
            <v>6.1</v>
          </cell>
          <cell r="T1444">
            <v>8.6999999999999993</v>
          </cell>
          <cell r="U1444">
            <v>2</v>
          </cell>
        </row>
        <row r="1445">
          <cell r="B1445" t="str">
            <v>Female</v>
          </cell>
          <cell r="F1445">
            <v>8</v>
          </cell>
          <cell r="G1445">
            <v>20.100000000000001</v>
          </cell>
          <cell r="H1445">
            <v>4.8</v>
          </cell>
          <cell r="I1445">
            <v>83.3</v>
          </cell>
          <cell r="J1445">
            <v>3</v>
          </cell>
          <cell r="K1445">
            <v>5</v>
          </cell>
          <cell r="L1445">
            <v>203.23</v>
          </cell>
          <cell r="N1445">
            <v>30</v>
          </cell>
          <cell r="O1445">
            <v>1.6</v>
          </cell>
          <cell r="P1445">
            <v>1.6</v>
          </cell>
          <cell r="S1445">
            <v>7.9</v>
          </cell>
          <cell r="U1445">
            <v>1</v>
          </cell>
        </row>
        <row r="1446">
          <cell r="B1446" t="str">
            <v>Female</v>
          </cell>
          <cell r="F1446">
            <v>4</v>
          </cell>
          <cell r="G1446">
            <v>22.2</v>
          </cell>
          <cell r="H1446">
            <v>7.4</v>
          </cell>
          <cell r="I1446">
            <v>51.4</v>
          </cell>
          <cell r="J1446">
            <v>3</v>
          </cell>
          <cell r="K1446">
            <v>10</v>
          </cell>
          <cell r="L1446">
            <v>107.73</v>
          </cell>
          <cell r="N1446">
            <v>49.5</v>
          </cell>
          <cell r="O1446">
            <v>15.8</v>
          </cell>
          <cell r="P1446">
            <v>21.9</v>
          </cell>
          <cell r="S1446">
            <v>24</v>
          </cell>
          <cell r="T1446">
            <v>17.3</v>
          </cell>
          <cell r="U1446">
            <v>3</v>
          </cell>
        </row>
        <row r="1447">
          <cell r="B1447" t="str">
            <v>Male</v>
          </cell>
          <cell r="F1447">
            <v>32</v>
          </cell>
          <cell r="G1447">
            <v>48</v>
          </cell>
          <cell r="H1447">
            <v>18.8</v>
          </cell>
          <cell r="I1447">
            <v>29.1</v>
          </cell>
          <cell r="J1447">
            <v>9</v>
          </cell>
          <cell r="K1447">
            <v>23</v>
          </cell>
          <cell r="L1447">
            <v>91.55</v>
          </cell>
          <cell r="M1447">
            <v>45</v>
          </cell>
          <cell r="N1447">
            <v>2.9</v>
          </cell>
          <cell r="O1447">
            <v>5.4</v>
          </cell>
          <cell r="P1447">
            <v>30.1</v>
          </cell>
          <cell r="S1447">
            <v>54.4</v>
          </cell>
          <cell r="T1447">
            <v>42.4</v>
          </cell>
          <cell r="U1447">
            <v>4</v>
          </cell>
        </row>
        <row r="1448">
          <cell r="B1448" t="str">
            <v>Female</v>
          </cell>
          <cell r="F1448">
            <v>11</v>
          </cell>
          <cell r="G1448">
            <v>12.6</v>
          </cell>
          <cell r="I1448">
            <v>82.1</v>
          </cell>
          <cell r="J1448">
            <v>1</v>
          </cell>
          <cell r="K1448">
            <v>7</v>
          </cell>
          <cell r="L1448">
            <v>101.86</v>
          </cell>
          <cell r="M1448">
            <v>9</v>
          </cell>
          <cell r="O1448">
            <v>0.4</v>
          </cell>
          <cell r="P1448">
            <v>4.8</v>
          </cell>
          <cell r="S1448">
            <v>33.5</v>
          </cell>
          <cell r="T1448">
            <v>12.4</v>
          </cell>
          <cell r="U1448">
            <v>2</v>
          </cell>
        </row>
        <row r="1449">
          <cell r="B1449" t="str">
            <v>Female</v>
          </cell>
          <cell r="F1449">
            <v>13</v>
          </cell>
          <cell r="G1449">
            <v>33.6</v>
          </cell>
          <cell r="H1449">
            <v>6.1</v>
          </cell>
          <cell r="I1449">
            <v>52.3</v>
          </cell>
          <cell r="J1449">
            <v>4</v>
          </cell>
          <cell r="K1449">
            <v>14</v>
          </cell>
          <cell r="L1449">
            <v>190.29</v>
          </cell>
          <cell r="M1449">
            <v>109</v>
          </cell>
          <cell r="N1449">
            <v>48.1</v>
          </cell>
          <cell r="O1449">
            <v>4.8</v>
          </cell>
          <cell r="P1449">
            <v>41.3</v>
          </cell>
          <cell r="T1449">
            <v>25.5</v>
          </cell>
          <cell r="U1449">
            <v>5</v>
          </cell>
        </row>
        <row r="1450">
          <cell r="B1450" t="str">
            <v>Male</v>
          </cell>
          <cell r="F1450">
            <v>9</v>
          </cell>
          <cell r="G1450">
            <v>34.299999999999997</v>
          </cell>
          <cell r="H1450">
            <v>11.2</v>
          </cell>
          <cell r="I1450">
            <v>45.9</v>
          </cell>
          <cell r="J1450">
            <v>3</v>
          </cell>
          <cell r="K1450">
            <v>13</v>
          </cell>
          <cell r="L1450">
            <v>170.27</v>
          </cell>
          <cell r="M1450">
            <v>59</v>
          </cell>
          <cell r="N1450">
            <v>57.72</v>
          </cell>
          <cell r="O1450">
            <v>2.2999999999999998</v>
          </cell>
          <cell r="P1450">
            <v>34.700000000000003</v>
          </cell>
          <cell r="S1450">
            <v>18.600000000000001</v>
          </cell>
          <cell r="T1450">
            <v>15.2</v>
          </cell>
          <cell r="U1450">
            <v>3</v>
          </cell>
        </row>
        <row r="1451">
          <cell r="B1451" t="str">
            <v>Female</v>
          </cell>
          <cell r="F1451">
            <v>0</v>
          </cell>
          <cell r="H1451">
            <v>3.3</v>
          </cell>
          <cell r="I1451">
            <v>91.7</v>
          </cell>
          <cell r="J1451">
            <v>0</v>
          </cell>
          <cell r="K1451">
            <v>3</v>
          </cell>
          <cell r="L1451">
            <v>122.13</v>
          </cell>
          <cell r="M1451">
            <v>8</v>
          </cell>
          <cell r="N1451">
            <v>8.6</v>
          </cell>
          <cell r="O1451">
            <v>8.5</v>
          </cell>
          <cell r="P1451">
            <v>5.2</v>
          </cell>
          <cell r="S1451">
            <v>0</v>
          </cell>
          <cell r="T1451">
            <v>7.5</v>
          </cell>
          <cell r="U1451">
            <v>4</v>
          </cell>
        </row>
        <row r="1452">
          <cell r="B1452" t="str">
            <v>Male</v>
          </cell>
          <cell r="F1452">
            <v>6</v>
          </cell>
          <cell r="G1452">
            <v>22.9</v>
          </cell>
          <cell r="H1452">
            <v>7.3</v>
          </cell>
          <cell r="I1452">
            <v>76.599999999999994</v>
          </cell>
          <cell r="J1452">
            <v>1</v>
          </cell>
          <cell r="K1452">
            <v>11</v>
          </cell>
          <cell r="L1452">
            <v>254.11</v>
          </cell>
          <cell r="M1452">
            <v>51</v>
          </cell>
          <cell r="N1452">
            <v>34.5</v>
          </cell>
          <cell r="O1452">
            <v>9.9</v>
          </cell>
          <cell r="P1452">
            <v>21.2</v>
          </cell>
          <cell r="S1452">
            <v>0</v>
          </cell>
          <cell r="T1452">
            <v>16.100000000000001</v>
          </cell>
          <cell r="U1452">
            <v>2</v>
          </cell>
        </row>
        <row r="1453">
          <cell r="B1453" t="str">
            <v>Other</v>
          </cell>
          <cell r="F1453">
            <v>13</v>
          </cell>
          <cell r="G1453">
            <v>31.8</v>
          </cell>
          <cell r="H1453">
            <v>8.6</v>
          </cell>
          <cell r="I1453">
            <v>54.5</v>
          </cell>
          <cell r="J1453">
            <v>11</v>
          </cell>
          <cell r="K1453">
            <v>13</v>
          </cell>
          <cell r="L1453">
            <v>106.05</v>
          </cell>
          <cell r="N1453">
            <v>52.3</v>
          </cell>
          <cell r="O1453">
            <v>15.7</v>
          </cell>
          <cell r="P1453">
            <v>32.6</v>
          </cell>
          <cell r="S1453">
            <v>79.900000000000006</v>
          </cell>
          <cell r="T1453">
            <v>22.6</v>
          </cell>
          <cell r="U1453">
            <v>2</v>
          </cell>
        </row>
        <row r="1454">
          <cell r="B1454" t="str">
            <v>Male</v>
          </cell>
          <cell r="F1454">
            <v>15</v>
          </cell>
          <cell r="G1454">
            <v>42.1</v>
          </cell>
          <cell r="H1454">
            <v>13.6</v>
          </cell>
          <cell r="I1454">
            <v>38.5</v>
          </cell>
          <cell r="J1454">
            <v>3</v>
          </cell>
          <cell r="K1454">
            <v>19</v>
          </cell>
          <cell r="L1454">
            <v>107.48</v>
          </cell>
          <cell r="M1454">
            <v>59</v>
          </cell>
          <cell r="N1454">
            <v>49</v>
          </cell>
          <cell r="P1454">
            <v>47.5</v>
          </cell>
          <cell r="S1454">
            <v>40</v>
          </cell>
          <cell r="T1454">
            <v>36</v>
          </cell>
        </row>
        <row r="1455">
          <cell r="B1455" t="str">
            <v>Male</v>
          </cell>
          <cell r="F1455">
            <v>7</v>
          </cell>
          <cell r="G1455">
            <v>20.5</v>
          </cell>
          <cell r="H1455">
            <v>7.5</v>
          </cell>
          <cell r="I1455">
            <v>61.5</v>
          </cell>
          <cell r="J1455">
            <v>3</v>
          </cell>
          <cell r="K1455">
            <v>7</v>
          </cell>
          <cell r="L1455">
            <v>107.63</v>
          </cell>
          <cell r="M1455">
            <v>78</v>
          </cell>
          <cell r="N1455">
            <v>40.200000000000003</v>
          </cell>
          <cell r="P1455">
            <v>2.7</v>
          </cell>
          <cell r="S1455">
            <v>7.8</v>
          </cell>
          <cell r="T1455">
            <v>12.2</v>
          </cell>
          <cell r="U1455">
            <v>3</v>
          </cell>
        </row>
        <row r="1456">
          <cell r="B1456" t="str">
            <v>Female</v>
          </cell>
          <cell r="F1456">
            <v>21</v>
          </cell>
          <cell r="G1456">
            <v>26.1</v>
          </cell>
          <cell r="H1456">
            <v>10.3</v>
          </cell>
          <cell r="I1456">
            <v>40.700000000000003</v>
          </cell>
          <cell r="J1456">
            <v>6</v>
          </cell>
          <cell r="K1456">
            <v>18</v>
          </cell>
          <cell r="L1456">
            <v>158.82</v>
          </cell>
          <cell r="M1456">
            <v>60</v>
          </cell>
          <cell r="N1456">
            <v>66.900000000000006</v>
          </cell>
          <cell r="O1456">
            <v>0.3</v>
          </cell>
          <cell r="P1456">
            <v>21.9</v>
          </cell>
          <cell r="S1456">
            <v>4.8</v>
          </cell>
          <cell r="T1456">
            <v>19.7</v>
          </cell>
          <cell r="U1456">
            <v>2</v>
          </cell>
        </row>
        <row r="1457">
          <cell r="B1457" t="str">
            <v>Female</v>
          </cell>
          <cell r="F1457">
            <v>13</v>
          </cell>
          <cell r="G1457">
            <v>28.6</v>
          </cell>
          <cell r="H1457">
            <v>11.1</v>
          </cell>
          <cell r="I1457">
            <v>40.6</v>
          </cell>
          <cell r="J1457">
            <v>4</v>
          </cell>
          <cell r="K1457">
            <v>13</v>
          </cell>
          <cell r="L1457">
            <v>160.01</v>
          </cell>
          <cell r="M1457">
            <v>1</v>
          </cell>
          <cell r="N1457">
            <v>21.1</v>
          </cell>
          <cell r="O1457">
            <v>13.1</v>
          </cell>
          <cell r="P1457">
            <v>41.6</v>
          </cell>
          <cell r="S1457">
            <v>36.5</v>
          </cell>
          <cell r="T1457">
            <v>25.9</v>
          </cell>
          <cell r="U1457">
            <v>2</v>
          </cell>
        </row>
        <row r="1458">
          <cell r="B1458" t="str">
            <v>Male</v>
          </cell>
          <cell r="F1458">
            <v>27</v>
          </cell>
          <cell r="G1458">
            <v>46.2</v>
          </cell>
          <cell r="H1458">
            <v>19.3</v>
          </cell>
          <cell r="I1458">
            <v>42.3</v>
          </cell>
          <cell r="J1458">
            <v>12</v>
          </cell>
          <cell r="K1458">
            <v>25</v>
          </cell>
          <cell r="L1458">
            <v>55.47</v>
          </cell>
          <cell r="M1458">
            <v>32</v>
          </cell>
          <cell r="N1458">
            <v>47.5</v>
          </cell>
          <cell r="O1458">
            <v>4.7</v>
          </cell>
          <cell r="P1458">
            <v>41.9</v>
          </cell>
          <cell r="S1458">
            <v>40.799999999999997</v>
          </cell>
          <cell r="T1458">
            <v>33.799999999999997</v>
          </cell>
          <cell r="U1458">
            <v>2</v>
          </cell>
        </row>
        <row r="1459">
          <cell r="B1459" t="str">
            <v>Male</v>
          </cell>
          <cell r="F1459">
            <v>9</v>
          </cell>
          <cell r="G1459">
            <v>34.700000000000003</v>
          </cell>
          <cell r="H1459">
            <v>8.5</v>
          </cell>
          <cell r="I1459">
            <v>48.2</v>
          </cell>
          <cell r="J1459">
            <v>1</v>
          </cell>
          <cell r="K1459">
            <v>15</v>
          </cell>
          <cell r="L1459">
            <v>64.290000000000006</v>
          </cell>
          <cell r="M1459">
            <v>14</v>
          </cell>
          <cell r="N1459">
            <v>10.3</v>
          </cell>
          <cell r="O1459">
            <v>1.3</v>
          </cell>
          <cell r="P1459">
            <v>25.3</v>
          </cell>
          <cell r="S1459">
            <v>16.100000000000001</v>
          </cell>
          <cell r="T1459">
            <v>22.2</v>
          </cell>
        </row>
        <row r="1460">
          <cell r="B1460" t="str">
            <v>Male</v>
          </cell>
          <cell r="F1460">
            <v>17</v>
          </cell>
          <cell r="G1460">
            <v>40.1</v>
          </cell>
          <cell r="H1460">
            <v>8.8000000000000007</v>
          </cell>
          <cell r="I1460">
            <v>35.299999999999997</v>
          </cell>
          <cell r="J1460">
            <v>6</v>
          </cell>
          <cell r="K1460">
            <v>13</v>
          </cell>
          <cell r="L1460">
            <v>109.54</v>
          </cell>
          <cell r="N1460">
            <v>12.3</v>
          </cell>
          <cell r="O1460">
            <v>5</v>
          </cell>
          <cell r="P1460">
            <v>37</v>
          </cell>
          <cell r="S1460">
            <v>54.9</v>
          </cell>
          <cell r="T1460">
            <v>30.9</v>
          </cell>
          <cell r="U1460">
            <v>2</v>
          </cell>
        </row>
        <row r="1461">
          <cell r="B1461" t="str">
            <v>Male</v>
          </cell>
          <cell r="F1461">
            <v>17</v>
          </cell>
          <cell r="G1461">
            <v>27.1</v>
          </cell>
          <cell r="H1461">
            <v>10.4</v>
          </cell>
          <cell r="I1461">
            <v>56</v>
          </cell>
          <cell r="J1461">
            <v>5</v>
          </cell>
          <cell r="K1461">
            <v>12</v>
          </cell>
          <cell r="L1461">
            <v>191.63</v>
          </cell>
          <cell r="M1461">
            <v>43</v>
          </cell>
          <cell r="N1461">
            <v>49.4</v>
          </cell>
          <cell r="O1461">
            <v>7.1</v>
          </cell>
          <cell r="P1461">
            <v>29.2</v>
          </cell>
          <cell r="U1461">
            <v>4</v>
          </cell>
        </row>
        <row r="1462">
          <cell r="B1462" t="str">
            <v>Female</v>
          </cell>
          <cell r="F1462">
            <v>21</v>
          </cell>
          <cell r="G1462">
            <v>14.1</v>
          </cell>
          <cell r="H1462">
            <v>8.4</v>
          </cell>
          <cell r="I1462">
            <v>68.7</v>
          </cell>
          <cell r="J1462">
            <v>2</v>
          </cell>
          <cell r="K1462">
            <v>12</v>
          </cell>
          <cell r="L1462">
            <v>244.95</v>
          </cell>
          <cell r="M1462">
            <v>2</v>
          </cell>
          <cell r="N1462">
            <v>55.4</v>
          </cell>
          <cell r="O1462">
            <v>4.3</v>
          </cell>
          <cell r="P1462">
            <v>9.8000000000000007</v>
          </cell>
          <cell r="S1462">
            <v>10.5</v>
          </cell>
          <cell r="T1462">
            <v>11.7</v>
          </cell>
        </row>
        <row r="1463">
          <cell r="B1463" t="str">
            <v>Male</v>
          </cell>
          <cell r="F1463">
            <v>13</v>
          </cell>
          <cell r="G1463">
            <v>21.1</v>
          </cell>
          <cell r="H1463">
            <v>8</v>
          </cell>
          <cell r="I1463">
            <v>61.6</v>
          </cell>
          <cell r="J1463">
            <v>5</v>
          </cell>
          <cell r="K1463">
            <v>7</v>
          </cell>
          <cell r="L1463">
            <v>128.21</v>
          </cell>
          <cell r="M1463">
            <v>9</v>
          </cell>
          <cell r="N1463">
            <v>26.1</v>
          </cell>
          <cell r="O1463">
            <v>6</v>
          </cell>
          <cell r="P1463">
            <v>19.5</v>
          </cell>
          <cell r="S1463">
            <v>23.8</v>
          </cell>
          <cell r="T1463">
            <v>17.399999999999999</v>
          </cell>
          <cell r="U1463">
            <v>1</v>
          </cell>
        </row>
        <row r="1464">
          <cell r="B1464" t="str">
            <v>Male</v>
          </cell>
          <cell r="F1464">
            <v>13</v>
          </cell>
          <cell r="G1464">
            <v>43.8</v>
          </cell>
          <cell r="H1464">
            <v>15.8</v>
          </cell>
          <cell r="I1464">
            <v>40.799999999999997</v>
          </cell>
          <cell r="J1464">
            <v>9</v>
          </cell>
          <cell r="K1464">
            <v>21</v>
          </cell>
          <cell r="L1464">
            <v>79.44</v>
          </cell>
          <cell r="M1464">
            <v>52</v>
          </cell>
          <cell r="N1464">
            <v>67.099999999999994</v>
          </cell>
          <cell r="O1464">
            <v>2.1</v>
          </cell>
          <cell r="P1464">
            <v>33.1</v>
          </cell>
          <cell r="S1464">
            <v>59</v>
          </cell>
          <cell r="T1464">
            <v>34.5</v>
          </cell>
          <cell r="U1464">
            <v>3</v>
          </cell>
        </row>
        <row r="1465">
          <cell r="B1465" t="str">
            <v>Male</v>
          </cell>
          <cell r="F1465">
            <v>9</v>
          </cell>
          <cell r="G1465">
            <v>25.5</v>
          </cell>
          <cell r="H1465">
            <v>10.4</v>
          </cell>
          <cell r="I1465">
            <v>67.7</v>
          </cell>
          <cell r="J1465">
            <v>6</v>
          </cell>
          <cell r="K1465">
            <v>13</v>
          </cell>
          <cell r="L1465">
            <v>101.04</v>
          </cell>
          <cell r="M1465">
            <v>3</v>
          </cell>
          <cell r="N1465">
            <v>42</v>
          </cell>
          <cell r="O1465">
            <v>8.6999999999999993</v>
          </cell>
          <cell r="P1465">
            <v>13.7</v>
          </cell>
          <cell r="S1465">
            <v>15.1</v>
          </cell>
          <cell r="T1465">
            <v>21.5</v>
          </cell>
          <cell r="U1465">
            <v>2</v>
          </cell>
        </row>
        <row r="1466">
          <cell r="B1466" t="str">
            <v>Female</v>
          </cell>
          <cell r="F1466">
            <v>2</v>
          </cell>
          <cell r="G1466">
            <v>11.4</v>
          </cell>
          <cell r="H1466">
            <v>4.2</v>
          </cell>
          <cell r="I1466">
            <v>73.099999999999994</v>
          </cell>
          <cell r="J1466">
            <v>1</v>
          </cell>
          <cell r="K1466">
            <v>9</v>
          </cell>
          <cell r="L1466">
            <v>61.67</v>
          </cell>
          <cell r="M1466">
            <v>21</v>
          </cell>
          <cell r="N1466">
            <v>38.4</v>
          </cell>
          <cell r="O1466">
            <v>8.5</v>
          </cell>
          <cell r="S1466">
            <v>37</v>
          </cell>
        </row>
        <row r="1467">
          <cell r="B1467" t="str">
            <v>Male</v>
          </cell>
          <cell r="F1467">
            <v>18</v>
          </cell>
          <cell r="G1467">
            <v>42.5</v>
          </cell>
          <cell r="H1467">
            <v>10.9</v>
          </cell>
          <cell r="I1467">
            <v>37.200000000000003</v>
          </cell>
          <cell r="J1467">
            <v>9</v>
          </cell>
          <cell r="K1467">
            <v>19.5</v>
          </cell>
          <cell r="L1467">
            <v>61.52</v>
          </cell>
          <cell r="M1467">
            <v>27</v>
          </cell>
          <cell r="N1467">
            <v>9.48</v>
          </cell>
          <cell r="O1467">
            <v>2.5</v>
          </cell>
          <cell r="P1467">
            <v>28</v>
          </cell>
          <cell r="S1467">
            <v>24.4</v>
          </cell>
          <cell r="U1467">
            <v>1</v>
          </cell>
        </row>
        <row r="1468">
          <cell r="B1468" t="str">
            <v>Male</v>
          </cell>
          <cell r="F1468">
            <v>20</v>
          </cell>
          <cell r="G1468">
            <v>36.700000000000003</v>
          </cell>
          <cell r="H1468">
            <v>12</v>
          </cell>
          <cell r="I1468">
            <v>58.3</v>
          </cell>
          <cell r="J1468">
            <v>2</v>
          </cell>
          <cell r="K1468">
            <v>18</v>
          </cell>
          <cell r="L1468">
            <v>163.61000000000001</v>
          </cell>
          <cell r="M1468">
            <v>14</v>
          </cell>
          <cell r="N1468">
            <v>50.3</v>
          </cell>
          <cell r="O1468">
            <v>8.4</v>
          </cell>
          <cell r="P1468">
            <v>31.9</v>
          </cell>
          <cell r="S1468">
            <v>37.1</v>
          </cell>
          <cell r="T1468">
            <v>29.9</v>
          </cell>
          <cell r="U1468">
            <v>3</v>
          </cell>
        </row>
        <row r="1469">
          <cell r="B1469" t="str">
            <v>Female</v>
          </cell>
          <cell r="F1469">
            <v>0</v>
          </cell>
          <cell r="G1469">
            <v>12.2</v>
          </cell>
          <cell r="H1469">
            <v>6</v>
          </cell>
          <cell r="I1469">
            <v>60.2</v>
          </cell>
          <cell r="J1469">
            <v>2</v>
          </cell>
          <cell r="K1469">
            <v>7</v>
          </cell>
          <cell r="L1469">
            <v>118.06</v>
          </cell>
          <cell r="M1469">
            <v>14</v>
          </cell>
          <cell r="N1469">
            <v>93.9</v>
          </cell>
          <cell r="O1469">
            <v>11.3</v>
          </cell>
          <cell r="S1469">
            <v>26.9</v>
          </cell>
        </row>
        <row r="1470">
          <cell r="B1470" t="str">
            <v>Female</v>
          </cell>
          <cell r="F1470">
            <v>23</v>
          </cell>
          <cell r="G1470">
            <v>40</v>
          </cell>
          <cell r="H1470">
            <v>9.5</v>
          </cell>
          <cell r="I1470">
            <v>37.4</v>
          </cell>
          <cell r="J1470">
            <v>5</v>
          </cell>
          <cell r="K1470">
            <v>22.1</v>
          </cell>
          <cell r="L1470">
            <v>192.31</v>
          </cell>
          <cell r="M1470">
            <v>1</v>
          </cell>
          <cell r="N1470">
            <v>75</v>
          </cell>
          <cell r="O1470">
            <v>9.6</v>
          </cell>
          <cell r="P1470">
            <v>34.5</v>
          </cell>
          <cell r="S1470">
            <v>30.4</v>
          </cell>
          <cell r="T1470">
            <v>28</v>
          </cell>
          <cell r="U1470">
            <v>3</v>
          </cell>
        </row>
        <row r="1471">
          <cell r="B1471" t="str">
            <v>Male</v>
          </cell>
          <cell r="F1471">
            <v>11</v>
          </cell>
          <cell r="G1471">
            <v>38.5</v>
          </cell>
          <cell r="H1471">
            <v>9</v>
          </cell>
          <cell r="I1471">
            <v>51.8</v>
          </cell>
          <cell r="J1471">
            <v>5</v>
          </cell>
          <cell r="K1471">
            <v>11</v>
          </cell>
          <cell r="L1471">
            <v>141.16999999999999</v>
          </cell>
          <cell r="M1471">
            <v>25</v>
          </cell>
          <cell r="N1471">
            <v>34.6</v>
          </cell>
          <cell r="O1471">
            <v>3.7</v>
          </cell>
          <cell r="P1471">
            <v>20.7</v>
          </cell>
          <cell r="S1471">
            <v>33.5</v>
          </cell>
          <cell r="T1471">
            <v>12.5</v>
          </cell>
          <cell r="U1471">
            <v>2</v>
          </cell>
        </row>
        <row r="1472">
          <cell r="B1472" t="str">
            <v>Male</v>
          </cell>
          <cell r="F1472">
            <v>0</v>
          </cell>
          <cell r="G1472">
            <v>16.5</v>
          </cell>
          <cell r="H1472">
            <v>3.7</v>
          </cell>
          <cell r="I1472">
            <v>65</v>
          </cell>
          <cell r="J1472">
            <v>0</v>
          </cell>
          <cell r="K1472">
            <v>3</v>
          </cell>
          <cell r="L1472">
            <v>90.04</v>
          </cell>
          <cell r="M1472">
            <v>8</v>
          </cell>
          <cell r="N1472">
            <v>48</v>
          </cell>
          <cell r="O1472">
            <v>6</v>
          </cell>
          <cell r="P1472">
            <v>10.4</v>
          </cell>
          <cell r="S1472">
            <v>16.899999999999999</v>
          </cell>
          <cell r="T1472">
            <v>3</v>
          </cell>
          <cell r="U1472">
            <v>1</v>
          </cell>
        </row>
        <row r="1473">
          <cell r="B1473" t="str">
            <v>Male</v>
          </cell>
          <cell r="F1473">
            <v>22</v>
          </cell>
          <cell r="G1473">
            <v>53.6</v>
          </cell>
          <cell r="H1473">
            <v>11.3</v>
          </cell>
          <cell r="I1473">
            <v>35.299999999999997</v>
          </cell>
          <cell r="K1473">
            <v>18</v>
          </cell>
          <cell r="L1473">
            <v>103.37</v>
          </cell>
          <cell r="M1473">
            <v>4</v>
          </cell>
          <cell r="N1473">
            <v>7.4</v>
          </cell>
          <cell r="O1473">
            <v>9.9</v>
          </cell>
          <cell r="P1473">
            <v>43.8</v>
          </cell>
          <cell r="S1473">
            <v>45.5</v>
          </cell>
          <cell r="T1473">
            <v>17.7</v>
          </cell>
          <cell r="U1473">
            <v>1</v>
          </cell>
        </row>
        <row r="1474">
          <cell r="B1474" t="str">
            <v>Male</v>
          </cell>
          <cell r="F1474">
            <v>0</v>
          </cell>
          <cell r="H1474">
            <v>6</v>
          </cell>
          <cell r="I1474">
            <v>74.400000000000006</v>
          </cell>
          <cell r="J1474">
            <v>1</v>
          </cell>
          <cell r="K1474">
            <v>6</v>
          </cell>
          <cell r="L1474">
            <v>149.88</v>
          </cell>
          <cell r="M1474">
            <v>19</v>
          </cell>
          <cell r="N1474">
            <v>31.2</v>
          </cell>
          <cell r="O1474">
            <v>9.1</v>
          </cell>
          <cell r="S1474">
            <v>20.100000000000001</v>
          </cell>
          <cell r="T1474">
            <v>15.4</v>
          </cell>
          <cell r="U1474">
            <v>2</v>
          </cell>
        </row>
        <row r="1475">
          <cell r="B1475" t="str">
            <v>Female</v>
          </cell>
          <cell r="F1475">
            <v>8</v>
          </cell>
          <cell r="G1475">
            <v>20.6</v>
          </cell>
          <cell r="H1475">
            <v>5.5</v>
          </cell>
          <cell r="I1475">
            <v>68.2</v>
          </cell>
          <cell r="J1475">
            <v>2</v>
          </cell>
          <cell r="K1475">
            <v>5</v>
          </cell>
          <cell r="L1475">
            <v>170.52</v>
          </cell>
          <cell r="M1475">
            <v>10</v>
          </cell>
          <cell r="N1475">
            <v>66.099999999999994</v>
          </cell>
          <cell r="O1475">
            <v>3.5</v>
          </cell>
          <cell r="P1475">
            <v>7.3</v>
          </cell>
          <cell r="S1475">
            <v>0</v>
          </cell>
          <cell r="T1475">
            <v>10.199999999999999</v>
          </cell>
          <cell r="U1475">
            <v>2</v>
          </cell>
        </row>
        <row r="1476">
          <cell r="B1476" t="str">
            <v>Female</v>
          </cell>
          <cell r="F1476">
            <v>2</v>
          </cell>
          <cell r="G1476">
            <v>22.6</v>
          </cell>
          <cell r="H1476">
            <v>4.2</v>
          </cell>
          <cell r="I1476">
            <v>86.3</v>
          </cell>
          <cell r="J1476">
            <v>2</v>
          </cell>
          <cell r="K1476">
            <v>11</v>
          </cell>
          <cell r="L1476">
            <v>59.64</v>
          </cell>
          <cell r="M1476">
            <v>4</v>
          </cell>
          <cell r="N1476">
            <v>41.3</v>
          </cell>
          <cell r="O1476">
            <v>1.7</v>
          </cell>
          <cell r="P1476">
            <v>0</v>
          </cell>
          <cell r="U1476">
            <v>2</v>
          </cell>
        </row>
        <row r="1477">
          <cell r="B1477" t="str">
            <v>Female</v>
          </cell>
          <cell r="F1477">
            <v>4</v>
          </cell>
          <cell r="G1477">
            <v>17.3</v>
          </cell>
          <cell r="H1477">
            <v>4.5999999999999996</v>
          </cell>
          <cell r="I1477">
            <v>68.099999999999994</v>
          </cell>
          <cell r="J1477">
            <v>0</v>
          </cell>
          <cell r="K1477">
            <v>5.2</v>
          </cell>
          <cell r="L1477">
            <v>164.99</v>
          </cell>
          <cell r="M1477">
            <v>1</v>
          </cell>
          <cell r="N1477">
            <v>3.84</v>
          </cell>
          <cell r="O1477">
            <v>10.7</v>
          </cell>
          <cell r="P1477">
            <v>7.4</v>
          </cell>
          <cell r="S1477">
            <v>11.4</v>
          </cell>
          <cell r="T1477">
            <v>14.3</v>
          </cell>
          <cell r="U1477">
            <v>3</v>
          </cell>
        </row>
        <row r="1478">
          <cell r="B1478" t="str">
            <v>Male</v>
          </cell>
          <cell r="F1478">
            <v>18</v>
          </cell>
          <cell r="G1478">
            <v>29.9</v>
          </cell>
          <cell r="H1478">
            <v>8.6</v>
          </cell>
          <cell r="I1478">
            <v>47.7</v>
          </cell>
          <cell r="J1478">
            <v>6</v>
          </cell>
          <cell r="K1478">
            <v>19.5</v>
          </cell>
          <cell r="L1478">
            <v>106.65</v>
          </cell>
          <cell r="M1478">
            <v>5</v>
          </cell>
          <cell r="O1478">
            <v>2.6</v>
          </cell>
          <cell r="P1478">
            <v>27.9</v>
          </cell>
          <cell r="S1478">
            <v>19.8</v>
          </cell>
          <cell r="T1478">
            <v>24.8</v>
          </cell>
          <cell r="U1478">
            <v>3</v>
          </cell>
        </row>
        <row r="1479">
          <cell r="B1479" t="str">
            <v>Male</v>
          </cell>
          <cell r="F1479">
            <v>22</v>
          </cell>
          <cell r="G1479">
            <v>43.1</v>
          </cell>
          <cell r="H1479">
            <v>15.3</v>
          </cell>
          <cell r="I1479">
            <v>45.7</v>
          </cell>
          <cell r="J1479">
            <v>9</v>
          </cell>
          <cell r="K1479">
            <v>27.3</v>
          </cell>
          <cell r="L1479">
            <v>103.99</v>
          </cell>
          <cell r="N1479">
            <v>38.04</v>
          </cell>
          <cell r="O1479">
            <v>5.6</v>
          </cell>
          <cell r="P1479">
            <v>24.5</v>
          </cell>
          <cell r="T1479">
            <v>37.299999999999997</v>
          </cell>
          <cell r="U1479">
            <v>4</v>
          </cell>
        </row>
        <row r="1480">
          <cell r="B1480" t="str">
            <v>Female</v>
          </cell>
          <cell r="F1480">
            <v>23</v>
          </cell>
          <cell r="G1480">
            <v>48.2</v>
          </cell>
          <cell r="H1480">
            <v>13.5</v>
          </cell>
          <cell r="I1480">
            <v>35.200000000000003</v>
          </cell>
          <cell r="J1480">
            <v>4</v>
          </cell>
          <cell r="K1480">
            <v>17</v>
          </cell>
          <cell r="L1480">
            <v>127.16</v>
          </cell>
          <cell r="M1480">
            <v>1</v>
          </cell>
          <cell r="N1480">
            <v>40.6</v>
          </cell>
          <cell r="O1480">
            <v>4.4000000000000004</v>
          </cell>
          <cell r="P1480">
            <v>20.100000000000001</v>
          </cell>
          <cell r="S1480">
            <v>53.1</v>
          </cell>
          <cell r="T1480">
            <v>26</v>
          </cell>
          <cell r="U1480">
            <v>2</v>
          </cell>
        </row>
        <row r="1481">
          <cell r="B1481" t="str">
            <v>Male</v>
          </cell>
          <cell r="F1481">
            <v>7</v>
          </cell>
          <cell r="G1481">
            <v>26.8</v>
          </cell>
          <cell r="H1481">
            <v>5.2</v>
          </cell>
          <cell r="I1481">
            <v>49.3</v>
          </cell>
          <cell r="J1481">
            <v>1</v>
          </cell>
          <cell r="K1481">
            <v>10</v>
          </cell>
          <cell r="L1481">
            <v>107.15</v>
          </cell>
          <cell r="M1481">
            <v>6</v>
          </cell>
          <cell r="N1481">
            <v>69.400000000000006</v>
          </cell>
          <cell r="P1481">
            <v>15.2</v>
          </cell>
          <cell r="S1481">
            <v>25.8</v>
          </cell>
          <cell r="T1481">
            <v>15.9</v>
          </cell>
          <cell r="U1481">
            <v>2</v>
          </cell>
        </row>
        <row r="1482">
          <cell r="B1482" t="str">
            <v>Male</v>
          </cell>
          <cell r="F1482">
            <v>10</v>
          </cell>
          <cell r="G1482">
            <v>24.3</v>
          </cell>
          <cell r="H1482">
            <v>5.9</v>
          </cell>
          <cell r="I1482">
            <v>44.6</v>
          </cell>
          <cell r="J1482">
            <v>1</v>
          </cell>
          <cell r="K1482">
            <v>7</v>
          </cell>
          <cell r="L1482">
            <v>177.61</v>
          </cell>
          <cell r="N1482">
            <v>18.5</v>
          </cell>
          <cell r="O1482">
            <v>3</v>
          </cell>
          <cell r="P1482">
            <v>0</v>
          </cell>
          <cell r="S1482">
            <v>19</v>
          </cell>
          <cell r="T1482">
            <v>10.7</v>
          </cell>
          <cell r="U1482">
            <v>2</v>
          </cell>
        </row>
        <row r="1483">
          <cell r="B1483" t="str">
            <v>Female</v>
          </cell>
          <cell r="F1483">
            <v>9</v>
          </cell>
          <cell r="G1483">
            <v>19.7</v>
          </cell>
          <cell r="I1483">
            <v>65.599999999999994</v>
          </cell>
          <cell r="J1483">
            <v>3</v>
          </cell>
          <cell r="K1483">
            <v>8</v>
          </cell>
          <cell r="L1483">
            <v>104.68</v>
          </cell>
          <cell r="M1483">
            <v>27</v>
          </cell>
          <cell r="N1483">
            <v>41.1</v>
          </cell>
          <cell r="O1483">
            <v>6</v>
          </cell>
          <cell r="P1483">
            <v>20</v>
          </cell>
          <cell r="S1483">
            <v>35.299999999999997</v>
          </cell>
          <cell r="T1483">
            <v>11.6</v>
          </cell>
          <cell r="U1483">
            <v>1</v>
          </cell>
        </row>
        <row r="1484">
          <cell r="B1484" t="str">
            <v>Female</v>
          </cell>
          <cell r="F1484">
            <v>18</v>
          </cell>
          <cell r="G1484">
            <v>37</v>
          </cell>
          <cell r="H1484">
            <v>15.3</v>
          </cell>
          <cell r="I1484">
            <v>43.6</v>
          </cell>
          <cell r="J1484">
            <v>5</v>
          </cell>
          <cell r="K1484">
            <v>17</v>
          </cell>
          <cell r="L1484">
            <v>115.45</v>
          </cell>
          <cell r="M1484">
            <v>37</v>
          </cell>
          <cell r="N1484">
            <v>5.9</v>
          </cell>
          <cell r="O1484">
            <v>4.5999999999999996</v>
          </cell>
          <cell r="P1484">
            <v>35.200000000000003</v>
          </cell>
          <cell r="S1484">
            <v>69.599999999999994</v>
          </cell>
          <cell r="T1484">
            <v>35.299999999999997</v>
          </cell>
          <cell r="U1484">
            <v>2</v>
          </cell>
        </row>
        <row r="1485">
          <cell r="B1485" t="str">
            <v>Male</v>
          </cell>
          <cell r="F1485">
            <v>13</v>
          </cell>
          <cell r="G1485">
            <v>18.5</v>
          </cell>
          <cell r="H1485">
            <v>8.8000000000000007</v>
          </cell>
          <cell r="I1485">
            <v>67.5</v>
          </cell>
          <cell r="J1485">
            <v>1</v>
          </cell>
          <cell r="K1485">
            <v>13</v>
          </cell>
          <cell r="L1485">
            <v>88.74</v>
          </cell>
          <cell r="M1485">
            <v>30</v>
          </cell>
          <cell r="N1485">
            <v>13.08</v>
          </cell>
          <cell r="O1485">
            <v>6.3</v>
          </cell>
          <cell r="P1485">
            <v>17.100000000000001</v>
          </cell>
          <cell r="S1485">
            <v>26.2</v>
          </cell>
          <cell r="T1485">
            <v>13</v>
          </cell>
          <cell r="U1485">
            <v>2</v>
          </cell>
        </row>
        <row r="1486">
          <cell r="B1486" t="str">
            <v>Female</v>
          </cell>
          <cell r="F1486">
            <v>16</v>
          </cell>
          <cell r="H1486">
            <v>6.6</v>
          </cell>
          <cell r="I1486">
            <v>63.1</v>
          </cell>
          <cell r="K1486">
            <v>8</v>
          </cell>
          <cell r="L1486">
            <v>59.92</v>
          </cell>
          <cell r="M1486">
            <v>45</v>
          </cell>
          <cell r="N1486">
            <v>56.3</v>
          </cell>
          <cell r="O1486">
            <v>0.3</v>
          </cell>
          <cell r="P1486">
            <v>12.8</v>
          </cell>
          <cell r="S1486">
            <v>22.7</v>
          </cell>
          <cell r="T1486">
            <v>9.5</v>
          </cell>
          <cell r="U1486">
            <v>2</v>
          </cell>
        </row>
        <row r="1487">
          <cell r="B1487" t="str">
            <v>Male</v>
          </cell>
          <cell r="F1487">
            <v>7</v>
          </cell>
          <cell r="G1487">
            <v>16.899999999999999</v>
          </cell>
          <cell r="H1487">
            <v>5.4</v>
          </cell>
          <cell r="I1487">
            <v>74.8</v>
          </cell>
          <cell r="J1487">
            <v>2</v>
          </cell>
          <cell r="K1487">
            <v>6</v>
          </cell>
          <cell r="L1487">
            <v>220.46</v>
          </cell>
          <cell r="M1487">
            <v>6</v>
          </cell>
          <cell r="N1487">
            <v>37.200000000000003</v>
          </cell>
          <cell r="O1487">
            <v>7.4</v>
          </cell>
          <cell r="P1487">
            <v>15.8</v>
          </cell>
          <cell r="S1487">
            <v>6.3</v>
          </cell>
          <cell r="T1487">
            <v>8.8000000000000007</v>
          </cell>
          <cell r="U1487">
            <v>2</v>
          </cell>
        </row>
        <row r="1488">
          <cell r="B1488" t="str">
            <v>Female</v>
          </cell>
          <cell r="F1488">
            <v>19</v>
          </cell>
          <cell r="G1488">
            <v>23.4</v>
          </cell>
          <cell r="H1488">
            <v>9.9</v>
          </cell>
          <cell r="I1488">
            <v>42.6</v>
          </cell>
          <cell r="J1488">
            <v>4</v>
          </cell>
          <cell r="K1488">
            <v>11</v>
          </cell>
          <cell r="L1488">
            <v>73.040000000000006</v>
          </cell>
          <cell r="M1488">
            <v>4</v>
          </cell>
          <cell r="N1488">
            <v>83.6</v>
          </cell>
          <cell r="O1488">
            <v>2.1</v>
          </cell>
          <cell r="P1488">
            <v>29.4</v>
          </cell>
          <cell r="S1488">
            <v>27</v>
          </cell>
          <cell r="T1488">
            <v>20.399999999999999</v>
          </cell>
          <cell r="U1488">
            <v>1</v>
          </cell>
        </row>
        <row r="1489">
          <cell r="B1489" t="str">
            <v>Male</v>
          </cell>
          <cell r="F1489">
            <v>18</v>
          </cell>
          <cell r="G1489">
            <v>36.1</v>
          </cell>
          <cell r="H1489">
            <v>11.9</v>
          </cell>
          <cell r="I1489">
            <v>59.9</v>
          </cell>
          <cell r="J1489">
            <v>6</v>
          </cell>
          <cell r="K1489">
            <v>13</v>
          </cell>
          <cell r="L1489">
            <v>153.57</v>
          </cell>
          <cell r="M1489">
            <v>63</v>
          </cell>
          <cell r="N1489">
            <v>34.9</v>
          </cell>
          <cell r="O1489">
            <v>3.2</v>
          </cell>
          <cell r="P1489">
            <v>40.6</v>
          </cell>
          <cell r="S1489">
            <v>24.4</v>
          </cell>
          <cell r="T1489">
            <v>19.899999999999999</v>
          </cell>
          <cell r="U1489">
            <v>4</v>
          </cell>
        </row>
        <row r="1490">
          <cell r="B1490" t="str">
            <v>Male</v>
          </cell>
          <cell r="F1490">
            <v>15</v>
          </cell>
          <cell r="G1490">
            <v>35.799999999999997</v>
          </cell>
          <cell r="H1490">
            <v>15.8</v>
          </cell>
          <cell r="I1490">
            <v>36.5</v>
          </cell>
          <cell r="J1490">
            <v>8</v>
          </cell>
          <cell r="K1490">
            <v>19</v>
          </cell>
          <cell r="L1490">
            <v>182.73</v>
          </cell>
          <cell r="M1490">
            <v>9</v>
          </cell>
          <cell r="N1490">
            <v>62.3</v>
          </cell>
          <cell r="O1490">
            <v>2.2999999999999998</v>
          </cell>
          <cell r="P1490">
            <v>46.9</v>
          </cell>
          <cell r="S1490">
            <v>21.5</v>
          </cell>
          <cell r="T1490">
            <v>28.2</v>
          </cell>
          <cell r="U1490">
            <v>4</v>
          </cell>
        </row>
        <row r="1491">
          <cell r="B1491" t="str">
            <v>Male</v>
          </cell>
          <cell r="F1491">
            <v>3</v>
          </cell>
          <cell r="G1491">
            <v>18.5</v>
          </cell>
          <cell r="H1491">
            <v>6.2</v>
          </cell>
          <cell r="I1491">
            <v>61.9</v>
          </cell>
          <cell r="K1491">
            <v>5</v>
          </cell>
          <cell r="L1491">
            <v>119.6</v>
          </cell>
          <cell r="M1491">
            <v>20</v>
          </cell>
          <cell r="N1491">
            <v>37.9</v>
          </cell>
          <cell r="O1491">
            <v>3.7</v>
          </cell>
          <cell r="P1491">
            <v>24.2</v>
          </cell>
          <cell r="S1491">
            <v>0</v>
          </cell>
          <cell r="U1491">
            <v>2</v>
          </cell>
        </row>
        <row r="1492">
          <cell r="B1492" t="str">
            <v>Female</v>
          </cell>
          <cell r="F1492">
            <v>6</v>
          </cell>
          <cell r="G1492">
            <v>22.8</v>
          </cell>
          <cell r="H1492">
            <v>9.3000000000000007</v>
          </cell>
          <cell r="I1492">
            <v>42.5</v>
          </cell>
          <cell r="J1492">
            <v>4</v>
          </cell>
          <cell r="K1492">
            <v>8</v>
          </cell>
          <cell r="L1492">
            <v>123.5</v>
          </cell>
          <cell r="M1492">
            <v>51</v>
          </cell>
          <cell r="O1492">
            <v>6.9</v>
          </cell>
          <cell r="P1492">
            <v>25.4</v>
          </cell>
          <cell r="S1492">
            <v>22</v>
          </cell>
          <cell r="T1492">
            <v>16.2</v>
          </cell>
          <cell r="U1492">
            <v>2</v>
          </cell>
        </row>
        <row r="1493">
          <cell r="B1493" t="str">
            <v>Male</v>
          </cell>
          <cell r="F1493">
            <v>21</v>
          </cell>
          <cell r="G1493">
            <v>25.6</v>
          </cell>
          <cell r="H1493">
            <v>9.5</v>
          </cell>
          <cell r="I1493">
            <v>46.9</v>
          </cell>
          <cell r="J1493">
            <v>2</v>
          </cell>
          <cell r="K1493">
            <v>11</v>
          </cell>
          <cell r="L1493">
            <v>63.22</v>
          </cell>
          <cell r="M1493">
            <v>10</v>
          </cell>
          <cell r="N1493">
            <v>2.2000000000000002</v>
          </cell>
          <cell r="O1493">
            <v>11.3</v>
          </cell>
          <cell r="P1493">
            <v>37.200000000000003</v>
          </cell>
          <cell r="T1493">
            <v>16.8</v>
          </cell>
          <cell r="U1493">
            <v>2</v>
          </cell>
        </row>
        <row r="1494">
          <cell r="B1494" t="str">
            <v>Female</v>
          </cell>
          <cell r="F1494">
            <v>1</v>
          </cell>
          <cell r="G1494">
            <v>23</v>
          </cell>
          <cell r="I1494">
            <v>61</v>
          </cell>
          <cell r="J1494">
            <v>2</v>
          </cell>
          <cell r="K1494">
            <v>9</v>
          </cell>
          <cell r="L1494">
            <v>57.99</v>
          </cell>
          <cell r="M1494">
            <v>96</v>
          </cell>
          <cell r="N1494">
            <v>42.4</v>
          </cell>
          <cell r="O1494">
            <v>2.7</v>
          </cell>
          <cell r="P1494">
            <v>19.399999999999999</v>
          </cell>
          <cell r="T1494">
            <v>16.399999999999999</v>
          </cell>
          <cell r="U1494">
            <v>2</v>
          </cell>
        </row>
        <row r="1495">
          <cell r="B1495" t="str">
            <v>Female</v>
          </cell>
          <cell r="F1495">
            <v>0</v>
          </cell>
          <cell r="G1495">
            <v>22.8</v>
          </cell>
          <cell r="H1495">
            <v>1.2</v>
          </cell>
          <cell r="I1495">
            <v>69.7</v>
          </cell>
          <cell r="J1495">
            <v>2</v>
          </cell>
          <cell r="K1495">
            <v>6</v>
          </cell>
          <cell r="L1495">
            <v>185.18</v>
          </cell>
          <cell r="M1495">
            <v>50</v>
          </cell>
          <cell r="N1495">
            <v>80.099999999999994</v>
          </cell>
          <cell r="O1495">
            <v>5.8</v>
          </cell>
          <cell r="P1495">
            <v>4.5</v>
          </cell>
          <cell r="S1495">
            <v>3.9</v>
          </cell>
          <cell r="T1495">
            <v>13.2</v>
          </cell>
          <cell r="U1495">
            <v>3</v>
          </cell>
        </row>
        <row r="1496">
          <cell r="B1496" t="str">
            <v>Female</v>
          </cell>
          <cell r="F1496">
            <v>25</v>
          </cell>
          <cell r="G1496">
            <v>34.299999999999997</v>
          </cell>
          <cell r="H1496">
            <v>9.9</v>
          </cell>
          <cell r="I1496">
            <v>41.4</v>
          </cell>
          <cell r="J1496">
            <v>10</v>
          </cell>
          <cell r="K1496">
            <v>13</v>
          </cell>
          <cell r="L1496">
            <v>100.62</v>
          </cell>
          <cell r="M1496">
            <v>85</v>
          </cell>
          <cell r="N1496">
            <v>37.6</v>
          </cell>
          <cell r="O1496">
            <v>2.6</v>
          </cell>
          <cell r="P1496">
            <v>9.4</v>
          </cell>
          <cell r="S1496">
            <v>37.6</v>
          </cell>
          <cell r="T1496">
            <v>27.3</v>
          </cell>
          <cell r="U1496">
            <v>2</v>
          </cell>
        </row>
        <row r="1497">
          <cell r="B1497" t="str">
            <v>Male</v>
          </cell>
          <cell r="F1497">
            <v>5</v>
          </cell>
          <cell r="G1497">
            <v>26.4</v>
          </cell>
          <cell r="H1497">
            <v>7.6</v>
          </cell>
          <cell r="I1497">
            <v>52.5</v>
          </cell>
          <cell r="J1497">
            <v>5</v>
          </cell>
          <cell r="K1497">
            <v>9</v>
          </cell>
          <cell r="L1497">
            <v>192.88</v>
          </cell>
          <cell r="N1497">
            <v>5.7</v>
          </cell>
          <cell r="O1497">
            <v>5.2</v>
          </cell>
          <cell r="S1497">
            <v>0</v>
          </cell>
          <cell r="T1497">
            <v>12.4</v>
          </cell>
        </row>
        <row r="1498">
          <cell r="B1498" t="str">
            <v>Female</v>
          </cell>
          <cell r="F1498">
            <v>16</v>
          </cell>
          <cell r="G1498">
            <v>28.2</v>
          </cell>
          <cell r="H1498">
            <v>6.8</v>
          </cell>
          <cell r="I1498">
            <v>32</v>
          </cell>
          <cell r="J1498">
            <v>5</v>
          </cell>
          <cell r="K1498">
            <v>14</v>
          </cell>
          <cell r="L1498">
            <v>67.91</v>
          </cell>
          <cell r="M1498">
            <v>41</v>
          </cell>
          <cell r="N1498">
            <v>64.2</v>
          </cell>
          <cell r="O1498">
            <v>8.3000000000000007</v>
          </cell>
          <cell r="P1498">
            <v>20.9</v>
          </cell>
          <cell r="S1498">
            <v>41.7</v>
          </cell>
          <cell r="U1498">
            <v>2</v>
          </cell>
        </row>
        <row r="1499">
          <cell r="B1499" t="str">
            <v>Male</v>
          </cell>
          <cell r="F1499">
            <v>3</v>
          </cell>
          <cell r="G1499">
            <v>12.2</v>
          </cell>
          <cell r="H1499">
            <v>5.2</v>
          </cell>
          <cell r="I1499">
            <v>81.3</v>
          </cell>
          <cell r="J1499">
            <v>1</v>
          </cell>
          <cell r="K1499">
            <v>10</v>
          </cell>
          <cell r="L1499">
            <v>104.79</v>
          </cell>
          <cell r="M1499">
            <v>25</v>
          </cell>
          <cell r="N1499">
            <v>16.899999999999999</v>
          </cell>
          <cell r="O1499">
            <v>3.9</v>
          </cell>
          <cell r="P1499">
            <v>14.9</v>
          </cell>
          <cell r="S1499">
            <v>0</v>
          </cell>
          <cell r="T1499">
            <v>6.5</v>
          </cell>
          <cell r="U1499">
            <v>3</v>
          </cell>
        </row>
        <row r="1500">
          <cell r="B1500" t="str">
            <v>Female</v>
          </cell>
          <cell r="F1500">
            <v>25</v>
          </cell>
          <cell r="G1500">
            <v>58.7</v>
          </cell>
          <cell r="H1500">
            <v>17.3</v>
          </cell>
          <cell r="I1500">
            <v>20</v>
          </cell>
          <cell r="J1500">
            <v>11</v>
          </cell>
          <cell r="K1500">
            <v>23</v>
          </cell>
          <cell r="L1500">
            <v>128.63999999999999</v>
          </cell>
          <cell r="M1500">
            <v>9</v>
          </cell>
          <cell r="N1500">
            <v>23</v>
          </cell>
          <cell r="P1500">
            <v>45.4</v>
          </cell>
          <cell r="S1500">
            <v>80.2</v>
          </cell>
          <cell r="T1500">
            <v>51.6</v>
          </cell>
          <cell r="U1500">
            <v>3</v>
          </cell>
        </row>
        <row r="1501">
          <cell r="B1501" t="str">
            <v>Female</v>
          </cell>
          <cell r="F1501">
            <v>8</v>
          </cell>
          <cell r="G1501">
            <v>36.799999999999997</v>
          </cell>
          <cell r="H1501">
            <v>7.8</v>
          </cell>
          <cell r="I1501">
            <v>40.4</v>
          </cell>
          <cell r="J1501">
            <v>6</v>
          </cell>
          <cell r="K1501">
            <v>19</v>
          </cell>
          <cell r="L1501">
            <v>132.91</v>
          </cell>
          <cell r="M1501">
            <v>51</v>
          </cell>
          <cell r="O1501">
            <v>10.1</v>
          </cell>
          <cell r="P1501">
            <v>16.8</v>
          </cell>
          <cell r="S1501">
            <v>39.799999999999997</v>
          </cell>
          <cell r="T1501">
            <v>15.3</v>
          </cell>
          <cell r="U1501">
            <v>4</v>
          </cell>
        </row>
        <row r="1502">
          <cell r="B1502" t="str">
            <v>Female</v>
          </cell>
          <cell r="F1502">
            <v>32</v>
          </cell>
          <cell r="G1502">
            <v>55.4</v>
          </cell>
          <cell r="H1502">
            <v>18.600000000000001</v>
          </cell>
          <cell r="I1502">
            <v>30.8</v>
          </cell>
          <cell r="J1502">
            <v>12</v>
          </cell>
          <cell r="K1502" t="str">
            <v>40.300000000000004</v>
          </cell>
          <cell r="L1502">
            <v>156.30000000000001</v>
          </cell>
          <cell r="M1502">
            <v>20</v>
          </cell>
          <cell r="N1502" t="str">
            <v>14.639999999999999</v>
          </cell>
          <cell r="O1502">
            <v>6.7</v>
          </cell>
          <cell r="P1502">
            <v>47.8</v>
          </cell>
          <cell r="S1502">
            <v>93.1</v>
          </cell>
          <cell r="T1502">
            <v>45.9</v>
          </cell>
          <cell r="U1502">
            <v>2</v>
          </cell>
        </row>
        <row r="1503">
          <cell r="B1503" t="str">
            <v>Male</v>
          </cell>
          <cell r="F1503">
            <v>4</v>
          </cell>
          <cell r="G1503">
            <v>22.6</v>
          </cell>
          <cell r="H1503">
            <v>8.1</v>
          </cell>
          <cell r="I1503">
            <v>53.4</v>
          </cell>
          <cell r="J1503">
            <v>2</v>
          </cell>
          <cell r="K1503">
            <v>13</v>
          </cell>
          <cell r="L1503">
            <v>90.06</v>
          </cell>
          <cell r="M1503">
            <v>3</v>
          </cell>
          <cell r="N1503">
            <v>86.1</v>
          </cell>
          <cell r="O1503">
            <v>12.7</v>
          </cell>
          <cell r="P1503">
            <v>9.3000000000000007</v>
          </cell>
          <cell r="S1503">
            <v>23.5</v>
          </cell>
          <cell r="T1503">
            <v>13.7</v>
          </cell>
          <cell r="U1503">
            <v>1</v>
          </cell>
        </row>
        <row r="1504">
          <cell r="B1504" t="str">
            <v>Female</v>
          </cell>
          <cell r="F1504">
            <v>10</v>
          </cell>
          <cell r="G1504">
            <v>36.799999999999997</v>
          </cell>
          <cell r="H1504">
            <v>5.8</v>
          </cell>
          <cell r="I1504">
            <v>39.1</v>
          </cell>
          <cell r="J1504">
            <v>8</v>
          </cell>
          <cell r="K1504">
            <v>11</v>
          </cell>
          <cell r="L1504">
            <v>122.89</v>
          </cell>
          <cell r="M1504">
            <v>72</v>
          </cell>
          <cell r="N1504">
            <v>37.9</v>
          </cell>
          <cell r="O1504">
            <v>10.7</v>
          </cell>
          <cell r="P1504">
            <v>42.7</v>
          </cell>
          <cell r="S1504">
            <v>41.4</v>
          </cell>
          <cell r="T1504">
            <v>23.1</v>
          </cell>
          <cell r="U1504">
            <v>3</v>
          </cell>
        </row>
        <row r="1505">
          <cell r="B1505" t="str">
            <v>Male</v>
          </cell>
          <cell r="F1505">
            <v>13</v>
          </cell>
          <cell r="G1505">
            <v>15.5</v>
          </cell>
          <cell r="H1505">
            <v>6</v>
          </cell>
          <cell r="I1505">
            <v>44.1</v>
          </cell>
          <cell r="J1505">
            <v>4</v>
          </cell>
          <cell r="K1505">
            <v>7</v>
          </cell>
          <cell r="L1505">
            <v>162.43</v>
          </cell>
          <cell r="M1505">
            <v>1</v>
          </cell>
          <cell r="N1505">
            <v>44.2</v>
          </cell>
          <cell r="O1505">
            <v>3.7</v>
          </cell>
          <cell r="P1505">
            <v>16</v>
          </cell>
          <cell r="S1505">
            <v>22.7</v>
          </cell>
          <cell r="U1505">
            <v>3</v>
          </cell>
        </row>
        <row r="1506">
          <cell r="B1506" t="str">
            <v>Female</v>
          </cell>
          <cell r="F1506">
            <v>16</v>
          </cell>
          <cell r="G1506">
            <v>40</v>
          </cell>
          <cell r="H1506">
            <v>12.9</v>
          </cell>
          <cell r="I1506">
            <v>39.1</v>
          </cell>
          <cell r="J1506">
            <v>5</v>
          </cell>
          <cell r="K1506">
            <v>22.1</v>
          </cell>
          <cell r="L1506">
            <v>99.8</v>
          </cell>
          <cell r="M1506">
            <v>79</v>
          </cell>
          <cell r="N1506" t="str">
            <v>31.679999999999996</v>
          </cell>
          <cell r="O1506">
            <v>2.1</v>
          </cell>
          <cell r="P1506">
            <v>28</v>
          </cell>
          <cell r="S1506">
            <v>59.5</v>
          </cell>
          <cell r="T1506">
            <v>24.9</v>
          </cell>
          <cell r="U1506">
            <v>3</v>
          </cell>
        </row>
        <row r="1507">
          <cell r="B1507" t="str">
            <v>Male</v>
          </cell>
          <cell r="F1507">
            <v>13</v>
          </cell>
          <cell r="G1507">
            <v>29.9</v>
          </cell>
          <cell r="H1507">
            <v>7.7</v>
          </cell>
          <cell r="I1507">
            <v>47.8</v>
          </cell>
          <cell r="J1507">
            <v>6</v>
          </cell>
          <cell r="K1507">
            <v>10</v>
          </cell>
          <cell r="L1507">
            <v>59.3</v>
          </cell>
          <cell r="M1507">
            <v>0</v>
          </cell>
          <cell r="N1507">
            <v>25.2</v>
          </cell>
          <cell r="O1507">
            <v>15.2</v>
          </cell>
          <cell r="P1507">
            <v>22.7</v>
          </cell>
          <cell r="S1507">
            <v>30.5</v>
          </cell>
          <cell r="T1507">
            <v>17.3</v>
          </cell>
          <cell r="U1507">
            <v>2</v>
          </cell>
        </row>
        <row r="1508">
          <cell r="B1508" t="str">
            <v>Female</v>
          </cell>
          <cell r="F1508">
            <v>4</v>
          </cell>
          <cell r="G1508">
            <v>30.5</v>
          </cell>
          <cell r="H1508">
            <v>7</v>
          </cell>
          <cell r="I1508">
            <v>58.7</v>
          </cell>
          <cell r="J1508">
            <v>6</v>
          </cell>
          <cell r="K1508">
            <v>9</v>
          </cell>
          <cell r="L1508">
            <v>55.65</v>
          </cell>
          <cell r="M1508">
            <v>123</v>
          </cell>
          <cell r="N1508">
            <v>27.9</v>
          </cell>
          <cell r="O1508">
            <v>3.5</v>
          </cell>
          <cell r="S1508">
            <v>0</v>
          </cell>
          <cell r="T1508">
            <v>16.7</v>
          </cell>
          <cell r="U1508">
            <v>2</v>
          </cell>
        </row>
        <row r="1509">
          <cell r="B1509" t="str">
            <v>Female</v>
          </cell>
          <cell r="F1509">
            <v>10</v>
          </cell>
          <cell r="G1509">
            <v>37.700000000000003</v>
          </cell>
          <cell r="H1509">
            <v>11.5</v>
          </cell>
          <cell r="I1509">
            <v>61.2</v>
          </cell>
          <cell r="J1509">
            <v>6</v>
          </cell>
          <cell r="K1509">
            <v>20.8</v>
          </cell>
          <cell r="L1509">
            <v>143.91999999999999</v>
          </cell>
          <cell r="M1509">
            <v>17</v>
          </cell>
          <cell r="N1509">
            <v>68.28</v>
          </cell>
          <cell r="O1509">
            <v>5.9</v>
          </cell>
          <cell r="P1509">
            <v>48.6</v>
          </cell>
          <cell r="S1509">
            <v>45.3</v>
          </cell>
          <cell r="U1509">
            <v>4</v>
          </cell>
        </row>
        <row r="1510">
          <cell r="B1510" t="str">
            <v>Male</v>
          </cell>
          <cell r="F1510">
            <v>5</v>
          </cell>
          <cell r="G1510">
            <v>23.9</v>
          </cell>
          <cell r="I1510">
            <v>53.4</v>
          </cell>
          <cell r="J1510">
            <v>1</v>
          </cell>
          <cell r="K1510">
            <v>9</v>
          </cell>
          <cell r="L1510">
            <v>90.28</v>
          </cell>
          <cell r="M1510">
            <v>8</v>
          </cell>
          <cell r="N1510">
            <v>46</v>
          </cell>
          <cell r="O1510">
            <v>4.4000000000000004</v>
          </cell>
          <cell r="P1510">
            <v>4.9000000000000004</v>
          </cell>
          <cell r="S1510">
            <v>24.4</v>
          </cell>
          <cell r="T1510">
            <v>13.9</v>
          </cell>
          <cell r="U1510">
            <v>4</v>
          </cell>
        </row>
        <row r="1511">
          <cell r="B1511" t="str">
            <v>Male</v>
          </cell>
          <cell r="F1511">
            <v>16</v>
          </cell>
          <cell r="G1511">
            <v>42.5</v>
          </cell>
          <cell r="H1511">
            <v>12.8</v>
          </cell>
          <cell r="I1511">
            <v>57</v>
          </cell>
          <cell r="J1511">
            <v>6</v>
          </cell>
          <cell r="K1511">
            <v>18</v>
          </cell>
          <cell r="L1511">
            <v>62.11</v>
          </cell>
          <cell r="M1511">
            <v>2</v>
          </cell>
          <cell r="N1511">
            <v>70.099999999999994</v>
          </cell>
          <cell r="O1511">
            <v>6.5</v>
          </cell>
          <cell r="P1511">
            <v>38.9</v>
          </cell>
          <cell r="S1511">
            <v>35.1</v>
          </cell>
          <cell r="T1511">
            <v>19</v>
          </cell>
          <cell r="U1511">
            <v>2</v>
          </cell>
        </row>
        <row r="1512">
          <cell r="B1512" t="str">
            <v>Female</v>
          </cell>
          <cell r="F1512">
            <v>8</v>
          </cell>
          <cell r="G1512">
            <v>26.7</v>
          </cell>
          <cell r="H1512">
            <v>9.1</v>
          </cell>
          <cell r="I1512">
            <v>65.400000000000006</v>
          </cell>
          <cell r="J1512">
            <v>6</v>
          </cell>
          <cell r="K1512">
            <v>15</v>
          </cell>
          <cell r="L1512">
            <v>114.56</v>
          </cell>
          <cell r="M1512">
            <v>4</v>
          </cell>
          <cell r="N1512">
            <v>21.6</v>
          </cell>
          <cell r="O1512">
            <v>9.9</v>
          </cell>
          <cell r="P1512">
            <v>43.7</v>
          </cell>
          <cell r="U1512">
            <v>2</v>
          </cell>
        </row>
        <row r="1513">
          <cell r="B1513" t="str">
            <v>Female</v>
          </cell>
          <cell r="F1513">
            <v>16</v>
          </cell>
          <cell r="G1513">
            <v>28.3</v>
          </cell>
          <cell r="H1513">
            <v>13.7</v>
          </cell>
          <cell r="I1513">
            <v>51.1</v>
          </cell>
          <cell r="J1513">
            <v>10</v>
          </cell>
          <cell r="K1513" t="str">
            <v>15.600000000000001</v>
          </cell>
          <cell r="L1513">
            <v>103.96</v>
          </cell>
          <cell r="M1513">
            <v>18</v>
          </cell>
          <cell r="N1513">
            <v>3.12</v>
          </cell>
          <cell r="O1513">
            <v>6.9</v>
          </cell>
          <cell r="P1513">
            <v>12.4</v>
          </cell>
          <cell r="S1513">
            <v>47.9</v>
          </cell>
          <cell r="T1513">
            <v>24.9</v>
          </cell>
          <cell r="U1513">
            <v>2</v>
          </cell>
        </row>
        <row r="1514">
          <cell r="B1514" t="str">
            <v>Male</v>
          </cell>
          <cell r="F1514">
            <v>2</v>
          </cell>
          <cell r="G1514">
            <v>16</v>
          </cell>
          <cell r="H1514">
            <v>3.2</v>
          </cell>
          <cell r="I1514">
            <v>70.5</v>
          </cell>
          <cell r="J1514">
            <v>1</v>
          </cell>
          <cell r="K1514">
            <v>10.4</v>
          </cell>
          <cell r="L1514">
            <v>104.05</v>
          </cell>
          <cell r="M1514">
            <v>51</v>
          </cell>
          <cell r="N1514" t="str">
            <v>5.159999999999999</v>
          </cell>
          <cell r="P1514">
            <v>12.2</v>
          </cell>
          <cell r="S1514">
            <v>17.8</v>
          </cell>
          <cell r="T1514">
            <v>11.7</v>
          </cell>
          <cell r="U1514">
            <v>4</v>
          </cell>
        </row>
        <row r="1515">
          <cell r="B1515" t="str">
            <v>Male</v>
          </cell>
          <cell r="F1515">
            <v>7</v>
          </cell>
          <cell r="G1515">
            <v>27.9</v>
          </cell>
          <cell r="H1515">
            <v>5.0999999999999996</v>
          </cell>
          <cell r="I1515">
            <v>74</v>
          </cell>
          <cell r="J1515">
            <v>7</v>
          </cell>
          <cell r="K1515">
            <v>11</v>
          </cell>
          <cell r="L1515">
            <v>65.75</v>
          </cell>
          <cell r="M1515">
            <v>6</v>
          </cell>
          <cell r="N1515">
            <v>78.900000000000006</v>
          </cell>
          <cell r="O1515">
            <v>8.3000000000000007</v>
          </cell>
          <cell r="P1515">
            <v>3.6</v>
          </cell>
          <cell r="T1515">
            <v>13.5</v>
          </cell>
          <cell r="U1515">
            <v>2</v>
          </cell>
        </row>
        <row r="1516">
          <cell r="B1516" t="str">
            <v>Male</v>
          </cell>
          <cell r="F1516">
            <v>5</v>
          </cell>
          <cell r="G1516">
            <v>19.3</v>
          </cell>
          <cell r="H1516">
            <v>9.5</v>
          </cell>
          <cell r="I1516">
            <v>77.8</v>
          </cell>
          <cell r="J1516">
            <v>2</v>
          </cell>
          <cell r="K1516">
            <v>13</v>
          </cell>
          <cell r="L1516">
            <v>146.71</v>
          </cell>
          <cell r="M1516">
            <v>10</v>
          </cell>
          <cell r="N1516">
            <v>40.68</v>
          </cell>
          <cell r="O1516">
            <v>0.4</v>
          </cell>
          <cell r="P1516">
            <v>23.2</v>
          </cell>
          <cell r="T1516">
            <v>15.7</v>
          </cell>
          <cell r="U1516">
            <v>3</v>
          </cell>
        </row>
        <row r="1517">
          <cell r="B1517" t="str">
            <v>Female</v>
          </cell>
          <cell r="F1517">
            <v>6</v>
          </cell>
          <cell r="G1517">
            <v>12.4</v>
          </cell>
          <cell r="H1517">
            <v>5.7</v>
          </cell>
          <cell r="I1517">
            <v>64.900000000000006</v>
          </cell>
          <cell r="J1517">
            <v>2</v>
          </cell>
          <cell r="K1517">
            <v>5</v>
          </cell>
          <cell r="L1517">
            <v>115.17</v>
          </cell>
          <cell r="M1517">
            <v>32</v>
          </cell>
          <cell r="O1517">
            <v>7.1</v>
          </cell>
          <cell r="P1517">
            <v>9.8000000000000007</v>
          </cell>
          <cell r="T1517">
            <v>3.4</v>
          </cell>
          <cell r="U1517">
            <v>3</v>
          </cell>
        </row>
        <row r="1518">
          <cell r="B1518" t="str">
            <v>Male</v>
          </cell>
          <cell r="F1518">
            <v>10</v>
          </cell>
          <cell r="G1518">
            <v>40.1</v>
          </cell>
          <cell r="H1518">
            <v>10.4</v>
          </cell>
          <cell r="I1518">
            <v>54.6</v>
          </cell>
          <cell r="J1518">
            <v>5</v>
          </cell>
          <cell r="K1518">
            <v>17</v>
          </cell>
          <cell r="L1518">
            <v>113.79</v>
          </cell>
          <cell r="M1518">
            <v>101</v>
          </cell>
          <cell r="N1518">
            <v>79.3</v>
          </cell>
          <cell r="O1518">
            <v>4.4000000000000004</v>
          </cell>
          <cell r="P1518">
            <v>21.8</v>
          </cell>
          <cell r="S1518">
            <v>47.5</v>
          </cell>
          <cell r="U1518">
            <v>5</v>
          </cell>
        </row>
        <row r="1519">
          <cell r="B1519" t="str">
            <v>Male</v>
          </cell>
          <cell r="F1519">
            <v>7</v>
          </cell>
          <cell r="H1519">
            <v>5.8</v>
          </cell>
          <cell r="I1519">
            <v>65.099999999999994</v>
          </cell>
          <cell r="J1519">
            <v>3</v>
          </cell>
          <cell r="K1519">
            <v>6</v>
          </cell>
          <cell r="L1519">
            <v>150.03</v>
          </cell>
          <cell r="M1519">
            <v>88</v>
          </cell>
          <cell r="N1519">
            <v>34.200000000000003</v>
          </cell>
          <cell r="O1519">
            <v>5</v>
          </cell>
          <cell r="P1519">
            <v>11.5</v>
          </cell>
          <cell r="S1519">
            <v>20.8</v>
          </cell>
          <cell r="T1519">
            <v>12.5</v>
          </cell>
          <cell r="U1519">
            <v>3</v>
          </cell>
        </row>
        <row r="1520">
          <cell r="B1520" t="str">
            <v>Female</v>
          </cell>
          <cell r="F1520">
            <v>9</v>
          </cell>
          <cell r="G1520">
            <v>22.8</v>
          </cell>
          <cell r="H1520">
            <v>6</v>
          </cell>
          <cell r="I1520">
            <v>80.099999999999994</v>
          </cell>
          <cell r="J1520">
            <v>4</v>
          </cell>
          <cell r="K1520">
            <v>11</v>
          </cell>
          <cell r="L1520">
            <v>145.76</v>
          </cell>
          <cell r="N1520">
            <v>19.8</v>
          </cell>
          <cell r="O1520">
            <v>9.4</v>
          </cell>
          <cell r="P1520">
            <v>15.7</v>
          </cell>
          <cell r="S1520">
            <v>16.399999999999999</v>
          </cell>
          <cell r="T1520">
            <v>10.5</v>
          </cell>
          <cell r="U1520">
            <v>5</v>
          </cell>
        </row>
        <row r="1521">
          <cell r="B1521" t="str">
            <v>Male</v>
          </cell>
          <cell r="F1521">
            <v>8</v>
          </cell>
          <cell r="G1521">
            <v>27.5</v>
          </cell>
          <cell r="H1521">
            <v>12.5</v>
          </cell>
          <cell r="I1521">
            <v>40.700000000000003</v>
          </cell>
          <cell r="J1521">
            <v>6</v>
          </cell>
          <cell r="K1521">
            <v>18</v>
          </cell>
          <cell r="L1521">
            <v>128.76</v>
          </cell>
          <cell r="M1521">
            <v>11</v>
          </cell>
          <cell r="N1521">
            <v>43.4</v>
          </cell>
          <cell r="O1521">
            <v>6.2</v>
          </cell>
          <cell r="P1521">
            <v>9.6999999999999993</v>
          </cell>
          <cell r="S1521">
            <v>27.8</v>
          </cell>
          <cell r="T1521">
            <v>21.9</v>
          </cell>
        </row>
        <row r="1522">
          <cell r="B1522" t="str">
            <v>Female</v>
          </cell>
          <cell r="F1522">
            <v>3</v>
          </cell>
          <cell r="G1522">
            <v>18.399999999999999</v>
          </cell>
          <cell r="H1522">
            <v>7.1</v>
          </cell>
          <cell r="I1522">
            <v>59.8</v>
          </cell>
          <cell r="J1522">
            <v>2</v>
          </cell>
          <cell r="K1522">
            <v>15</v>
          </cell>
          <cell r="L1522">
            <v>199.5</v>
          </cell>
          <cell r="M1522">
            <v>7</v>
          </cell>
          <cell r="N1522">
            <v>81.099999999999994</v>
          </cell>
          <cell r="O1522">
            <v>10.7</v>
          </cell>
          <cell r="P1522">
            <v>13.6</v>
          </cell>
          <cell r="S1522">
            <v>0</v>
          </cell>
          <cell r="T1522">
            <v>9.3000000000000007</v>
          </cell>
          <cell r="U1522">
            <v>1</v>
          </cell>
        </row>
        <row r="1523">
          <cell r="B1523" t="str">
            <v>Female</v>
          </cell>
          <cell r="F1523">
            <v>16</v>
          </cell>
          <cell r="G1523">
            <v>50.8</v>
          </cell>
          <cell r="H1523">
            <v>15.6</v>
          </cell>
          <cell r="I1523">
            <v>30.7</v>
          </cell>
          <cell r="J1523">
            <v>13</v>
          </cell>
          <cell r="K1523">
            <v>19</v>
          </cell>
          <cell r="L1523">
            <v>77.12</v>
          </cell>
          <cell r="M1523">
            <v>29</v>
          </cell>
          <cell r="N1523">
            <v>31.1</v>
          </cell>
          <cell r="O1523">
            <v>8.6</v>
          </cell>
          <cell r="P1523">
            <v>28.1</v>
          </cell>
          <cell r="T1523">
            <v>28.7</v>
          </cell>
          <cell r="U1523">
            <v>1</v>
          </cell>
        </row>
        <row r="1524">
          <cell r="B1524" t="str">
            <v>Male</v>
          </cell>
          <cell r="F1524">
            <v>25</v>
          </cell>
          <cell r="G1524">
            <v>38.799999999999997</v>
          </cell>
          <cell r="H1524">
            <v>15.7</v>
          </cell>
          <cell r="I1524">
            <v>48</v>
          </cell>
          <cell r="J1524">
            <v>7</v>
          </cell>
          <cell r="K1524">
            <v>24.7</v>
          </cell>
          <cell r="L1524">
            <v>136.35</v>
          </cell>
          <cell r="M1524">
            <v>49</v>
          </cell>
          <cell r="N1524" t="str">
            <v>87.71999999999998</v>
          </cell>
          <cell r="O1524">
            <v>2.1</v>
          </cell>
          <cell r="P1524">
            <v>38.299999999999997</v>
          </cell>
          <cell r="S1524">
            <v>70.900000000000006</v>
          </cell>
          <cell r="T1524">
            <v>34.4</v>
          </cell>
          <cell r="U1524">
            <v>1</v>
          </cell>
        </row>
        <row r="1525">
          <cell r="B1525" t="str">
            <v>Male</v>
          </cell>
          <cell r="F1525">
            <v>37</v>
          </cell>
          <cell r="G1525">
            <v>46.9</v>
          </cell>
          <cell r="H1525">
            <v>15.3</v>
          </cell>
          <cell r="I1525">
            <v>27.2</v>
          </cell>
          <cell r="J1525">
            <v>12</v>
          </cell>
          <cell r="K1525">
            <v>26</v>
          </cell>
          <cell r="L1525">
            <v>100.72</v>
          </cell>
          <cell r="M1525">
            <v>96</v>
          </cell>
          <cell r="N1525">
            <v>59.7</v>
          </cell>
          <cell r="O1525">
            <v>4.7</v>
          </cell>
          <cell r="P1525">
            <v>30</v>
          </cell>
          <cell r="S1525">
            <v>75.599999999999994</v>
          </cell>
          <cell r="T1525">
            <v>39.799999999999997</v>
          </cell>
          <cell r="U1525">
            <v>5</v>
          </cell>
        </row>
        <row r="1526">
          <cell r="B1526" t="str">
            <v>Male</v>
          </cell>
          <cell r="F1526">
            <v>14</v>
          </cell>
          <cell r="G1526">
            <v>21.7</v>
          </cell>
          <cell r="H1526">
            <v>6.9</v>
          </cell>
          <cell r="I1526">
            <v>58.2</v>
          </cell>
          <cell r="J1526">
            <v>2</v>
          </cell>
          <cell r="K1526">
            <v>10</v>
          </cell>
          <cell r="L1526">
            <v>81.66</v>
          </cell>
          <cell r="M1526">
            <v>46</v>
          </cell>
          <cell r="N1526">
            <v>71.7</v>
          </cell>
          <cell r="O1526">
            <v>1</v>
          </cell>
          <cell r="P1526">
            <v>23.4</v>
          </cell>
          <cell r="S1526">
            <v>19.7</v>
          </cell>
          <cell r="T1526">
            <v>27.5</v>
          </cell>
          <cell r="U1526">
            <v>2</v>
          </cell>
        </row>
        <row r="1527">
          <cell r="B1527" t="str">
            <v>Female</v>
          </cell>
          <cell r="F1527">
            <v>12</v>
          </cell>
          <cell r="G1527">
            <v>19.899999999999999</v>
          </cell>
          <cell r="H1527">
            <v>7.7</v>
          </cell>
          <cell r="I1527">
            <v>59.8</v>
          </cell>
          <cell r="J1527">
            <v>4</v>
          </cell>
          <cell r="K1527">
            <v>8</v>
          </cell>
          <cell r="L1527">
            <v>126.35</v>
          </cell>
          <cell r="M1527">
            <v>54</v>
          </cell>
          <cell r="N1527">
            <v>77.900000000000006</v>
          </cell>
          <cell r="O1527">
            <v>0.5</v>
          </cell>
          <cell r="P1527">
            <v>2.2000000000000002</v>
          </cell>
          <cell r="S1527">
            <v>24.7</v>
          </cell>
          <cell r="U1527">
            <v>2</v>
          </cell>
        </row>
        <row r="1528">
          <cell r="B1528" t="str">
            <v>Female</v>
          </cell>
          <cell r="F1528">
            <v>17</v>
          </cell>
          <cell r="G1528">
            <v>36.799999999999997</v>
          </cell>
          <cell r="H1528">
            <v>10.1</v>
          </cell>
          <cell r="I1528">
            <v>29.4</v>
          </cell>
          <cell r="J1528">
            <v>9</v>
          </cell>
          <cell r="K1528">
            <v>20</v>
          </cell>
          <cell r="L1528">
            <v>117.2</v>
          </cell>
          <cell r="M1528">
            <v>13</v>
          </cell>
          <cell r="N1528">
            <v>45.9</v>
          </cell>
          <cell r="O1528">
            <v>4.8</v>
          </cell>
          <cell r="P1528">
            <v>39.6</v>
          </cell>
          <cell r="T1528">
            <v>30.5</v>
          </cell>
          <cell r="U1528">
            <v>1</v>
          </cell>
        </row>
        <row r="1529">
          <cell r="B1529" t="str">
            <v>Female</v>
          </cell>
          <cell r="F1529">
            <v>2</v>
          </cell>
          <cell r="G1529">
            <v>32.4</v>
          </cell>
          <cell r="H1529">
            <v>8.1</v>
          </cell>
          <cell r="I1529">
            <v>41.4</v>
          </cell>
          <cell r="J1529">
            <v>7</v>
          </cell>
          <cell r="K1529">
            <v>16</v>
          </cell>
          <cell r="L1529">
            <v>58.99</v>
          </cell>
          <cell r="M1529">
            <v>1</v>
          </cell>
          <cell r="N1529">
            <v>49</v>
          </cell>
          <cell r="O1529">
            <v>6</v>
          </cell>
          <cell r="P1529">
            <v>18.100000000000001</v>
          </cell>
          <cell r="S1529">
            <v>9.9</v>
          </cell>
          <cell r="T1529">
            <v>24</v>
          </cell>
          <cell r="U1529">
            <v>5</v>
          </cell>
        </row>
        <row r="1530">
          <cell r="B1530" t="str">
            <v>Male</v>
          </cell>
          <cell r="F1530">
            <v>6</v>
          </cell>
          <cell r="G1530">
            <v>34.6</v>
          </cell>
          <cell r="H1530">
            <v>9.8000000000000007</v>
          </cell>
          <cell r="I1530">
            <v>47</v>
          </cell>
          <cell r="J1530">
            <v>8</v>
          </cell>
          <cell r="K1530" t="str">
            <v>16.900000000000002</v>
          </cell>
          <cell r="L1530">
            <v>104.72</v>
          </cell>
          <cell r="M1530">
            <v>187</v>
          </cell>
          <cell r="N1530" t="str">
            <v>50.279999999999994</v>
          </cell>
          <cell r="O1530">
            <v>11.7</v>
          </cell>
          <cell r="P1530">
            <v>20.9</v>
          </cell>
          <cell r="S1530">
            <v>28.9</v>
          </cell>
          <cell r="T1530">
            <v>28.8</v>
          </cell>
          <cell r="U1530">
            <v>1</v>
          </cell>
        </row>
        <row r="1531">
          <cell r="B1531" t="str">
            <v>Female</v>
          </cell>
          <cell r="F1531">
            <v>0</v>
          </cell>
          <cell r="G1531">
            <v>5.9</v>
          </cell>
          <cell r="H1531">
            <v>1.4</v>
          </cell>
          <cell r="I1531">
            <v>76.400000000000006</v>
          </cell>
          <cell r="J1531">
            <v>0</v>
          </cell>
          <cell r="K1531">
            <v>2</v>
          </cell>
          <cell r="L1531">
            <v>94.96</v>
          </cell>
          <cell r="M1531">
            <v>76</v>
          </cell>
          <cell r="N1531">
            <v>4.3</v>
          </cell>
          <cell r="O1531">
            <v>4</v>
          </cell>
          <cell r="P1531">
            <v>4.5999999999999996</v>
          </cell>
          <cell r="S1531">
            <v>0</v>
          </cell>
          <cell r="T1531">
            <v>8.3000000000000007</v>
          </cell>
          <cell r="U1531">
            <v>2</v>
          </cell>
        </row>
        <row r="1532">
          <cell r="B1532" t="str">
            <v>Male</v>
          </cell>
          <cell r="F1532">
            <v>6</v>
          </cell>
          <cell r="G1532">
            <v>21.8</v>
          </cell>
          <cell r="H1532">
            <v>5.3</v>
          </cell>
          <cell r="I1532">
            <v>51.9</v>
          </cell>
          <cell r="J1532">
            <v>3</v>
          </cell>
          <cell r="K1532">
            <v>5</v>
          </cell>
          <cell r="L1532">
            <v>132.91</v>
          </cell>
          <cell r="M1532">
            <v>28</v>
          </cell>
          <cell r="N1532">
            <v>37.9</v>
          </cell>
          <cell r="P1532">
            <v>10.7</v>
          </cell>
          <cell r="S1532">
            <v>21.8</v>
          </cell>
          <cell r="T1532">
            <v>12.6</v>
          </cell>
          <cell r="U1532">
            <v>4</v>
          </cell>
        </row>
        <row r="1533">
          <cell r="B1533" t="str">
            <v>Female</v>
          </cell>
          <cell r="F1533">
            <v>18</v>
          </cell>
          <cell r="G1533">
            <v>47.1</v>
          </cell>
          <cell r="H1533">
            <v>12.9</v>
          </cell>
          <cell r="I1533">
            <v>40</v>
          </cell>
          <cell r="J1533">
            <v>7</v>
          </cell>
          <cell r="K1533">
            <v>17</v>
          </cell>
          <cell r="L1533">
            <v>87.08</v>
          </cell>
          <cell r="M1533">
            <v>0</v>
          </cell>
          <cell r="N1533">
            <v>58.3</v>
          </cell>
          <cell r="O1533">
            <v>2.4</v>
          </cell>
          <cell r="P1533">
            <v>10.3</v>
          </cell>
          <cell r="S1533">
            <v>61.6</v>
          </cell>
          <cell r="T1533">
            <v>28</v>
          </cell>
          <cell r="U1533">
            <v>3</v>
          </cell>
        </row>
        <row r="1534">
          <cell r="B1534" t="str">
            <v>Female</v>
          </cell>
          <cell r="F1534">
            <v>0</v>
          </cell>
          <cell r="H1534">
            <v>7.4</v>
          </cell>
          <cell r="I1534">
            <v>67.8</v>
          </cell>
          <cell r="J1534">
            <v>2</v>
          </cell>
          <cell r="K1534">
            <v>11</v>
          </cell>
          <cell r="L1534">
            <v>272.48</v>
          </cell>
          <cell r="M1534">
            <v>9</v>
          </cell>
          <cell r="N1534">
            <v>25.2</v>
          </cell>
          <cell r="O1534">
            <v>7.5</v>
          </cell>
          <cell r="P1534">
            <v>15.9</v>
          </cell>
          <cell r="S1534">
            <v>16.899999999999999</v>
          </cell>
          <cell r="T1534">
            <v>2.7</v>
          </cell>
          <cell r="U1534">
            <v>1</v>
          </cell>
        </row>
        <row r="1535">
          <cell r="B1535" t="str">
            <v>Female</v>
          </cell>
          <cell r="F1535">
            <v>15</v>
          </cell>
          <cell r="G1535">
            <v>20.3</v>
          </cell>
          <cell r="H1535">
            <v>10.3</v>
          </cell>
          <cell r="I1535">
            <v>68</v>
          </cell>
          <cell r="J1535">
            <v>9</v>
          </cell>
          <cell r="K1535">
            <v>17</v>
          </cell>
          <cell r="L1535">
            <v>87.42</v>
          </cell>
          <cell r="M1535">
            <v>3</v>
          </cell>
          <cell r="N1535">
            <v>36.700000000000003</v>
          </cell>
          <cell r="O1535">
            <v>6.3</v>
          </cell>
          <cell r="P1535">
            <v>36</v>
          </cell>
          <cell r="S1535">
            <v>39.5</v>
          </cell>
          <cell r="T1535">
            <v>22.3</v>
          </cell>
          <cell r="U1535">
            <v>2</v>
          </cell>
        </row>
        <row r="1536">
          <cell r="B1536" t="str">
            <v>Female</v>
          </cell>
          <cell r="F1536">
            <v>10</v>
          </cell>
          <cell r="G1536">
            <v>27.1</v>
          </cell>
          <cell r="H1536">
            <v>12.6</v>
          </cell>
          <cell r="I1536">
            <v>39.5</v>
          </cell>
          <cell r="J1536">
            <v>4</v>
          </cell>
          <cell r="K1536">
            <v>11</v>
          </cell>
          <cell r="L1536">
            <v>103.54</v>
          </cell>
          <cell r="M1536">
            <v>56</v>
          </cell>
          <cell r="N1536">
            <v>67.5</v>
          </cell>
          <cell r="O1536">
            <v>3.6</v>
          </cell>
          <cell r="P1536">
            <v>30.1</v>
          </cell>
          <cell r="T1536">
            <v>21</v>
          </cell>
          <cell r="U1536">
            <v>3</v>
          </cell>
        </row>
        <row r="1537">
          <cell r="B1537" t="str">
            <v>Male</v>
          </cell>
          <cell r="F1537">
            <v>17</v>
          </cell>
          <cell r="G1537">
            <v>34.1</v>
          </cell>
          <cell r="H1537">
            <v>14.2</v>
          </cell>
          <cell r="I1537">
            <v>46.6</v>
          </cell>
          <cell r="J1537">
            <v>6</v>
          </cell>
          <cell r="K1537">
            <v>14</v>
          </cell>
          <cell r="L1537">
            <v>58.9</v>
          </cell>
          <cell r="M1537">
            <v>28</v>
          </cell>
          <cell r="N1537">
            <v>2</v>
          </cell>
          <cell r="O1537">
            <v>8.9</v>
          </cell>
          <cell r="P1537">
            <v>25.7</v>
          </cell>
          <cell r="S1537">
            <v>40.700000000000003</v>
          </cell>
          <cell r="T1537">
            <v>28.7</v>
          </cell>
          <cell r="U1537">
            <v>3</v>
          </cell>
        </row>
        <row r="1538">
          <cell r="B1538" t="str">
            <v>Female</v>
          </cell>
          <cell r="F1538">
            <v>0</v>
          </cell>
          <cell r="G1538">
            <v>12.3</v>
          </cell>
          <cell r="H1538">
            <v>3.2</v>
          </cell>
          <cell r="I1538">
            <v>73.8</v>
          </cell>
          <cell r="K1538" t="str">
            <v>11.700000000000001</v>
          </cell>
          <cell r="L1538">
            <v>62.29</v>
          </cell>
          <cell r="M1538">
            <v>67</v>
          </cell>
          <cell r="N1538" t="str">
            <v>42.959999999999994</v>
          </cell>
          <cell r="O1538">
            <v>4.5999999999999996</v>
          </cell>
          <cell r="P1538">
            <v>6.1</v>
          </cell>
          <cell r="T1538">
            <v>14.1</v>
          </cell>
          <cell r="U1538">
            <v>1</v>
          </cell>
        </row>
        <row r="1539">
          <cell r="B1539" t="str">
            <v>Male</v>
          </cell>
          <cell r="F1539">
            <v>16</v>
          </cell>
          <cell r="G1539">
            <v>41</v>
          </cell>
          <cell r="H1539">
            <v>15.1</v>
          </cell>
          <cell r="I1539">
            <v>51.4</v>
          </cell>
          <cell r="J1539">
            <v>4</v>
          </cell>
          <cell r="K1539">
            <v>24.7</v>
          </cell>
          <cell r="L1539">
            <v>145.9</v>
          </cell>
          <cell r="M1539">
            <v>30</v>
          </cell>
          <cell r="O1539">
            <v>2.6</v>
          </cell>
          <cell r="P1539">
            <v>23.1</v>
          </cell>
          <cell r="S1539">
            <v>54.5</v>
          </cell>
          <cell r="T1539">
            <v>35.1</v>
          </cell>
          <cell r="U1539">
            <v>2</v>
          </cell>
        </row>
        <row r="1540">
          <cell r="B1540" t="str">
            <v>Male</v>
          </cell>
          <cell r="F1540">
            <v>17</v>
          </cell>
          <cell r="H1540">
            <v>10.3</v>
          </cell>
          <cell r="I1540">
            <v>65.3</v>
          </cell>
          <cell r="J1540">
            <v>4</v>
          </cell>
          <cell r="K1540">
            <v>12</v>
          </cell>
          <cell r="L1540">
            <v>214.19</v>
          </cell>
          <cell r="M1540">
            <v>2</v>
          </cell>
          <cell r="N1540">
            <v>52</v>
          </cell>
          <cell r="O1540">
            <v>2.5</v>
          </cell>
          <cell r="P1540">
            <v>27.1</v>
          </cell>
          <cell r="S1540">
            <v>0</v>
          </cell>
          <cell r="T1540">
            <v>12.5</v>
          </cell>
          <cell r="U1540">
            <v>3</v>
          </cell>
        </row>
        <row r="1541">
          <cell r="B1541" t="str">
            <v>Male</v>
          </cell>
          <cell r="F1541">
            <v>14</v>
          </cell>
          <cell r="G1541">
            <v>11.9</v>
          </cell>
          <cell r="H1541">
            <v>10.1</v>
          </cell>
          <cell r="I1541">
            <v>55.2</v>
          </cell>
          <cell r="J1541">
            <v>3</v>
          </cell>
          <cell r="K1541">
            <v>6</v>
          </cell>
          <cell r="L1541">
            <v>101.07</v>
          </cell>
          <cell r="M1541">
            <v>67</v>
          </cell>
          <cell r="N1541">
            <v>6.7</v>
          </cell>
          <cell r="O1541">
            <v>2.5</v>
          </cell>
          <cell r="P1541">
            <v>14.2</v>
          </cell>
          <cell r="S1541">
            <v>0</v>
          </cell>
          <cell r="U1541">
            <v>2</v>
          </cell>
        </row>
        <row r="1542">
          <cell r="B1542" t="str">
            <v>Male</v>
          </cell>
          <cell r="F1542">
            <v>3</v>
          </cell>
          <cell r="G1542">
            <v>17.8</v>
          </cell>
          <cell r="H1542">
            <v>7.5</v>
          </cell>
          <cell r="I1542">
            <v>74.599999999999994</v>
          </cell>
          <cell r="J1542">
            <v>1</v>
          </cell>
          <cell r="K1542">
            <v>7</v>
          </cell>
          <cell r="L1542">
            <v>121.43</v>
          </cell>
          <cell r="M1542">
            <v>67</v>
          </cell>
          <cell r="N1542">
            <v>55.2</v>
          </cell>
          <cell r="O1542">
            <v>11.1</v>
          </cell>
          <cell r="P1542">
            <v>0.2</v>
          </cell>
          <cell r="S1542">
            <v>66.2</v>
          </cell>
          <cell r="T1542">
            <v>10.9</v>
          </cell>
          <cell r="U1542">
            <v>3</v>
          </cell>
        </row>
        <row r="1543">
          <cell r="B1543" t="str">
            <v>Female</v>
          </cell>
          <cell r="F1543">
            <v>7</v>
          </cell>
          <cell r="G1543">
            <v>5.2</v>
          </cell>
          <cell r="H1543">
            <v>3.6</v>
          </cell>
          <cell r="I1543">
            <v>67.900000000000006</v>
          </cell>
          <cell r="J1543">
            <v>2</v>
          </cell>
          <cell r="K1543">
            <v>8</v>
          </cell>
          <cell r="L1543">
            <v>35.29</v>
          </cell>
          <cell r="M1543">
            <v>8</v>
          </cell>
          <cell r="N1543">
            <v>48.7</v>
          </cell>
          <cell r="O1543">
            <v>7.2</v>
          </cell>
          <cell r="P1543">
            <v>27.1</v>
          </cell>
          <cell r="S1543">
            <v>4</v>
          </cell>
          <cell r="T1543">
            <v>5.5</v>
          </cell>
          <cell r="U1543">
            <v>3</v>
          </cell>
        </row>
        <row r="1544">
          <cell r="B1544" t="str">
            <v>Female</v>
          </cell>
          <cell r="F1544">
            <v>9</v>
          </cell>
          <cell r="G1544">
            <v>17.8</v>
          </cell>
          <cell r="H1544">
            <v>5.6</v>
          </cell>
          <cell r="I1544">
            <v>80.3</v>
          </cell>
          <cell r="J1544">
            <v>1</v>
          </cell>
          <cell r="K1544">
            <v>5.2</v>
          </cell>
          <cell r="L1544">
            <v>70.38</v>
          </cell>
          <cell r="M1544">
            <v>150</v>
          </cell>
          <cell r="N1544">
            <v>27.36</v>
          </cell>
          <cell r="O1544">
            <v>1</v>
          </cell>
          <cell r="P1544">
            <v>16</v>
          </cell>
          <cell r="S1544">
            <v>7.3</v>
          </cell>
          <cell r="T1544">
            <v>9.1</v>
          </cell>
          <cell r="U1544">
            <v>1</v>
          </cell>
        </row>
        <row r="1545">
          <cell r="B1545" t="str">
            <v>Female</v>
          </cell>
          <cell r="F1545">
            <v>16</v>
          </cell>
          <cell r="G1545">
            <v>33.9</v>
          </cell>
          <cell r="H1545">
            <v>12.9</v>
          </cell>
          <cell r="I1545">
            <v>56.5</v>
          </cell>
          <cell r="J1545">
            <v>5</v>
          </cell>
          <cell r="K1545">
            <v>20.8</v>
          </cell>
          <cell r="L1545">
            <v>96.73</v>
          </cell>
          <cell r="M1545">
            <v>15</v>
          </cell>
          <cell r="N1545" t="str">
            <v>84.11999999999999</v>
          </cell>
          <cell r="O1545">
            <v>1.3</v>
          </cell>
          <cell r="P1545">
            <v>16.3</v>
          </cell>
          <cell r="S1545">
            <v>45.9</v>
          </cell>
          <cell r="T1545">
            <v>30.1</v>
          </cell>
        </row>
        <row r="1546">
          <cell r="B1546" t="str">
            <v>Male</v>
          </cell>
          <cell r="F1546">
            <v>32</v>
          </cell>
          <cell r="G1546">
            <v>30</v>
          </cell>
          <cell r="H1546">
            <v>13.2</v>
          </cell>
          <cell r="I1546">
            <v>39.200000000000003</v>
          </cell>
          <cell r="J1546">
            <v>6</v>
          </cell>
          <cell r="K1546">
            <v>20</v>
          </cell>
          <cell r="L1546">
            <v>110.7</v>
          </cell>
          <cell r="M1546">
            <v>21</v>
          </cell>
          <cell r="N1546">
            <v>55.5</v>
          </cell>
          <cell r="P1546">
            <v>43.5</v>
          </cell>
          <cell r="S1546">
            <v>76.7</v>
          </cell>
          <cell r="T1546">
            <v>38.5</v>
          </cell>
          <cell r="U1546">
            <v>2</v>
          </cell>
        </row>
        <row r="1547">
          <cell r="B1547" t="str">
            <v>Male</v>
          </cell>
          <cell r="F1547">
            <v>10</v>
          </cell>
          <cell r="G1547">
            <v>23.2</v>
          </cell>
          <cell r="H1547">
            <v>5.8</v>
          </cell>
          <cell r="I1547">
            <v>67.400000000000006</v>
          </cell>
          <cell r="J1547">
            <v>2</v>
          </cell>
          <cell r="K1547">
            <v>8</v>
          </cell>
          <cell r="L1547">
            <v>195.18</v>
          </cell>
          <cell r="M1547">
            <v>45</v>
          </cell>
          <cell r="N1547">
            <v>21.5</v>
          </cell>
          <cell r="O1547">
            <v>2.7</v>
          </cell>
          <cell r="P1547">
            <v>16.2</v>
          </cell>
          <cell r="S1547">
            <v>6.4</v>
          </cell>
          <cell r="T1547">
            <v>19.5</v>
          </cell>
          <cell r="U1547">
            <v>4</v>
          </cell>
        </row>
        <row r="1548">
          <cell r="B1548" t="str">
            <v>Male</v>
          </cell>
          <cell r="F1548">
            <v>8</v>
          </cell>
          <cell r="G1548">
            <v>19</v>
          </cell>
          <cell r="H1548">
            <v>8.4</v>
          </cell>
          <cell r="I1548">
            <v>53.1</v>
          </cell>
          <cell r="J1548">
            <v>4</v>
          </cell>
          <cell r="K1548">
            <v>7</v>
          </cell>
          <cell r="L1548">
            <v>79.08</v>
          </cell>
          <cell r="M1548">
            <v>16</v>
          </cell>
          <cell r="N1548">
            <v>80.8</v>
          </cell>
          <cell r="O1548">
            <v>11.6</v>
          </cell>
          <cell r="P1548">
            <v>14.9</v>
          </cell>
          <cell r="S1548">
            <v>24.2</v>
          </cell>
          <cell r="T1548">
            <v>11.3</v>
          </cell>
          <cell r="U1548">
            <v>1</v>
          </cell>
        </row>
        <row r="1549">
          <cell r="B1549" t="str">
            <v>Male</v>
          </cell>
          <cell r="F1549">
            <v>15</v>
          </cell>
          <cell r="G1549">
            <v>30.4</v>
          </cell>
          <cell r="H1549">
            <v>11.8</v>
          </cell>
          <cell r="I1549">
            <v>56.9</v>
          </cell>
          <cell r="J1549">
            <v>7</v>
          </cell>
          <cell r="K1549">
            <v>20.8</v>
          </cell>
          <cell r="L1549">
            <v>70.849999999999994</v>
          </cell>
          <cell r="M1549">
            <v>12</v>
          </cell>
          <cell r="N1549" t="str">
            <v>53.879999999999995</v>
          </cell>
          <cell r="O1549">
            <v>5.6</v>
          </cell>
          <cell r="P1549">
            <v>32.5</v>
          </cell>
          <cell r="S1549">
            <v>36</v>
          </cell>
          <cell r="T1549">
            <v>28.7</v>
          </cell>
          <cell r="U1549">
            <v>1</v>
          </cell>
        </row>
        <row r="1550">
          <cell r="B1550" t="str">
            <v>Female</v>
          </cell>
          <cell r="F1550">
            <v>22</v>
          </cell>
          <cell r="G1550">
            <v>45.7</v>
          </cell>
          <cell r="I1550">
            <v>30.4</v>
          </cell>
          <cell r="J1550">
            <v>11</v>
          </cell>
          <cell r="K1550">
            <v>19</v>
          </cell>
          <cell r="L1550">
            <v>88.35</v>
          </cell>
          <cell r="M1550">
            <v>8</v>
          </cell>
          <cell r="N1550">
            <v>23.9</v>
          </cell>
          <cell r="O1550">
            <v>8.6999999999999993</v>
          </cell>
          <cell r="P1550">
            <v>23.8</v>
          </cell>
          <cell r="S1550">
            <v>74</v>
          </cell>
          <cell r="T1550">
            <v>34.4</v>
          </cell>
          <cell r="U1550">
            <v>1</v>
          </cell>
        </row>
        <row r="1551">
          <cell r="B1551" t="str">
            <v>Female</v>
          </cell>
          <cell r="F1551">
            <v>8</v>
          </cell>
          <cell r="G1551">
            <v>28.9</v>
          </cell>
          <cell r="H1551">
            <v>9.4</v>
          </cell>
          <cell r="I1551">
            <v>53.5</v>
          </cell>
          <cell r="J1551">
            <v>4</v>
          </cell>
          <cell r="K1551">
            <v>12</v>
          </cell>
          <cell r="L1551">
            <v>157.57</v>
          </cell>
          <cell r="M1551">
            <v>50</v>
          </cell>
          <cell r="N1551">
            <v>68.900000000000006</v>
          </cell>
          <cell r="O1551">
            <v>5.8</v>
          </cell>
          <cell r="P1551">
            <v>29.3</v>
          </cell>
          <cell r="S1551">
            <v>13.2</v>
          </cell>
          <cell r="T1551">
            <v>17.399999999999999</v>
          </cell>
          <cell r="U1551">
            <v>2</v>
          </cell>
        </row>
        <row r="1552">
          <cell r="B1552" t="str">
            <v>Male</v>
          </cell>
          <cell r="F1552">
            <v>18</v>
          </cell>
          <cell r="G1552">
            <v>40.5</v>
          </cell>
          <cell r="H1552">
            <v>13.6</v>
          </cell>
          <cell r="I1552">
            <v>46.1</v>
          </cell>
          <cell r="J1552">
            <v>11</v>
          </cell>
          <cell r="K1552">
            <v>22.1</v>
          </cell>
          <cell r="L1552">
            <v>98.69</v>
          </cell>
          <cell r="M1552">
            <v>53</v>
          </cell>
          <cell r="N1552" t="str">
            <v>77.88000000000001</v>
          </cell>
          <cell r="O1552">
            <v>2.7</v>
          </cell>
          <cell r="P1552">
            <v>40.700000000000003</v>
          </cell>
          <cell r="U1552">
            <v>2</v>
          </cell>
        </row>
        <row r="1553">
          <cell r="B1553" t="str">
            <v>Male</v>
          </cell>
          <cell r="F1553">
            <v>18</v>
          </cell>
          <cell r="G1553">
            <v>25.1</v>
          </cell>
          <cell r="H1553">
            <v>10.4</v>
          </cell>
          <cell r="I1553">
            <v>48.3</v>
          </cell>
          <cell r="J1553">
            <v>4</v>
          </cell>
          <cell r="K1553">
            <v>15</v>
          </cell>
          <cell r="L1553">
            <v>141.41</v>
          </cell>
          <cell r="M1553">
            <v>32</v>
          </cell>
          <cell r="N1553">
            <v>50.1</v>
          </cell>
          <cell r="O1553">
            <v>9.1999999999999993</v>
          </cell>
          <cell r="P1553">
            <v>24.4</v>
          </cell>
          <cell r="S1553">
            <v>25.3</v>
          </cell>
          <cell r="T1553">
            <v>40.700000000000003</v>
          </cell>
          <cell r="U1553">
            <v>1</v>
          </cell>
        </row>
        <row r="1554">
          <cell r="B1554" t="str">
            <v>Male</v>
          </cell>
          <cell r="F1554">
            <v>6</v>
          </cell>
          <cell r="G1554">
            <v>34.1</v>
          </cell>
          <cell r="H1554">
            <v>9.1</v>
          </cell>
          <cell r="I1554">
            <v>54.1</v>
          </cell>
          <cell r="J1554">
            <v>6</v>
          </cell>
          <cell r="K1554">
            <v>14</v>
          </cell>
          <cell r="L1554">
            <v>110.15</v>
          </cell>
          <cell r="M1554">
            <v>0</v>
          </cell>
          <cell r="N1554">
            <v>43.9</v>
          </cell>
          <cell r="O1554">
            <v>9.9</v>
          </cell>
          <cell r="P1554">
            <v>27.2</v>
          </cell>
          <cell r="S1554">
            <v>60.7</v>
          </cell>
          <cell r="T1554">
            <v>21</v>
          </cell>
          <cell r="U1554">
            <v>1</v>
          </cell>
        </row>
        <row r="1555">
          <cell r="B1555" t="str">
            <v>Female</v>
          </cell>
          <cell r="F1555">
            <v>15</v>
          </cell>
          <cell r="G1555">
            <v>29.4</v>
          </cell>
          <cell r="H1555">
            <v>10.4</v>
          </cell>
          <cell r="I1555">
            <v>52</v>
          </cell>
          <cell r="J1555">
            <v>6</v>
          </cell>
          <cell r="K1555">
            <v>15</v>
          </cell>
          <cell r="L1555">
            <v>126.77</v>
          </cell>
          <cell r="M1555">
            <v>6</v>
          </cell>
          <cell r="N1555">
            <v>47.7</v>
          </cell>
          <cell r="O1555">
            <v>13.9</v>
          </cell>
          <cell r="P1555">
            <v>37.700000000000003</v>
          </cell>
          <cell r="T1555">
            <v>23.2</v>
          </cell>
          <cell r="U1555">
            <v>4</v>
          </cell>
        </row>
        <row r="1556">
          <cell r="B1556" t="str">
            <v>Male</v>
          </cell>
          <cell r="F1556">
            <v>14</v>
          </cell>
          <cell r="G1556">
            <v>40.9</v>
          </cell>
          <cell r="I1556">
            <v>52.8</v>
          </cell>
          <cell r="J1556">
            <v>7</v>
          </cell>
          <cell r="K1556">
            <v>11</v>
          </cell>
          <cell r="L1556">
            <v>95.6</v>
          </cell>
          <cell r="M1556">
            <v>13</v>
          </cell>
          <cell r="N1556">
            <v>20.9</v>
          </cell>
          <cell r="O1556">
            <v>9.1</v>
          </cell>
          <cell r="P1556">
            <v>33.299999999999997</v>
          </cell>
          <cell r="S1556">
            <v>26.1</v>
          </cell>
          <cell r="T1556">
            <v>14.6</v>
          </cell>
          <cell r="U1556">
            <v>1</v>
          </cell>
        </row>
        <row r="1557">
          <cell r="B1557" t="str">
            <v>Male</v>
          </cell>
          <cell r="F1557">
            <v>8</v>
          </cell>
          <cell r="G1557">
            <v>15.9</v>
          </cell>
          <cell r="H1557">
            <v>8.6</v>
          </cell>
          <cell r="I1557">
            <v>55.1</v>
          </cell>
          <cell r="J1557">
            <v>3</v>
          </cell>
          <cell r="K1557">
            <v>7</v>
          </cell>
          <cell r="L1557">
            <v>82.78</v>
          </cell>
          <cell r="M1557">
            <v>23</v>
          </cell>
          <cell r="N1557">
            <v>71.900000000000006</v>
          </cell>
          <cell r="O1557">
            <v>2.2999999999999998</v>
          </cell>
          <cell r="S1557">
            <v>12.9</v>
          </cell>
          <cell r="U1557">
            <v>1</v>
          </cell>
        </row>
        <row r="1558">
          <cell r="B1558" t="str">
            <v>Female</v>
          </cell>
          <cell r="F1558">
            <v>30</v>
          </cell>
          <cell r="G1558">
            <v>46.5</v>
          </cell>
          <cell r="H1558">
            <v>19.600000000000001</v>
          </cell>
          <cell r="I1558">
            <v>19.8</v>
          </cell>
          <cell r="J1558">
            <v>12</v>
          </cell>
          <cell r="K1558">
            <v>21</v>
          </cell>
          <cell r="L1558">
            <v>148.46</v>
          </cell>
          <cell r="M1558">
            <v>13</v>
          </cell>
          <cell r="N1558">
            <v>42</v>
          </cell>
          <cell r="O1558">
            <v>7.2</v>
          </cell>
          <cell r="P1558">
            <v>37.4</v>
          </cell>
          <cell r="T1558">
            <v>38.9</v>
          </cell>
          <cell r="U1558">
            <v>3</v>
          </cell>
        </row>
        <row r="1559">
          <cell r="B1559" t="str">
            <v>Male</v>
          </cell>
          <cell r="F1559">
            <v>6</v>
          </cell>
          <cell r="H1559">
            <v>3.6</v>
          </cell>
          <cell r="I1559">
            <v>63.4</v>
          </cell>
          <cell r="K1559">
            <v>8</v>
          </cell>
          <cell r="L1559">
            <v>179.47</v>
          </cell>
          <cell r="M1559">
            <v>23</v>
          </cell>
          <cell r="O1559">
            <v>2.4</v>
          </cell>
          <cell r="P1559">
            <v>0</v>
          </cell>
          <cell r="S1559">
            <v>0</v>
          </cell>
          <cell r="T1559">
            <v>15.4</v>
          </cell>
          <cell r="U1559">
            <v>1</v>
          </cell>
        </row>
        <row r="1560">
          <cell r="B1560" t="str">
            <v>Female</v>
          </cell>
          <cell r="F1560">
            <v>39</v>
          </cell>
          <cell r="G1560">
            <v>54.8</v>
          </cell>
          <cell r="H1560">
            <v>20.6</v>
          </cell>
          <cell r="I1560">
            <v>10.6</v>
          </cell>
          <cell r="J1560">
            <v>16</v>
          </cell>
          <cell r="K1560">
            <v>30</v>
          </cell>
          <cell r="L1560">
            <v>102.55</v>
          </cell>
          <cell r="M1560">
            <v>16</v>
          </cell>
          <cell r="N1560">
            <v>47.4</v>
          </cell>
          <cell r="O1560">
            <v>8.1999999999999993</v>
          </cell>
          <cell r="P1560">
            <v>62.5</v>
          </cell>
          <cell r="S1560">
            <v>79</v>
          </cell>
          <cell r="T1560">
            <v>38.1</v>
          </cell>
          <cell r="U1560">
            <v>2</v>
          </cell>
        </row>
        <row r="1561">
          <cell r="B1561" t="str">
            <v>Female</v>
          </cell>
          <cell r="F1561">
            <v>13</v>
          </cell>
          <cell r="G1561">
            <v>24.3</v>
          </cell>
          <cell r="H1561">
            <v>9.5</v>
          </cell>
          <cell r="I1561">
            <v>50.7</v>
          </cell>
          <cell r="J1561">
            <v>5</v>
          </cell>
          <cell r="K1561" t="str">
            <v>11.700000000000001</v>
          </cell>
          <cell r="L1561">
            <v>77.92</v>
          </cell>
          <cell r="M1561">
            <v>51</v>
          </cell>
          <cell r="N1561">
            <v>8.16</v>
          </cell>
          <cell r="O1561">
            <v>7</v>
          </cell>
          <cell r="P1561">
            <v>24</v>
          </cell>
          <cell r="T1561">
            <v>13.6</v>
          </cell>
          <cell r="U1561">
            <v>3</v>
          </cell>
        </row>
        <row r="1562">
          <cell r="B1562" t="str">
            <v>Female</v>
          </cell>
          <cell r="F1562">
            <v>6</v>
          </cell>
          <cell r="G1562">
            <v>27.7</v>
          </cell>
          <cell r="H1562">
            <v>7.3</v>
          </cell>
          <cell r="I1562">
            <v>57.9</v>
          </cell>
          <cell r="J1562">
            <v>3</v>
          </cell>
          <cell r="K1562" t="str">
            <v>11.700000000000001</v>
          </cell>
          <cell r="L1562">
            <v>83.98</v>
          </cell>
          <cell r="M1562">
            <v>25</v>
          </cell>
          <cell r="N1562" t="str">
            <v>65.39999999999999</v>
          </cell>
          <cell r="O1562">
            <v>2.4</v>
          </cell>
          <cell r="P1562">
            <v>28.1</v>
          </cell>
          <cell r="S1562">
            <v>12.7</v>
          </cell>
          <cell r="U1562">
            <v>1</v>
          </cell>
        </row>
        <row r="1563">
          <cell r="B1563" t="str">
            <v>Female</v>
          </cell>
          <cell r="F1563">
            <v>9</v>
          </cell>
          <cell r="G1563">
            <v>32.6</v>
          </cell>
          <cell r="H1563">
            <v>10.199999999999999</v>
          </cell>
          <cell r="I1563">
            <v>69.7</v>
          </cell>
          <cell r="J1563">
            <v>6</v>
          </cell>
          <cell r="K1563">
            <v>10</v>
          </cell>
          <cell r="L1563">
            <v>134.11000000000001</v>
          </cell>
          <cell r="M1563">
            <v>69</v>
          </cell>
          <cell r="N1563">
            <v>9</v>
          </cell>
          <cell r="O1563">
            <v>6.4</v>
          </cell>
          <cell r="P1563">
            <v>27.2</v>
          </cell>
          <cell r="S1563">
            <v>60.7</v>
          </cell>
          <cell r="T1563">
            <v>23.1</v>
          </cell>
          <cell r="U1563">
            <v>3</v>
          </cell>
        </row>
        <row r="1564">
          <cell r="B1564" t="str">
            <v>Male</v>
          </cell>
          <cell r="F1564">
            <v>0</v>
          </cell>
          <cell r="G1564">
            <v>24</v>
          </cell>
          <cell r="H1564">
            <v>6.9</v>
          </cell>
          <cell r="I1564">
            <v>60.3</v>
          </cell>
          <cell r="J1564">
            <v>1</v>
          </cell>
          <cell r="K1564">
            <v>11</v>
          </cell>
          <cell r="L1564">
            <v>126.06</v>
          </cell>
          <cell r="M1564">
            <v>3</v>
          </cell>
          <cell r="N1564">
            <v>22</v>
          </cell>
          <cell r="O1564">
            <v>2.9</v>
          </cell>
          <cell r="P1564">
            <v>7.8</v>
          </cell>
          <cell r="S1564">
            <v>8.4</v>
          </cell>
          <cell r="U1564">
            <v>4</v>
          </cell>
        </row>
        <row r="1565">
          <cell r="B1565" t="str">
            <v>Male</v>
          </cell>
          <cell r="F1565">
            <v>11</v>
          </cell>
          <cell r="G1565">
            <v>24.1</v>
          </cell>
          <cell r="H1565">
            <v>8.6999999999999993</v>
          </cell>
          <cell r="I1565">
            <v>40.799999999999997</v>
          </cell>
          <cell r="K1565">
            <v>17</v>
          </cell>
          <cell r="L1565">
            <v>142.51</v>
          </cell>
          <cell r="M1565">
            <v>145</v>
          </cell>
          <cell r="N1565">
            <v>27</v>
          </cell>
          <cell r="O1565">
            <v>5.9</v>
          </cell>
          <cell r="P1565">
            <v>51.3</v>
          </cell>
          <cell r="S1565">
            <v>31.3</v>
          </cell>
          <cell r="T1565">
            <v>23.3</v>
          </cell>
          <cell r="U1565">
            <v>2</v>
          </cell>
        </row>
        <row r="1566">
          <cell r="B1566" t="str">
            <v>Female</v>
          </cell>
          <cell r="F1566">
            <v>17</v>
          </cell>
          <cell r="G1566">
            <v>31.8</v>
          </cell>
          <cell r="H1566">
            <v>11.2</v>
          </cell>
          <cell r="I1566">
            <v>56.5</v>
          </cell>
          <cell r="J1566">
            <v>5</v>
          </cell>
          <cell r="K1566">
            <v>21</v>
          </cell>
          <cell r="L1566">
            <v>117.64</v>
          </cell>
          <cell r="N1566">
            <v>31.1</v>
          </cell>
          <cell r="O1566">
            <v>5.0999999999999996</v>
          </cell>
          <cell r="P1566">
            <v>31.5</v>
          </cell>
          <cell r="S1566">
            <v>27.3</v>
          </cell>
          <cell r="T1566">
            <v>24.4</v>
          </cell>
        </row>
        <row r="1567">
          <cell r="B1567" t="str">
            <v>Male</v>
          </cell>
          <cell r="F1567">
            <v>1</v>
          </cell>
          <cell r="I1567">
            <v>65.8</v>
          </cell>
          <cell r="J1567">
            <v>1</v>
          </cell>
          <cell r="K1567">
            <v>8</v>
          </cell>
          <cell r="L1567">
            <v>132.37</v>
          </cell>
          <cell r="N1567">
            <v>39.5</v>
          </cell>
          <cell r="O1567">
            <v>6.2</v>
          </cell>
          <cell r="P1567">
            <v>2.2000000000000002</v>
          </cell>
          <cell r="S1567">
            <v>27.3</v>
          </cell>
          <cell r="T1567">
            <v>19.399999999999999</v>
          </cell>
          <cell r="U1567">
            <v>2</v>
          </cell>
        </row>
        <row r="1568">
          <cell r="B1568" t="str">
            <v>Male</v>
          </cell>
          <cell r="F1568">
            <v>18</v>
          </cell>
          <cell r="G1568">
            <v>47.5</v>
          </cell>
          <cell r="H1568">
            <v>13.1</v>
          </cell>
          <cell r="I1568">
            <v>23.6</v>
          </cell>
          <cell r="K1568">
            <v>20</v>
          </cell>
          <cell r="L1568">
            <v>70.56</v>
          </cell>
          <cell r="M1568">
            <v>77</v>
          </cell>
          <cell r="N1568">
            <v>75</v>
          </cell>
          <cell r="O1568">
            <v>1.3</v>
          </cell>
          <cell r="P1568">
            <v>48.3</v>
          </cell>
          <cell r="S1568">
            <v>78.599999999999994</v>
          </cell>
          <cell r="T1568">
            <v>23.7</v>
          </cell>
          <cell r="U1568">
            <v>2</v>
          </cell>
        </row>
        <row r="1569">
          <cell r="B1569" t="str">
            <v>Female</v>
          </cell>
          <cell r="F1569">
            <v>7</v>
          </cell>
          <cell r="G1569">
            <v>26.2</v>
          </cell>
          <cell r="H1569">
            <v>7.9</v>
          </cell>
          <cell r="I1569">
            <v>66</v>
          </cell>
          <cell r="J1569">
            <v>4</v>
          </cell>
          <cell r="K1569">
            <v>12</v>
          </cell>
          <cell r="L1569">
            <v>78.849999999999994</v>
          </cell>
          <cell r="M1569">
            <v>40</v>
          </cell>
          <cell r="N1569">
            <v>45.3</v>
          </cell>
          <cell r="O1569">
            <v>3.3</v>
          </cell>
          <cell r="P1569">
            <v>8.6999999999999993</v>
          </cell>
          <cell r="S1569">
            <v>25.9</v>
          </cell>
          <cell r="T1569">
            <v>26.2</v>
          </cell>
          <cell r="U1569">
            <v>2</v>
          </cell>
        </row>
        <row r="1570">
          <cell r="B1570" t="str">
            <v>Male</v>
          </cell>
          <cell r="F1570">
            <v>3</v>
          </cell>
          <cell r="G1570">
            <v>26.7</v>
          </cell>
          <cell r="H1570">
            <v>10.5</v>
          </cell>
          <cell r="I1570">
            <v>48</v>
          </cell>
          <cell r="J1570">
            <v>3</v>
          </cell>
          <cell r="K1570">
            <v>16</v>
          </cell>
          <cell r="L1570">
            <v>138.65</v>
          </cell>
          <cell r="M1570">
            <v>49</v>
          </cell>
          <cell r="N1570">
            <v>37.299999999999997</v>
          </cell>
          <cell r="O1570">
            <v>7.1</v>
          </cell>
          <cell r="P1570">
            <v>20.6</v>
          </cell>
          <cell r="S1570">
            <v>0</v>
          </cell>
          <cell r="T1570">
            <v>12.7</v>
          </cell>
          <cell r="U1570">
            <v>2</v>
          </cell>
        </row>
        <row r="1571">
          <cell r="B1571" t="str">
            <v>Male</v>
          </cell>
          <cell r="F1571">
            <v>20</v>
          </cell>
          <cell r="G1571">
            <v>29.1</v>
          </cell>
          <cell r="H1571">
            <v>11.1</v>
          </cell>
          <cell r="I1571">
            <v>44.3</v>
          </cell>
          <cell r="J1571">
            <v>5</v>
          </cell>
          <cell r="K1571">
            <v>9</v>
          </cell>
          <cell r="L1571">
            <v>103.52</v>
          </cell>
          <cell r="M1571">
            <v>25</v>
          </cell>
          <cell r="N1571">
            <v>46.4</v>
          </cell>
          <cell r="O1571">
            <v>1.1000000000000001</v>
          </cell>
          <cell r="P1571">
            <v>28.4</v>
          </cell>
          <cell r="T1571">
            <v>21.8</v>
          </cell>
          <cell r="U1571">
            <v>1</v>
          </cell>
        </row>
        <row r="1572">
          <cell r="B1572" t="str">
            <v>Female</v>
          </cell>
          <cell r="F1572">
            <v>11</v>
          </cell>
          <cell r="G1572">
            <v>13.7</v>
          </cell>
          <cell r="H1572">
            <v>6.8</v>
          </cell>
          <cell r="I1572">
            <v>73.400000000000006</v>
          </cell>
          <cell r="J1572">
            <v>1</v>
          </cell>
          <cell r="K1572">
            <v>8</v>
          </cell>
          <cell r="L1572">
            <v>111.87</v>
          </cell>
          <cell r="M1572">
            <v>14</v>
          </cell>
          <cell r="N1572">
            <v>45.6</v>
          </cell>
          <cell r="O1572">
            <v>4.5</v>
          </cell>
          <cell r="P1572">
            <v>9.5</v>
          </cell>
          <cell r="S1572">
            <v>8.3000000000000007</v>
          </cell>
          <cell r="T1572">
            <v>17.3</v>
          </cell>
          <cell r="U1572">
            <v>3</v>
          </cell>
        </row>
        <row r="1573">
          <cell r="B1573" t="str">
            <v>Male</v>
          </cell>
          <cell r="F1573">
            <v>7</v>
          </cell>
          <cell r="G1573">
            <v>24.7</v>
          </cell>
          <cell r="H1573">
            <v>9.9</v>
          </cell>
          <cell r="I1573">
            <v>52.2</v>
          </cell>
          <cell r="J1573">
            <v>3</v>
          </cell>
          <cell r="K1573">
            <v>14</v>
          </cell>
          <cell r="L1573">
            <v>73</v>
          </cell>
          <cell r="M1573">
            <v>25</v>
          </cell>
          <cell r="N1573">
            <v>71.599999999999994</v>
          </cell>
          <cell r="P1573">
            <v>13.4</v>
          </cell>
          <cell r="S1573">
            <v>17.8</v>
          </cell>
          <cell r="T1573">
            <v>21</v>
          </cell>
          <cell r="U1573">
            <v>2</v>
          </cell>
        </row>
        <row r="1574">
          <cell r="B1574" t="str">
            <v>Female</v>
          </cell>
          <cell r="F1574">
            <v>6</v>
          </cell>
          <cell r="G1574">
            <v>32.200000000000003</v>
          </cell>
          <cell r="H1574">
            <v>10.6</v>
          </cell>
          <cell r="I1574">
            <v>43</v>
          </cell>
          <cell r="J1574">
            <v>6</v>
          </cell>
          <cell r="K1574">
            <v>13</v>
          </cell>
          <cell r="L1574">
            <v>91.95</v>
          </cell>
          <cell r="M1574">
            <v>10</v>
          </cell>
          <cell r="N1574">
            <v>33.799999999999997</v>
          </cell>
          <cell r="O1574">
            <v>2.5</v>
          </cell>
          <cell r="P1574">
            <v>18.2</v>
          </cell>
          <cell r="S1574">
            <v>55.3</v>
          </cell>
          <cell r="T1574">
            <v>32.5</v>
          </cell>
          <cell r="U1574">
            <v>1</v>
          </cell>
        </row>
        <row r="1575">
          <cell r="B1575" t="str">
            <v>Female</v>
          </cell>
          <cell r="F1575">
            <v>14</v>
          </cell>
          <cell r="G1575">
            <v>8.8000000000000007</v>
          </cell>
          <cell r="H1575">
            <v>2.5</v>
          </cell>
          <cell r="I1575">
            <v>66.900000000000006</v>
          </cell>
          <cell r="J1575">
            <v>1</v>
          </cell>
          <cell r="K1575">
            <v>5</v>
          </cell>
          <cell r="L1575">
            <v>94.96</v>
          </cell>
          <cell r="M1575">
            <v>26</v>
          </cell>
          <cell r="N1575">
            <v>40.1</v>
          </cell>
          <cell r="O1575">
            <v>5.7</v>
          </cell>
          <cell r="P1575">
            <v>5.6</v>
          </cell>
          <cell r="S1575">
            <v>2.9</v>
          </cell>
          <cell r="T1575">
            <v>5.0999999999999996</v>
          </cell>
          <cell r="U1575">
            <v>1</v>
          </cell>
        </row>
        <row r="1576">
          <cell r="B1576" t="str">
            <v>Male</v>
          </cell>
          <cell r="F1576">
            <v>6</v>
          </cell>
          <cell r="G1576">
            <v>10.3</v>
          </cell>
          <cell r="H1576">
            <v>4.0999999999999996</v>
          </cell>
          <cell r="I1576">
            <v>86.3</v>
          </cell>
          <cell r="J1576">
            <v>0</v>
          </cell>
          <cell r="K1576">
            <v>4</v>
          </cell>
          <cell r="L1576">
            <v>65.12</v>
          </cell>
          <cell r="M1576">
            <v>21</v>
          </cell>
          <cell r="N1576">
            <v>10.7</v>
          </cell>
          <cell r="O1576">
            <v>4</v>
          </cell>
          <cell r="S1576">
            <v>14.1</v>
          </cell>
          <cell r="U1576">
            <v>3</v>
          </cell>
        </row>
        <row r="1577">
          <cell r="B1577" t="str">
            <v>Male</v>
          </cell>
          <cell r="F1577">
            <v>13</v>
          </cell>
          <cell r="G1577">
            <v>30.8</v>
          </cell>
          <cell r="H1577">
            <v>8.8000000000000007</v>
          </cell>
          <cell r="I1577">
            <v>63.5</v>
          </cell>
          <cell r="J1577">
            <v>4</v>
          </cell>
          <cell r="K1577">
            <v>14</v>
          </cell>
          <cell r="L1577">
            <v>74.83</v>
          </cell>
          <cell r="N1577">
            <v>16.7</v>
          </cell>
          <cell r="O1577">
            <v>4.3</v>
          </cell>
          <cell r="P1577">
            <v>24.6</v>
          </cell>
          <cell r="S1577">
            <v>29.3</v>
          </cell>
          <cell r="T1577">
            <v>24.4</v>
          </cell>
          <cell r="U1577">
            <v>1</v>
          </cell>
        </row>
        <row r="1578">
          <cell r="B1578" t="str">
            <v>Female</v>
          </cell>
          <cell r="F1578">
            <v>4</v>
          </cell>
          <cell r="G1578">
            <v>19.399999999999999</v>
          </cell>
          <cell r="H1578">
            <v>3.8</v>
          </cell>
          <cell r="I1578">
            <v>47.5</v>
          </cell>
          <cell r="J1578">
            <v>1</v>
          </cell>
          <cell r="K1578">
            <v>10</v>
          </cell>
          <cell r="L1578">
            <v>83.53</v>
          </cell>
          <cell r="M1578">
            <v>7</v>
          </cell>
          <cell r="N1578">
            <v>47.3</v>
          </cell>
          <cell r="O1578">
            <v>2</v>
          </cell>
          <cell r="S1578">
            <v>37.4</v>
          </cell>
          <cell r="T1578">
            <v>21.2</v>
          </cell>
          <cell r="U1578">
            <v>2</v>
          </cell>
        </row>
        <row r="1579">
          <cell r="B1579" t="str">
            <v>Female</v>
          </cell>
          <cell r="F1579">
            <v>25</v>
          </cell>
          <cell r="G1579">
            <v>43.5</v>
          </cell>
          <cell r="H1579">
            <v>12.1</v>
          </cell>
          <cell r="I1579">
            <v>40.1</v>
          </cell>
          <cell r="J1579">
            <v>4</v>
          </cell>
          <cell r="K1579">
            <v>16</v>
          </cell>
          <cell r="L1579">
            <v>101.93</v>
          </cell>
          <cell r="M1579">
            <v>49</v>
          </cell>
          <cell r="N1579">
            <v>18.100000000000001</v>
          </cell>
          <cell r="O1579">
            <v>6.8</v>
          </cell>
          <cell r="P1579">
            <v>32.4</v>
          </cell>
          <cell r="S1579">
            <v>13.6</v>
          </cell>
          <cell r="T1579">
            <v>16.600000000000001</v>
          </cell>
          <cell r="U1579">
            <v>1</v>
          </cell>
        </row>
        <row r="1580">
          <cell r="B1580" t="str">
            <v>Male</v>
          </cell>
          <cell r="F1580">
            <v>21</v>
          </cell>
          <cell r="G1580">
            <v>38.5</v>
          </cell>
          <cell r="H1580">
            <v>16.7</v>
          </cell>
          <cell r="I1580">
            <v>40.200000000000003</v>
          </cell>
          <cell r="J1580">
            <v>10</v>
          </cell>
          <cell r="K1580">
            <v>18</v>
          </cell>
          <cell r="L1580">
            <v>44.93</v>
          </cell>
          <cell r="M1580">
            <v>8</v>
          </cell>
          <cell r="N1580">
            <v>6.3</v>
          </cell>
          <cell r="O1580">
            <v>2.7</v>
          </cell>
          <cell r="P1580">
            <v>45.5</v>
          </cell>
          <cell r="S1580">
            <v>63.9</v>
          </cell>
          <cell r="T1580">
            <v>29.2</v>
          </cell>
          <cell r="U1580">
            <v>2</v>
          </cell>
        </row>
        <row r="1581">
          <cell r="B1581" t="str">
            <v>Male</v>
          </cell>
          <cell r="F1581">
            <v>8</v>
          </cell>
          <cell r="G1581">
            <v>15.1</v>
          </cell>
          <cell r="H1581">
            <v>1</v>
          </cell>
          <cell r="I1581">
            <v>88.7</v>
          </cell>
          <cell r="J1581">
            <v>0</v>
          </cell>
          <cell r="K1581">
            <v>3</v>
          </cell>
          <cell r="L1581">
            <v>53.46</v>
          </cell>
          <cell r="M1581">
            <v>17</v>
          </cell>
          <cell r="N1581">
            <v>40.4</v>
          </cell>
          <cell r="O1581">
            <v>8.8000000000000007</v>
          </cell>
          <cell r="P1581">
            <v>9.1999999999999993</v>
          </cell>
          <cell r="S1581">
            <v>10.7</v>
          </cell>
          <cell r="T1581">
            <v>15.4</v>
          </cell>
          <cell r="U1581">
            <v>4</v>
          </cell>
        </row>
        <row r="1582">
          <cell r="B1582" t="str">
            <v>Male</v>
          </cell>
          <cell r="F1582">
            <v>23</v>
          </cell>
          <cell r="H1582">
            <v>10.9</v>
          </cell>
          <cell r="I1582">
            <v>62</v>
          </cell>
          <cell r="J1582">
            <v>7</v>
          </cell>
          <cell r="K1582">
            <v>19.5</v>
          </cell>
          <cell r="L1582">
            <v>110.15</v>
          </cell>
          <cell r="M1582">
            <v>10</v>
          </cell>
          <cell r="N1582" t="str">
            <v>12.839999999999998</v>
          </cell>
          <cell r="P1582">
            <v>26.2</v>
          </cell>
          <cell r="T1582">
            <v>23</v>
          </cell>
          <cell r="U1582">
            <v>3</v>
          </cell>
        </row>
        <row r="1583">
          <cell r="B1583" t="str">
            <v>Male</v>
          </cell>
          <cell r="F1583">
            <v>0</v>
          </cell>
          <cell r="G1583">
            <v>18</v>
          </cell>
          <cell r="H1583">
            <v>4.5</v>
          </cell>
          <cell r="I1583">
            <v>68.3</v>
          </cell>
          <cell r="J1583">
            <v>1</v>
          </cell>
          <cell r="K1583">
            <v>4</v>
          </cell>
          <cell r="L1583">
            <v>86.04</v>
          </cell>
          <cell r="M1583">
            <v>91</v>
          </cell>
          <cell r="O1583">
            <v>4.9000000000000004</v>
          </cell>
          <cell r="P1583">
            <v>7.7</v>
          </cell>
          <cell r="S1583">
            <v>0</v>
          </cell>
          <cell r="T1583">
            <v>8.5</v>
          </cell>
        </row>
        <row r="1584">
          <cell r="B1584" t="str">
            <v>Male</v>
          </cell>
          <cell r="F1584">
            <v>5</v>
          </cell>
          <cell r="G1584">
            <v>21.7</v>
          </cell>
          <cell r="H1584">
            <v>5</v>
          </cell>
          <cell r="I1584">
            <v>64.2</v>
          </cell>
          <cell r="J1584">
            <v>2</v>
          </cell>
          <cell r="K1584">
            <v>9.1</v>
          </cell>
          <cell r="L1584">
            <v>96.5</v>
          </cell>
          <cell r="M1584">
            <v>15</v>
          </cell>
          <cell r="N1584">
            <v>86.64</v>
          </cell>
          <cell r="O1584">
            <v>5.7</v>
          </cell>
          <cell r="S1584">
            <v>8.1999999999999993</v>
          </cell>
          <cell r="T1584">
            <v>8.8000000000000007</v>
          </cell>
          <cell r="U1584">
            <v>1</v>
          </cell>
        </row>
        <row r="1585">
          <cell r="B1585" t="str">
            <v>Female</v>
          </cell>
          <cell r="F1585">
            <v>5</v>
          </cell>
          <cell r="G1585">
            <v>9.4</v>
          </cell>
          <cell r="H1585">
            <v>9.3000000000000007</v>
          </cell>
          <cell r="I1585">
            <v>76.099999999999994</v>
          </cell>
          <cell r="J1585">
            <v>0</v>
          </cell>
          <cell r="K1585">
            <v>6</v>
          </cell>
          <cell r="L1585">
            <v>94.59</v>
          </cell>
          <cell r="M1585">
            <v>31</v>
          </cell>
          <cell r="N1585">
            <v>48.4</v>
          </cell>
          <cell r="O1585">
            <v>7.8</v>
          </cell>
          <cell r="P1585">
            <v>24.3</v>
          </cell>
          <cell r="S1585">
            <v>0</v>
          </cell>
          <cell r="T1585">
            <v>8.6</v>
          </cell>
          <cell r="U1585">
            <v>4</v>
          </cell>
        </row>
        <row r="1586">
          <cell r="B1586" t="str">
            <v>Female</v>
          </cell>
          <cell r="F1586">
            <v>20</v>
          </cell>
          <cell r="G1586">
            <v>42</v>
          </cell>
          <cell r="I1586">
            <v>18.5</v>
          </cell>
          <cell r="J1586">
            <v>15</v>
          </cell>
          <cell r="K1586">
            <v>20</v>
          </cell>
          <cell r="L1586">
            <v>176.72</v>
          </cell>
          <cell r="M1586">
            <v>2</v>
          </cell>
          <cell r="N1586">
            <v>17.600000000000001</v>
          </cell>
          <cell r="O1586">
            <v>16.3</v>
          </cell>
          <cell r="P1586">
            <v>57.3</v>
          </cell>
          <cell r="S1586">
            <v>57.8</v>
          </cell>
          <cell r="T1586">
            <v>40.1</v>
          </cell>
          <cell r="U1586">
            <v>1</v>
          </cell>
        </row>
        <row r="1587">
          <cell r="B1587" t="str">
            <v>Male</v>
          </cell>
          <cell r="F1587">
            <v>0</v>
          </cell>
          <cell r="G1587">
            <v>17.7</v>
          </cell>
          <cell r="H1587">
            <v>6.9</v>
          </cell>
          <cell r="I1587">
            <v>76.3</v>
          </cell>
          <cell r="J1587">
            <v>3</v>
          </cell>
          <cell r="K1587">
            <v>4</v>
          </cell>
          <cell r="L1587">
            <v>97.63</v>
          </cell>
          <cell r="M1587">
            <v>38</v>
          </cell>
          <cell r="N1587">
            <v>29.5</v>
          </cell>
          <cell r="O1587">
            <v>7.9</v>
          </cell>
          <cell r="P1587">
            <v>0</v>
          </cell>
          <cell r="S1587">
            <v>0</v>
          </cell>
          <cell r="T1587">
            <v>23.4</v>
          </cell>
          <cell r="U1587">
            <v>5</v>
          </cell>
        </row>
        <row r="1588">
          <cell r="B1588" t="str">
            <v>Female</v>
          </cell>
          <cell r="F1588">
            <v>17</v>
          </cell>
          <cell r="G1588">
            <v>30</v>
          </cell>
          <cell r="H1588">
            <v>8.8000000000000007</v>
          </cell>
          <cell r="I1588">
            <v>35.4</v>
          </cell>
          <cell r="J1588">
            <v>6</v>
          </cell>
          <cell r="K1588">
            <v>13</v>
          </cell>
          <cell r="L1588">
            <v>120.03</v>
          </cell>
          <cell r="M1588">
            <v>49</v>
          </cell>
          <cell r="N1588">
            <v>21.1</v>
          </cell>
          <cell r="O1588">
            <v>2.2000000000000002</v>
          </cell>
          <cell r="P1588">
            <v>15.9</v>
          </cell>
          <cell r="S1588">
            <v>20.6</v>
          </cell>
          <cell r="T1588">
            <v>20</v>
          </cell>
          <cell r="U1588">
            <v>1</v>
          </cell>
        </row>
        <row r="1589">
          <cell r="B1589" t="str">
            <v>Male</v>
          </cell>
          <cell r="F1589">
            <v>12</v>
          </cell>
          <cell r="G1589">
            <v>27.8</v>
          </cell>
          <cell r="H1589">
            <v>6.6</v>
          </cell>
          <cell r="I1589">
            <v>42.2</v>
          </cell>
          <cell r="J1589">
            <v>9</v>
          </cell>
          <cell r="K1589">
            <v>12</v>
          </cell>
          <cell r="L1589">
            <v>104.38</v>
          </cell>
          <cell r="M1589">
            <v>10</v>
          </cell>
          <cell r="N1589">
            <v>30.8</v>
          </cell>
          <cell r="O1589">
            <v>0.9</v>
          </cell>
          <cell r="P1589">
            <v>15.7</v>
          </cell>
          <cell r="S1589">
            <v>39.5</v>
          </cell>
          <cell r="T1589">
            <v>30.8</v>
          </cell>
          <cell r="U1589">
            <v>3</v>
          </cell>
        </row>
        <row r="1590">
          <cell r="B1590" t="str">
            <v>Male</v>
          </cell>
          <cell r="F1590">
            <v>3</v>
          </cell>
          <cell r="G1590">
            <v>15.2</v>
          </cell>
          <cell r="H1590">
            <v>6.7</v>
          </cell>
          <cell r="I1590">
            <v>58.1</v>
          </cell>
          <cell r="J1590">
            <v>2</v>
          </cell>
          <cell r="K1590">
            <v>5</v>
          </cell>
          <cell r="L1590">
            <v>87.29</v>
          </cell>
          <cell r="M1590">
            <v>18</v>
          </cell>
          <cell r="N1590">
            <v>26</v>
          </cell>
          <cell r="O1590">
            <v>6.9</v>
          </cell>
          <cell r="P1590">
            <v>4.2</v>
          </cell>
          <cell r="S1590">
            <v>9</v>
          </cell>
          <cell r="T1590">
            <v>11.6</v>
          </cell>
          <cell r="U1590">
            <v>5</v>
          </cell>
        </row>
        <row r="1591">
          <cell r="B1591" t="str">
            <v>Male</v>
          </cell>
          <cell r="F1591">
            <v>6</v>
          </cell>
          <cell r="G1591">
            <v>28.8</v>
          </cell>
          <cell r="H1591">
            <v>6.7</v>
          </cell>
          <cell r="I1591">
            <v>63.8</v>
          </cell>
          <cell r="J1591">
            <v>3</v>
          </cell>
          <cell r="K1591">
            <v>11</v>
          </cell>
          <cell r="L1591">
            <v>144.53</v>
          </cell>
          <cell r="M1591">
            <v>8</v>
          </cell>
          <cell r="N1591">
            <v>51.8</v>
          </cell>
          <cell r="O1591">
            <v>5.9</v>
          </cell>
          <cell r="P1591">
            <v>24.4</v>
          </cell>
          <cell r="S1591">
            <v>3</v>
          </cell>
          <cell r="T1591">
            <v>27</v>
          </cell>
          <cell r="U1591">
            <v>2</v>
          </cell>
        </row>
        <row r="1592">
          <cell r="B1592" t="str">
            <v>Female</v>
          </cell>
          <cell r="F1592">
            <v>22</v>
          </cell>
          <cell r="G1592">
            <v>47</v>
          </cell>
          <cell r="H1592">
            <v>11.6</v>
          </cell>
          <cell r="I1592">
            <v>40.9</v>
          </cell>
          <cell r="J1592">
            <v>6</v>
          </cell>
          <cell r="K1592">
            <v>16</v>
          </cell>
          <cell r="L1592">
            <v>178.59</v>
          </cell>
          <cell r="M1592">
            <v>44</v>
          </cell>
          <cell r="N1592">
            <v>49.2</v>
          </cell>
          <cell r="P1592">
            <v>41</v>
          </cell>
          <cell r="S1592">
            <v>52.1</v>
          </cell>
          <cell r="T1592">
            <v>20.9</v>
          </cell>
        </row>
        <row r="1593">
          <cell r="B1593" t="str">
            <v>Female</v>
          </cell>
          <cell r="F1593">
            <v>11</v>
          </cell>
          <cell r="G1593">
            <v>23.2</v>
          </cell>
          <cell r="H1593">
            <v>5.9</v>
          </cell>
          <cell r="I1593">
            <v>50.8</v>
          </cell>
          <cell r="J1593">
            <v>3</v>
          </cell>
          <cell r="K1593">
            <v>9</v>
          </cell>
          <cell r="L1593">
            <v>101.21</v>
          </cell>
          <cell r="N1593">
            <v>28.8</v>
          </cell>
          <cell r="O1593">
            <v>4</v>
          </cell>
          <cell r="P1593">
            <v>12</v>
          </cell>
          <cell r="T1593">
            <v>15.3</v>
          </cell>
          <cell r="U1593">
            <v>2</v>
          </cell>
        </row>
        <row r="1594">
          <cell r="B1594" t="str">
            <v>Female</v>
          </cell>
          <cell r="F1594">
            <v>5</v>
          </cell>
          <cell r="G1594">
            <v>16</v>
          </cell>
          <cell r="I1594">
            <v>87.6</v>
          </cell>
          <cell r="J1594">
            <v>2</v>
          </cell>
          <cell r="K1594">
            <v>2</v>
          </cell>
          <cell r="L1594">
            <v>159.38</v>
          </cell>
          <cell r="M1594">
            <v>121</v>
          </cell>
          <cell r="N1594">
            <v>25.9</v>
          </cell>
          <cell r="O1594">
            <v>8.6999999999999993</v>
          </cell>
          <cell r="P1594">
            <v>1.4</v>
          </cell>
          <cell r="S1594">
            <v>0</v>
          </cell>
          <cell r="T1594">
            <v>0</v>
          </cell>
          <cell r="U1594">
            <v>3</v>
          </cell>
        </row>
        <row r="1595">
          <cell r="B1595" t="str">
            <v>Male</v>
          </cell>
          <cell r="F1595">
            <v>14</v>
          </cell>
          <cell r="G1595">
            <v>48</v>
          </cell>
          <cell r="H1595">
            <v>14.7</v>
          </cell>
          <cell r="I1595">
            <v>22.6</v>
          </cell>
          <cell r="K1595">
            <v>20.8</v>
          </cell>
          <cell r="L1595">
            <v>172.08</v>
          </cell>
          <cell r="M1595">
            <v>0</v>
          </cell>
          <cell r="N1595">
            <v>48.12</v>
          </cell>
          <cell r="O1595">
            <v>1.3</v>
          </cell>
          <cell r="P1595">
            <v>22.1</v>
          </cell>
          <cell r="S1595">
            <v>33.1</v>
          </cell>
          <cell r="T1595">
            <v>18.600000000000001</v>
          </cell>
          <cell r="U1595">
            <v>2</v>
          </cell>
        </row>
        <row r="1596">
          <cell r="B1596" t="str">
            <v>Female</v>
          </cell>
          <cell r="F1596">
            <v>12</v>
          </cell>
          <cell r="G1596">
            <v>18.100000000000001</v>
          </cell>
          <cell r="H1596">
            <v>5.6</v>
          </cell>
          <cell r="I1596">
            <v>74.3</v>
          </cell>
          <cell r="J1596">
            <v>3</v>
          </cell>
          <cell r="K1596">
            <v>9</v>
          </cell>
          <cell r="L1596">
            <v>41.21</v>
          </cell>
          <cell r="M1596">
            <v>38</v>
          </cell>
          <cell r="N1596">
            <v>67.900000000000006</v>
          </cell>
          <cell r="O1596">
            <v>12.1</v>
          </cell>
          <cell r="P1596">
            <v>2.5</v>
          </cell>
          <cell r="S1596">
            <v>12.8</v>
          </cell>
          <cell r="T1596">
            <v>9</v>
          </cell>
        </row>
        <row r="1597">
          <cell r="B1597" t="str">
            <v>Male</v>
          </cell>
          <cell r="F1597">
            <v>15</v>
          </cell>
          <cell r="G1597">
            <v>20.6</v>
          </cell>
          <cell r="H1597">
            <v>5.7</v>
          </cell>
          <cell r="I1597">
            <v>59.2</v>
          </cell>
          <cell r="J1597">
            <v>3</v>
          </cell>
          <cell r="K1597" t="str">
            <v>11.700000000000001</v>
          </cell>
          <cell r="L1597">
            <v>95.83</v>
          </cell>
          <cell r="M1597">
            <v>47</v>
          </cell>
          <cell r="N1597">
            <v>37.56</v>
          </cell>
          <cell r="O1597">
            <v>4.0999999999999996</v>
          </cell>
          <cell r="P1597">
            <v>0</v>
          </cell>
          <cell r="S1597">
            <v>42.4</v>
          </cell>
          <cell r="T1597">
            <v>18.5</v>
          </cell>
          <cell r="U1597">
            <v>2</v>
          </cell>
        </row>
        <row r="1598">
          <cell r="B1598" t="str">
            <v>Male</v>
          </cell>
          <cell r="F1598">
            <v>19</v>
          </cell>
          <cell r="G1598">
            <v>46.9</v>
          </cell>
          <cell r="H1598">
            <v>14.1</v>
          </cell>
          <cell r="I1598">
            <v>35.1</v>
          </cell>
          <cell r="J1598">
            <v>6</v>
          </cell>
          <cell r="K1598" t="str">
            <v>16.900000000000002</v>
          </cell>
          <cell r="L1598">
            <v>124.88</v>
          </cell>
          <cell r="M1598">
            <v>7</v>
          </cell>
          <cell r="N1598">
            <v>73.319999999999993</v>
          </cell>
          <cell r="O1598">
            <v>10.8</v>
          </cell>
          <cell r="P1598">
            <v>22.2</v>
          </cell>
          <cell r="S1598">
            <v>29.6</v>
          </cell>
          <cell r="T1598">
            <v>29.3</v>
          </cell>
          <cell r="U1598">
            <v>1</v>
          </cell>
        </row>
        <row r="1599">
          <cell r="B1599" t="str">
            <v>Male</v>
          </cell>
          <cell r="F1599">
            <v>3</v>
          </cell>
          <cell r="G1599">
            <v>13.8</v>
          </cell>
          <cell r="H1599">
            <v>5.7</v>
          </cell>
          <cell r="I1599">
            <v>77</v>
          </cell>
          <cell r="J1599">
            <v>2</v>
          </cell>
          <cell r="K1599">
            <v>9</v>
          </cell>
          <cell r="L1599">
            <v>147.13</v>
          </cell>
          <cell r="M1599">
            <v>4</v>
          </cell>
          <cell r="N1599">
            <v>81.3</v>
          </cell>
          <cell r="O1599">
            <v>3.2</v>
          </cell>
          <cell r="P1599">
            <v>26.9</v>
          </cell>
          <cell r="S1599">
            <v>0</v>
          </cell>
          <cell r="U1599">
            <v>1</v>
          </cell>
        </row>
        <row r="1600">
          <cell r="B1600" t="str">
            <v>Female</v>
          </cell>
          <cell r="F1600">
            <v>7</v>
          </cell>
          <cell r="G1600">
            <v>18</v>
          </cell>
          <cell r="H1600">
            <v>4.2</v>
          </cell>
          <cell r="I1600">
            <v>59.3</v>
          </cell>
          <cell r="J1600">
            <v>1</v>
          </cell>
          <cell r="K1600">
            <v>8</v>
          </cell>
          <cell r="L1600">
            <v>102.9</v>
          </cell>
          <cell r="M1600">
            <v>30</v>
          </cell>
          <cell r="N1600">
            <v>62.1</v>
          </cell>
          <cell r="O1600">
            <v>0.5</v>
          </cell>
          <cell r="P1600">
            <v>7</v>
          </cell>
          <cell r="S1600">
            <v>22.9</v>
          </cell>
          <cell r="T1600">
            <v>9.9</v>
          </cell>
          <cell r="U1600">
            <v>2</v>
          </cell>
        </row>
        <row r="1601">
          <cell r="B1601" t="str">
            <v>Male</v>
          </cell>
          <cell r="F1601">
            <v>0</v>
          </cell>
          <cell r="G1601">
            <v>13</v>
          </cell>
          <cell r="H1601">
            <v>5.9</v>
          </cell>
          <cell r="I1601">
            <v>74.599999999999994</v>
          </cell>
          <cell r="J1601">
            <v>0</v>
          </cell>
          <cell r="K1601">
            <v>4</v>
          </cell>
          <cell r="L1601">
            <v>163.47999999999999</v>
          </cell>
          <cell r="M1601">
            <v>12</v>
          </cell>
          <cell r="N1601">
            <v>55.4</v>
          </cell>
          <cell r="O1601">
            <v>7.9</v>
          </cell>
          <cell r="P1601">
            <v>15.7</v>
          </cell>
          <cell r="T1601">
            <v>0.3</v>
          </cell>
          <cell r="U1601">
            <v>2</v>
          </cell>
        </row>
        <row r="1602">
          <cell r="B1602" t="str">
            <v>Female</v>
          </cell>
          <cell r="F1602">
            <v>0</v>
          </cell>
          <cell r="G1602">
            <v>22.9</v>
          </cell>
          <cell r="H1602">
            <v>4.8</v>
          </cell>
          <cell r="I1602">
            <v>66.599999999999994</v>
          </cell>
          <cell r="J1602">
            <v>3</v>
          </cell>
          <cell r="K1602">
            <v>3</v>
          </cell>
          <cell r="L1602">
            <v>91.12</v>
          </cell>
          <cell r="M1602">
            <v>66</v>
          </cell>
          <cell r="N1602">
            <v>19.2</v>
          </cell>
          <cell r="O1602">
            <v>20.8</v>
          </cell>
          <cell r="P1602">
            <v>2.5</v>
          </cell>
          <cell r="S1602">
            <v>5.3</v>
          </cell>
          <cell r="T1602">
            <v>5.9</v>
          </cell>
          <cell r="U1602">
            <v>2</v>
          </cell>
        </row>
        <row r="1603">
          <cell r="B1603" t="str">
            <v>Male</v>
          </cell>
          <cell r="F1603">
            <v>6</v>
          </cell>
          <cell r="G1603">
            <v>13</v>
          </cell>
          <cell r="I1603">
            <v>79</v>
          </cell>
          <cell r="J1603">
            <v>1</v>
          </cell>
          <cell r="K1603">
            <v>8</v>
          </cell>
          <cell r="L1603">
            <v>61.01</v>
          </cell>
          <cell r="M1603">
            <v>21</v>
          </cell>
          <cell r="N1603">
            <v>18.7</v>
          </cell>
          <cell r="O1603">
            <v>1.7</v>
          </cell>
          <cell r="P1603">
            <v>10.4</v>
          </cell>
          <cell r="S1603">
            <v>37.6</v>
          </cell>
          <cell r="T1603">
            <v>11.1</v>
          </cell>
          <cell r="U1603">
            <v>3</v>
          </cell>
        </row>
        <row r="1604">
          <cell r="B1604" t="str">
            <v>Female</v>
          </cell>
          <cell r="F1604">
            <v>1</v>
          </cell>
          <cell r="G1604">
            <v>13.5</v>
          </cell>
          <cell r="H1604">
            <v>9.9</v>
          </cell>
          <cell r="I1604">
            <v>71.3</v>
          </cell>
          <cell r="J1604">
            <v>3</v>
          </cell>
          <cell r="K1604">
            <v>12</v>
          </cell>
          <cell r="L1604">
            <v>157.68</v>
          </cell>
          <cell r="M1604">
            <v>16</v>
          </cell>
          <cell r="N1604">
            <v>33</v>
          </cell>
          <cell r="O1604">
            <v>11.1</v>
          </cell>
          <cell r="P1604">
            <v>26.9</v>
          </cell>
          <cell r="S1604">
            <v>17.7</v>
          </cell>
          <cell r="T1604">
            <v>24.9</v>
          </cell>
          <cell r="U1604">
            <v>1</v>
          </cell>
        </row>
        <row r="1605">
          <cell r="B1605" t="str">
            <v>Female</v>
          </cell>
          <cell r="F1605">
            <v>0</v>
          </cell>
          <cell r="G1605">
            <v>19.899999999999999</v>
          </cell>
          <cell r="H1605">
            <v>4.5</v>
          </cell>
          <cell r="I1605">
            <v>60.3</v>
          </cell>
          <cell r="J1605">
            <v>2</v>
          </cell>
          <cell r="K1605">
            <v>5</v>
          </cell>
          <cell r="L1605">
            <v>111.28</v>
          </cell>
          <cell r="M1605">
            <v>11</v>
          </cell>
          <cell r="O1605">
            <v>20.5</v>
          </cell>
          <cell r="P1605">
            <v>21.1</v>
          </cell>
          <cell r="S1605">
            <v>14</v>
          </cell>
          <cell r="T1605">
            <v>18.600000000000001</v>
          </cell>
          <cell r="U1605">
            <v>2</v>
          </cell>
        </row>
        <row r="1606">
          <cell r="B1606" t="str">
            <v>Female</v>
          </cell>
          <cell r="F1606">
            <v>0</v>
          </cell>
          <cell r="G1606">
            <v>12.2</v>
          </cell>
          <cell r="H1606">
            <v>7.5</v>
          </cell>
          <cell r="I1606">
            <v>74.7</v>
          </cell>
          <cell r="J1606">
            <v>1</v>
          </cell>
          <cell r="K1606">
            <v>3</v>
          </cell>
          <cell r="L1606">
            <v>170.58</v>
          </cell>
          <cell r="N1606">
            <v>17.899999999999999</v>
          </cell>
          <cell r="O1606">
            <v>12.9</v>
          </cell>
          <cell r="P1606">
            <v>0</v>
          </cell>
          <cell r="S1606">
            <v>1.1000000000000001</v>
          </cell>
          <cell r="T1606">
            <v>13.7</v>
          </cell>
          <cell r="U1606">
            <v>3</v>
          </cell>
        </row>
        <row r="1607">
          <cell r="B1607" t="str">
            <v>Male</v>
          </cell>
          <cell r="F1607">
            <v>32</v>
          </cell>
          <cell r="G1607">
            <v>50.1</v>
          </cell>
          <cell r="H1607">
            <v>17.600000000000001</v>
          </cell>
          <cell r="I1607">
            <v>31.5</v>
          </cell>
          <cell r="J1607">
            <v>10</v>
          </cell>
          <cell r="K1607">
            <v>25</v>
          </cell>
          <cell r="L1607">
            <v>47.38</v>
          </cell>
          <cell r="M1607">
            <v>39</v>
          </cell>
          <cell r="N1607">
            <v>66.099999999999994</v>
          </cell>
          <cell r="O1607">
            <v>1.6</v>
          </cell>
          <cell r="P1607">
            <v>39.1</v>
          </cell>
          <cell r="S1607">
            <v>85.8</v>
          </cell>
          <cell r="T1607">
            <v>34.6</v>
          </cell>
          <cell r="U1607">
            <v>2</v>
          </cell>
        </row>
        <row r="1608">
          <cell r="B1608" t="str">
            <v>Male</v>
          </cell>
          <cell r="F1608">
            <v>13</v>
          </cell>
          <cell r="G1608">
            <v>17</v>
          </cell>
          <cell r="H1608">
            <v>6.2</v>
          </cell>
          <cell r="I1608">
            <v>75.599999999999994</v>
          </cell>
          <cell r="J1608">
            <v>2</v>
          </cell>
          <cell r="K1608" t="str">
            <v>23.400000000000002</v>
          </cell>
          <cell r="L1608">
            <v>76.13</v>
          </cell>
          <cell r="M1608">
            <v>4</v>
          </cell>
          <cell r="N1608">
            <v>57</v>
          </cell>
          <cell r="O1608">
            <v>9.9</v>
          </cell>
          <cell r="P1608">
            <v>8.5</v>
          </cell>
          <cell r="S1608">
            <v>7.3</v>
          </cell>
          <cell r="T1608">
            <v>11.9</v>
          </cell>
          <cell r="U1608">
            <v>2</v>
          </cell>
        </row>
        <row r="1609">
          <cell r="B1609" t="str">
            <v>Male</v>
          </cell>
          <cell r="F1609">
            <v>19</v>
          </cell>
          <cell r="G1609">
            <v>43.4</v>
          </cell>
          <cell r="H1609">
            <v>14</v>
          </cell>
          <cell r="I1609">
            <v>31.8</v>
          </cell>
          <cell r="J1609">
            <v>6</v>
          </cell>
          <cell r="K1609">
            <v>15</v>
          </cell>
          <cell r="L1609">
            <v>67.959999999999994</v>
          </cell>
          <cell r="M1609">
            <v>8</v>
          </cell>
          <cell r="N1609">
            <v>75.7</v>
          </cell>
          <cell r="O1609">
            <v>5.9</v>
          </cell>
          <cell r="P1609">
            <v>28.6</v>
          </cell>
          <cell r="S1609">
            <v>86.8</v>
          </cell>
          <cell r="U1609">
            <v>3</v>
          </cell>
        </row>
        <row r="1610">
          <cell r="B1610" t="str">
            <v>Female</v>
          </cell>
          <cell r="F1610">
            <v>20</v>
          </cell>
          <cell r="G1610">
            <v>55.4</v>
          </cell>
          <cell r="H1610">
            <v>12.3</v>
          </cell>
          <cell r="I1610">
            <v>18</v>
          </cell>
          <cell r="J1610">
            <v>8</v>
          </cell>
          <cell r="K1610">
            <v>21</v>
          </cell>
          <cell r="L1610">
            <v>112.58</v>
          </cell>
          <cell r="M1610">
            <v>7</v>
          </cell>
          <cell r="N1610">
            <v>29.7</v>
          </cell>
          <cell r="O1610">
            <v>10.199999999999999</v>
          </cell>
          <cell r="P1610">
            <v>43.9</v>
          </cell>
          <cell r="S1610">
            <v>70.8</v>
          </cell>
          <cell r="T1610">
            <v>34</v>
          </cell>
          <cell r="U1610">
            <v>2</v>
          </cell>
        </row>
        <row r="1611">
          <cell r="B1611" t="str">
            <v>Other</v>
          </cell>
          <cell r="F1611">
            <v>7</v>
          </cell>
          <cell r="G1611">
            <v>14.3</v>
          </cell>
          <cell r="I1611">
            <v>76</v>
          </cell>
          <cell r="J1611">
            <v>0</v>
          </cell>
          <cell r="K1611">
            <v>4</v>
          </cell>
          <cell r="L1611">
            <v>213.34</v>
          </cell>
          <cell r="M1611">
            <v>21</v>
          </cell>
          <cell r="N1611">
            <v>28.5</v>
          </cell>
          <cell r="O1611">
            <v>3.5</v>
          </cell>
          <cell r="P1611">
            <v>9.6</v>
          </cell>
          <cell r="S1611">
            <v>30</v>
          </cell>
          <cell r="U1611">
            <v>2</v>
          </cell>
        </row>
        <row r="1612">
          <cell r="B1612" t="str">
            <v>Female</v>
          </cell>
          <cell r="F1612">
            <v>6</v>
          </cell>
          <cell r="G1612">
            <v>29.6</v>
          </cell>
          <cell r="H1612">
            <v>9.1</v>
          </cell>
          <cell r="I1612">
            <v>57.3</v>
          </cell>
          <cell r="J1612">
            <v>9</v>
          </cell>
          <cell r="K1612">
            <v>12</v>
          </cell>
          <cell r="L1612">
            <v>93.63</v>
          </cell>
          <cell r="M1612">
            <v>3</v>
          </cell>
          <cell r="N1612">
            <v>16.399999999999999</v>
          </cell>
          <cell r="O1612">
            <v>11.9</v>
          </cell>
          <cell r="P1612">
            <v>13.6</v>
          </cell>
          <cell r="S1612">
            <v>29.1</v>
          </cell>
          <cell r="T1612">
            <v>25.6</v>
          </cell>
          <cell r="U1612">
            <v>2</v>
          </cell>
        </row>
        <row r="1613">
          <cell r="B1613" t="str">
            <v>Male</v>
          </cell>
          <cell r="F1613">
            <v>13</v>
          </cell>
          <cell r="G1613">
            <v>34.4</v>
          </cell>
          <cell r="H1613">
            <v>11.3</v>
          </cell>
          <cell r="I1613">
            <v>54.3</v>
          </cell>
          <cell r="J1613">
            <v>2</v>
          </cell>
          <cell r="K1613">
            <v>9</v>
          </cell>
          <cell r="L1613">
            <v>188.69</v>
          </cell>
          <cell r="M1613">
            <v>10</v>
          </cell>
          <cell r="N1613">
            <v>34.299999999999997</v>
          </cell>
          <cell r="O1613">
            <v>3.8</v>
          </cell>
          <cell r="P1613">
            <v>19.3</v>
          </cell>
          <cell r="S1613">
            <v>21.2</v>
          </cell>
          <cell r="T1613">
            <v>19.7</v>
          </cell>
          <cell r="U1613">
            <v>4</v>
          </cell>
        </row>
        <row r="1614">
          <cell r="B1614" t="str">
            <v>Female</v>
          </cell>
          <cell r="F1614">
            <v>11</v>
          </cell>
          <cell r="G1614">
            <v>24.2</v>
          </cell>
          <cell r="H1614">
            <v>3.3</v>
          </cell>
          <cell r="I1614">
            <v>73.3</v>
          </cell>
          <cell r="J1614">
            <v>8</v>
          </cell>
          <cell r="K1614" t="str">
            <v>15.600000000000001</v>
          </cell>
          <cell r="L1614">
            <v>138.80000000000001</v>
          </cell>
          <cell r="M1614">
            <v>67</v>
          </cell>
          <cell r="N1614" t="str">
            <v>49.199999999999996</v>
          </cell>
          <cell r="O1614">
            <v>13.6</v>
          </cell>
          <cell r="P1614">
            <v>23.8</v>
          </cell>
          <cell r="T1614">
            <v>18.3</v>
          </cell>
          <cell r="U1614">
            <v>2</v>
          </cell>
        </row>
        <row r="1615">
          <cell r="B1615" t="str">
            <v>Male</v>
          </cell>
          <cell r="F1615">
            <v>14</v>
          </cell>
          <cell r="H1615">
            <v>8.6</v>
          </cell>
          <cell r="I1615">
            <v>80.5</v>
          </cell>
          <cell r="J1615">
            <v>5</v>
          </cell>
          <cell r="K1615">
            <v>15</v>
          </cell>
          <cell r="L1615">
            <v>102.76</v>
          </cell>
          <cell r="M1615">
            <v>9</v>
          </cell>
          <cell r="N1615">
            <v>44.5</v>
          </cell>
          <cell r="O1615">
            <v>16.399999999999999</v>
          </cell>
          <cell r="P1615">
            <v>34.200000000000003</v>
          </cell>
          <cell r="S1615">
            <v>42.5</v>
          </cell>
          <cell r="T1615">
            <v>28.1</v>
          </cell>
          <cell r="U1615">
            <v>1</v>
          </cell>
        </row>
        <row r="1616">
          <cell r="B1616" t="str">
            <v>Female</v>
          </cell>
          <cell r="F1616">
            <v>12</v>
          </cell>
          <cell r="G1616">
            <v>30.8</v>
          </cell>
          <cell r="H1616">
            <v>12.3</v>
          </cell>
          <cell r="I1616">
            <v>58.3</v>
          </cell>
          <cell r="J1616">
            <v>5</v>
          </cell>
          <cell r="K1616">
            <v>10.4</v>
          </cell>
          <cell r="L1616">
            <v>108.23</v>
          </cell>
          <cell r="M1616">
            <v>7</v>
          </cell>
          <cell r="N1616">
            <v>55.92</v>
          </cell>
          <cell r="O1616">
            <v>7.7</v>
          </cell>
          <cell r="P1616">
            <v>21.6</v>
          </cell>
          <cell r="S1616">
            <v>10.9</v>
          </cell>
          <cell r="T1616">
            <v>15.3</v>
          </cell>
        </row>
        <row r="1617">
          <cell r="B1617" t="str">
            <v>Male</v>
          </cell>
          <cell r="F1617">
            <v>16</v>
          </cell>
          <cell r="G1617">
            <v>31.6</v>
          </cell>
          <cell r="H1617">
            <v>10.4</v>
          </cell>
          <cell r="I1617">
            <v>40</v>
          </cell>
          <cell r="K1617">
            <v>28.6</v>
          </cell>
          <cell r="L1617">
            <v>109.94</v>
          </cell>
          <cell r="M1617">
            <v>28</v>
          </cell>
          <cell r="N1617">
            <v>37.799999999999997</v>
          </cell>
          <cell r="O1617">
            <v>2.8</v>
          </cell>
          <cell r="P1617">
            <v>23</v>
          </cell>
          <cell r="S1617">
            <v>29.8</v>
          </cell>
          <cell r="T1617">
            <v>24.3</v>
          </cell>
          <cell r="U1617">
            <v>3</v>
          </cell>
        </row>
        <row r="1618">
          <cell r="B1618" t="str">
            <v>Male</v>
          </cell>
          <cell r="F1618">
            <v>14</v>
          </cell>
          <cell r="G1618">
            <v>26.5</v>
          </cell>
          <cell r="H1618">
            <v>6.2</v>
          </cell>
          <cell r="I1618">
            <v>66.400000000000006</v>
          </cell>
          <cell r="J1618">
            <v>2</v>
          </cell>
          <cell r="K1618">
            <v>11</v>
          </cell>
          <cell r="L1618">
            <v>68.23</v>
          </cell>
          <cell r="M1618">
            <v>22</v>
          </cell>
          <cell r="N1618">
            <v>22</v>
          </cell>
          <cell r="O1618">
            <v>7.2</v>
          </cell>
          <cell r="P1618">
            <v>5.9</v>
          </cell>
          <cell r="S1618">
            <v>18.8</v>
          </cell>
          <cell r="T1618">
            <v>15</v>
          </cell>
          <cell r="U1618">
            <v>4</v>
          </cell>
        </row>
        <row r="1619">
          <cell r="B1619" t="str">
            <v>Other</v>
          </cell>
          <cell r="F1619">
            <v>9</v>
          </cell>
          <cell r="G1619">
            <v>11.6</v>
          </cell>
          <cell r="H1619">
            <v>7.4</v>
          </cell>
          <cell r="I1619">
            <v>75.5</v>
          </cell>
          <cell r="J1619">
            <v>4</v>
          </cell>
          <cell r="K1619">
            <v>4</v>
          </cell>
          <cell r="L1619">
            <v>149.82</v>
          </cell>
          <cell r="M1619">
            <v>6</v>
          </cell>
          <cell r="N1619">
            <v>35.200000000000003</v>
          </cell>
          <cell r="O1619">
            <v>6.8</v>
          </cell>
          <cell r="P1619">
            <v>15</v>
          </cell>
          <cell r="S1619">
            <v>24.3</v>
          </cell>
          <cell r="U1619">
            <v>3</v>
          </cell>
        </row>
        <row r="1620">
          <cell r="B1620" t="str">
            <v>Female</v>
          </cell>
          <cell r="F1620">
            <v>26</v>
          </cell>
          <cell r="G1620">
            <v>32.1</v>
          </cell>
          <cell r="H1620">
            <v>10</v>
          </cell>
          <cell r="I1620">
            <v>46.9</v>
          </cell>
          <cell r="J1620">
            <v>2</v>
          </cell>
          <cell r="K1620">
            <v>19</v>
          </cell>
          <cell r="L1620">
            <v>192.76</v>
          </cell>
          <cell r="M1620">
            <v>26</v>
          </cell>
          <cell r="N1620">
            <v>57</v>
          </cell>
          <cell r="O1620">
            <v>10.199999999999999</v>
          </cell>
          <cell r="P1620">
            <v>13.8</v>
          </cell>
          <cell r="S1620">
            <v>32.299999999999997</v>
          </cell>
          <cell r="T1620">
            <v>30.9</v>
          </cell>
          <cell r="U1620">
            <v>1</v>
          </cell>
        </row>
        <row r="1621">
          <cell r="B1621" t="str">
            <v>Female</v>
          </cell>
          <cell r="F1621">
            <v>17</v>
          </cell>
          <cell r="G1621">
            <v>33.6</v>
          </cell>
          <cell r="H1621">
            <v>10.9</v>
          </cell>
          <cell r="I1621">
            <v>29.8</v>
          </cell>
          <cell r="J1621">
            <v>6</v>
          </cell>
          <cell r="K1621">
            <v>20</v>
          </cell>
          <cell r="L1621">
            <v>94.25</v>
          </cell>
          <cell r="M1621">
            <v>44</v>
          </cell>
          <cell r="N1621">
            <v>39.700000000000003</v>
          </cell>
          <cell r="O1621">
            <v>5.5</v>
          </cell>
          <cell r="P1621">
            <v>49.9</v>
          </cell>
          <cell r="S1621">
            <v>64.599999999999994</v>
          </cell>
          <cell r="U1621">
            <v>3</v>
          </cell>
        </row>
        <row r="1622">
          <cell r="B1622" t="str">
            <v>Female</v>
          </cell>
          <cell r="F1622">
            <v>17</v>
          </cell>
          <cell r="G1622">
            <v>48.4</v>
          </cell>
          <cell r="H1622">
            <v>16.899999999999999</v>
          </cell>
          <cell r="I1622">
            <v>53.5</v>
          </cell>
          <cell r="J1622">
            <v>5</v>
          </cell>
          <cell r="K1622">
            <v>19</v>
          </cell>
          <cell r="L1622">
            <v>194.29</v>
          </cell>
          <cell r="M1622">
            <v>12</v>
          </cell>
          <cell r="N1622">
            <v>54.1</v>
          </cell>
          <cell r="O1622">
            <v>3.7</v>
          </cell>
          <cell r="P1622">
            <v>41.2</v>
          </cell>
          <cell r="S1622">
            <v>48.4</v>
          </cell>
          <cell r="U1622">
            <v>4</v>
          </cell>
        </row>
        <row r="1623">
          <cell r="B1623" t="str">
            <v>Male</v>
          </cell>
          <cell r="F1623">
            <v>19</v>
          </cell>
          <cell r="G1623">
            <v>30.3</v>
          </cell>
          <cell r="H1623">
            <v>9.3000000000000007</v>
          </cell>
          <cell r="I1623">
            <v>44.9</v>
          </cell>
          <cell r="J1623">
            <v>6</v>
          </cell>
          <cell r="K1623">
            <v>11</v>
          </cell>
          <cell r="L1623">
            <v>90.39</v>
          </cell>
          <cell r="M1623">
            <v>40</v>
          </cell>
          <cell r="N1623">
            <v>72.099999999999994</v>
          </cell>
          <cell r="O1623">
            <v>2.8</v>
          </cell>
          <cell r="P1623">
            <v>31.2</v>
          </cell>
          <cell r="S1623">
            <v>45.5</v>
          </cell>
          <cell r="T1623">
            <v>20.9</v>
          </cell>
          <cell r="U1623">
            <v>1</v>
          </cell>
        </row>
        <row r="1624">
          <cell r="B1624" t="str">
            <v>Female</v>
          </cell>
          <cell r="F1624">
            <v>1</v>
          </cell>
          <cell r="G1624">
            <v>19.8</v>
          </cell>
          <cell r="H1624">
            <v>2.7</v>
          </cell>
          <cell r="I1624">
            <v>67.400000000000006</v>
          </cell>
          <cell r="J1624">
            <v>1</v>
          </cell>
          <cell r="K1624" t="str">
            <v>7.800000000000001</v>
          </cell>
          <cell r="L1624">
            <v>101.77</v>
          </cell>
          <cell r="M1624">
            <v>10</v>
          </cell>
          <cell r="N1624">
            <v>44.76</v>
          </cell>
          <cell r="O1624">
            <v>16</v>
          </cell>
          <cell r="P1624">
            <v>0</v>
          </cell>
          <cell r="S1624">
            <v>11.1</v>
          </cell>
          <cell r="T1624">
            <v>6.4</v>
          </cell>
          <cell r="U1624">
            <v>2</v>
          </cell>
        </row>
        <row r="1625">
          <cell r="B1625" t="str">
            <v>Female</v>
          </cell>
          <cell r="F1625">
            <v>5</v>
          </cell>
          <cell r="G1625">
            <v>18.399999999999999</v>
          </cell>
          <cell r="H1625">
            <v>8.3000000000000007</v>
          </cell>
          <cell r="I1625">
            <v>69.900000000000006</v>
          </cell>
          <cell r="K1625">
            <v>8</v>
          </cell>
          <cell r="L1625">
            <v>122.2</v>
          </cell>
          <cell r="M1625">
            <v>34</v>
          </cell>
          <cell r="N1625">
            <v>65.2</v>
          </cell>
          <cell r="O1625">
            <v>2</v>
          </cell>
          <cell r="P1625">
            <v>3.7</v>
          </cell>
          <cell r="S1625">
            <v>19.100000000000001</v>
          </cell>
          <cell r="T1625">
            <v>9.8000000000000007</v>
          </cell>
          <cell r="U1625">
            <v>3</v>
          </cell>
        </row>
        <row r="1626">
          <cell r="B1626" t="str">
            <v>Male</v>
          </cell>
          <cell r="F1626">
            <v>20</v>
          </cell>
          <cell r="G1626">
            <v>42.2</v>
          </cell>
          <cell r="H1626">
            <v>11</v>
          </cell>
          <cell r="I1626">
            <v>45.3</v>
          </cell>
          <cell r="J1626">
            <v>5</v>
          </cell>
          <cell r="K1626">
            <v>11</v>
          </cell>
          <cell r="L1626">
            <v>107.62</v>
          </cell>
          <cell r="M1626">
            <v>1</v>
          </cell>
          <cell r="N1626">
            <v>57.4</v>
          </cell>
          <cell r="O1626">
            <v>2.9</v>
          </cell>
          <cell r="P1626">
            <v>19.5</v>
          </cell>
          <cell r="U1626">
            <v>4</v>
          </cell>
        </row>
        <row r="1627">
          <cell r="B1627" t="str">
            <v>Male</v>
          </cell>
          <cell r="F1627">
            <v>23</v>
          </cell>
          <cell r="G1627">
            <v>42.2</v>
          </cell>
          <cell r="H1627">
            <v>7.4</v>
          </cell>
          <cell r="I1627">
            <v>46.4</v>
          </cell>
          <cell r="J1627">
            <v>9</v>
          </cell>
          <cell r="K1627">
            <v>14</v>
          </cell>
          <cell r="L1627">
            <v>86.22</v>
          </cell>
          <cell r="M1627">
            <v>72</v>
          </cell>
          <cell r="N1627">
            <v>62.5</v>
          </cell>
          <cell r="P1627">
            <v>38.5</v>
          </cell>
          <cell r="S1627">
            <v>67.400000000000006</v>
          </cell>
          <cell r="T1627">
            <v>32</v>
          </cell>
          <cell r="U1627">
            <v>1</v>
          </cell>
        </row>
        <row r="1628">
          <cell r="B1628" t="str">
            <v>Female</v>
          </cell>
          <cell r="F1628">
            <v>25</v>
          </cell>
          <cell r="G1628">
            <v>38.1</v>
          </cell>
          <cell r="H1628">
            <v>6.4</v>
          </cell>
          <cell r="I1628">
            <v>73.7</v>
          </cell>
          <cell r="J1628">
            <v>5</v>
          </cell>
          <cell r="K1628">
            <v>13</v>
          </cell>
          <cell r="L1628">
            <v>98.11</v>
          </cell>
          <cell r="M1628">
            <v>52</v>
          </cell>
          <cell r="N1628">
            <v>34.4</v>
          </cell>
          <cell r="O1628">
            <v>3.6</v>
          </cell>
          <cell r="P1628">
            <v>42.4</v>
          </cell>
          <cell r="S1628">
            <v>53.8</v>
          </cell>
          <cell r="T1628">
            <v>26.2</v>
          </cell>
          <cell r="U1628">
            <v>3</v>
          </cell>
        </row>
        <row r="1629">
          <cell r="B1629" t="str">
            <v>Male</v>
          </cell>
          <cell r="F1629">
            <v>24</v>
          </cell>
          <cell r="G1629">
            <v>42.7</v>
          </cell>
          <cell r="H1629">
            <v>13.3</v>
          </cell>
          <cell r="I1629">
            <v>27.9</v>
          </cell>
          <cell r="J1629">
            <v>7</v>
          </cell>
          <cell r="K1629">
            <v>17</v>
          </cell>
          <cell r="L1629">
            <v>163.78</v>
          </cell>
          <cell r="M1629">
            <v>176</v>
          </cell>
          <cell r="N1629">
            <v>33.5</v>
          </cell>
          <cell r="O1629">
            <v>12.1</v>
          </cell>
          <cell r="P1629">
            <v>27.4</v>
          </cell>
          <cell r="S1629">
            <v>58.7</v>
          </cell>
          <cell r="T1629">
            <v>32.4</v>
          </cell>
          <cell r="U1629">
            <v>3</v>
          </cell>
        </row>
        <row r="1630">
          <cell r="B1630" t="str">
            <v>Male</v>
          </cell>
          <cell r="F1630">
            <v>15</v>
          </cell>
          <cell r="G1630">
            <v>31</v>
          </cell>
          <cell r="H1630">
            <v>10.8</v>
          </cell>
          <cell r="I1630">
            <v>46.3</v>
          </cell>
          <cell r="J1630">
            <v>1</v>
          </cell>
          <cell r="K1630">
            <v>10</v>
          </cell>
          <cell r="L1630">
            <v>123.93</v>
          </cell>
          <cell r="M1630">
            <v>16</v>
          </cell>
          <cell r="N1630">
            <v>65.8</v>
          </cell>
          <cell r="P1630">
            <v>10</v>
          </cell>
          <cell r="S1630">
            <v>6.3</v>
          </cell>
          <cell r="T1630">
            <v>17.2</v>
          </cell>
          <cell r="U1630">
            <v>3</v>
          </cell>
        </row>
        <row r="1631">
          <cell r="B1631" t="str">
            <v>Male</v>
          </cell>
          <cell r="F1631">
            <v>0</v>
          </cell>
          <cell r="G1631">
            <v>12.5</v>
          </cell>
          <cell r="H1631">
            <v>2.7</v>
          </cell>
          <cell r="I1631">
            <v>90.9</v>
          </cell>
          <cell r="J1631">
            <v>1</v>
          </cell>
          <cell r="K1631">
            <v>7</v>
          </cell>
          <cell r="L1631">
            <v>115.33</v>
          </cell>
          <cell r="M1631">
            <v>19</v>
          </cell>
          <cell r="N1631">
            <v>4.8</v>
          </cell>
          <cell r="O1631">
            <v>12</v>
          </cell>
          <cell r="P1631">
            <v>6.7</v>
          </cell>
          <cell r="S1631">
            <v>6.8</v>
          </cell>
          <cell r="T1631">
            <v>9.1999999999999993</v>
          </cell>
          <cell r="U1631">
            <v>1</v>
          </cell>
        </row>
        <row r="1632">
          <cell r="B1632" t="str">
            <v>Male</v>
          </cell>
          <cell r="F1632">
            <v>5</v>
          </cell>
          <cell r="G1632">
            <v>37.9</v>
          </cell>
          <cell r="H1632">
            <v>8</v>
          </cell>
          <cell r="I1632">
            <v>49.3</v>
          </cell>
          <cell r="J1632">
            <v>6</v>
          </cell>
          <cell r="K1632">
            <v>15</v>
          </cell>
          <cell r="L1632">
            <v>257.77999999999997</v>
          </cell>
          <cell r="M1632">
            <v>4</v>
          </cell>
          <cell r="O1632">
            <v>5.5</v>
          </cell>
          <cell r="P1632">
            <v>38.6</v>
          </cell>
          <cell r="S1632">
            <v>55.2</v>
          </cell>
          <cell r="T1632">
            <v>23.8</v>
          </cell>
          <cell r="U1632">
            <v>2</v>
          </cell>
        </row>
        <row r="1633">
          <cell r="B1633" t="str">
            <v>Male</v>
          </cell>
          <cell r="F1633">
            <v>6</v>
          </cell>
          <cell r="G1633">
            <v>37.299999999999997</v>
          </cell>
          <cell r="H1633">
            <v>13.9</v>
          </cell>
          <cell r="I1633">
            <v>64.099999999999994</v>
          </cell>
          <cell r="J1633">
            <v>7</v>
          </cell>
          <cell r="K1633">
            <v>22.1</v>
          </cell>
          <cell r="L1633">
            <v>131.37</v>
          </cell>
          <cell r="M1633">
            <v>64</v>
          </cell>
          <cell r="N1633">
            <v>22.56</v>
          </cell>
          <cell r="O1633">
            <v>14.9</v>
          </cell>
          <cell r="P1633">
            <v>29.8</v>
          </cell>
          <cell r="T1633">
            <v>26.8</v>
          </cell>
          <cell r="U1633">
            <v>4</v>
          </cell>
        </row>
        <row r="1634">
          <cell r="B1634" t="str">
            <v>Male</v>
          </cell>
          <cell r="F1634">
            <v>5</v>
          </cell>
          <cell r="G1634">
            <v>15.9</v>
          </cell>
          <cell r="H1634">
            <v>6.9</v>
          </cell>
          <cell r="I1634">
            <v>65</v>
          </cell>
          <cell r="J1634">
            <v>2</v>
          </cell>
          <cell r="K1634">
            <v>4</v>
          </cell>
          <cell r="L1634">
            <v>65.11</v>
          </cell>
          <cell r="M1634">
            <v>22</v>
          </cell>
          <cell r="N1634">
            <v>98.8</v>
          </cell>
          <cell r="O1634">
            <v>4.5</v>
          </cell>
          <cell r="P1634">
            <v>20.8</v>
          </cell>
          <cell r="S1634">
            <v>0</v>
          </cell>
          <cell r="T1634">
            <v>9.6</v>
          </cell>
          <cell r="U1634">
            <v>3</v>
          </cell>
        </row>
        <row r="1635">
          <cell r="B1635" t="str">
            <v>Male</v>
          </cell>
          <cell r="F1635">
            <v>1</v>
          </cell>
          <cell r="G1635">
            <v>22.8</v>
          </cell>
          <cell r="I1635">
            <v>58.4</v>
          </cell>
          <cell r="J1635">
            <v>1</v>
          </cell>
          <cell r="K1635">
            <v>10.4</v>
          </cell>
          <cell r="L1635">
            <v>184.32</v>
          </cell>
          <cell r="M1635">
            <v>11</v>
          </cell>
          <cell r="N1635">
            <v>29.4</v>
          </cell>
          <cell r="O1635">
            <v>5.2</v>
          </cell>
          <cell r="P1635">
            <v>15.8</v>
          </cell>
          <cell r="S1635">
            <v>25.5</v>
          </cell>
          <cell r="T1635">
            <v>0</v>
          </cell>
          <cell r="U1635">
            <v>2</v>
          </cell>
        </row>
        <row r="1636">
          <cell r="B1636" t="str">
            <v>Male</v>
          </cell>
          <cell r="F1636">
            <v>14</v>
          </cell>
          <cell r="G1636">
            <v>19.3</v>
          </cell>
          <cell r="H1636">
            <v>8.5</v>
          </cell>
          <cell r="I1636">
            <v>51.3</v>
          </cell>
          <cell r="J1636">
            <v>6</v>
          </cell>
          <cell r="K1636">
            <v>16</v>
          </cell>
          <cell r="L1636">
            <v>96.2</v>
          </cell>
          <cell r="M1636">
            <v>15</v>
          </cell>
          <cell r="O1636">
            <v>0.8</v>
          </cell>
          <cell r="P1636">
            <v>34.1</v>
          </cell>
          <cell r="S1636">
            <v>32.799999999999997</v>
          </cell>
          <cell r="T1636">
            <v>23.8</v>
          </cell>
          <cell r="U1636">
            <v>1</v>
          </cell>
        </row>
        <row r="1637">
          <cell r="B1637" t="str">
            <v>Male</v>
          </cell>
          <cell r="F1637">
            <v>1</v>
          </cell>
          <cell r="G1637">
            <v>18.899999999999999</v>
          </cell>
          <cell r="H1637">
            <v>8</v>
          </cell>
          <cell r="I1637">
            <v>58.7</v>
          </cell>
          <cell r="J1637">
            <v>2</v>
          </cell>
          <cell r="K1637">
            <v>6</v>
          </cell>
          <cell r="L1637">
            <v>108.97</v>
          </cell>
          <cell r="M1637">
            <v>1</v>
          </cell>
          <cell r="N1637">
            <v>39.299999999999997</v>
          </cell>
          <cell r="O1637">
            <v>0.2</v>
          </cell>
          <cell r="P1637">
            <v>12</v>
          </cell>
          <cell r="S1637">
            <v>33.799999999999997</v>
          </cell>
          <cell r="T1637">
            <v>16.100000000000001</v>
          </cell>
          <cell r="U1637">
            <v>3</v>
          </cell>
        </row>
        <row r="1638">
          <cell r="B1638" t="str">
            <v>Female</v>
          </cell>
          <cell r="F1638">
            <v>15</v>
          </cell>
          <cell r="G1638">
            <v>24.6</v>
          </cell>
          <cell r="H1638">
            <v>7.1</v>
          </cell>
          <cell r="I1638">
            <v>49.9</v>
          </cell>
          <cell r="K1638">
            <v>7</v>
          </cell>
          <cell r="L1638">
            <v>65.91</v>
          </cell>
          <cell r="M1638">
            <v>56</v>
          </cell>
          <cell r="N1638">
            <v>63.9</v>
          </cell>
          <cell r="O1638">
            <v>4</v>
          </cell>
          <cell r="P1638">
            <v>8.3000000000000007</v>
          </cell>
          <cell r="S1638">
            <v>13.2</v>
          </cell>
          <cell r="T1638">
            <v>14.8</v>
          </cell>
          <cell r="U1638">
            <v>3</v>
          </cell>
        </row>
        <row r="1639">
          <cell r="B1639" t="str">
            <v>Male</v>
          </cell>
          <cell r="F1639">
            <v>0</v>
          </cell>
          <cell r="H1639">
            <v>3.3</v>
          </cell>
          <cell r="I1639">
            <v>73.599999999999994</v>
          </cell>
          <cell r="J1639">
            <v>2</v>
          </cell>
          <cell r="K1639">
            <v>11</v>
          </cell>
          <cell r="L1639">
            <v>67.86</v>
          </cell>
          <cell r="M1639">
            <v>6</v>
          </cell>
          <cell r="N1639">
            <v>33.799999999999997</v>
          </cell>
          <cell r="O1639">
            <v>0.8</v>
          </cell>
          <cell r="P1639">
            <v>21.1</v>
          </cell>
          <cell r="S1639">
            <v>18.7</v>
          </cell>
          <cell r="T1639">
            <v>11</v>
          </cell>
          <cell r="U1639">
            <v>1</v>
          </cell>
        </row>
        <row r="1640">
          <cell r="B1640" t="str">
            <v>Female</v>
          </cell>
          <cell r="F1640">
            <v>8</v>
          </cell>
          <cell r="G1640">
            <v>25.6</v>
          </cell>
          <cell r="H1640">
            <v>10.3</v>
          </cell>
          <cell r="I1640">
            <v>48.8</v>
          </cell>
          <cell r="J1640">
            <v>7</v>
          </cell>
          <cell r="K1640">
            <v>13</v>
          </cell>
          <cell r="L1640">
            <v>89.04</v>
          </cell>
          <cell r="N1640">
            <v>43</v>
          </cell>
          <cell r="O1640">
            <v>9.8000000000000007</v>
          </cell>
          <cell r="P1640">
            <v>15.3</v>
          </cell>
          <cell r="S1640">
            <v>33.9</v>
          </cell>
          <cell r="T1640">
            <v>28.6</v>
          </cell>
          <cell r="U1640">
            <v>3</v>
          </cell>
        </row>
        <row r="1641">
          <cell r="B1641" t="str">
            <v>Female</v>
          </cell>
          <cell r="F1641">
            <v>20</v>
          </cell>
          <cell r="G1641">
            <v>33</v>
          </cell>
          <cell r="H1641">
            <v>14</v>
          </cell>
          <cell r="I1641">
            <v>53.8</v>
          </cell>
          <cell r="J1641">
            <v>4</v>
          </cell>
          <cell r="K1641">
            <v>13</v>
          </cell>
          <cell r="L1641">
            <v>64.290000000000006</v>
          </cell>
          <cell r="M1641">
            <v>51</v>
          </cell>
          <cell r="N1641">
            <v>39.4</v>
          </cell>
          <cell r="O1641">
            <v>25.1</v>
          </cell>
          <cell r="P1641">
            <v>44.1</v>
          </cell>
          <cell r="T1641">
            <v>22.7</v>
          </cell>
          <cell r="U1641">
            <v>2</v>
          </cell>
        </row>
        <row r="1642">
          <cell r="B1642" t="str">
            <v>Female</v>
          </cell>
          <cell r="F1642">
            <v>21</v>
          </cell>
          <cell r="G1642">
            <v>41</v>
          </cell>
          <cell r="H1642">
            <v>10.8</v>
          </cell>
          <cell r="I1642">
            <v>16.7</v>
          </cell>
          <cell r="J1642">
            <v>8</v>
          </cell>
          <cell r="K1642">
            <v>18</v>
          </cell>
          <cell r="L1642">
            <v>128.58000000000001</v>
          </cell>
          <cell r="M1642">
            <v>16</v>
          </cell>
          <cell r="N1642">
            <v>40.6</v>
          </cell>
          <cell r="O1642">
            <v>5.9</v>
          </cell>
          <cell r="P1642">
            <v>21.6</v>
          </cell>
          <cell r="S1642">
            <v>47.9</v>
          </cell>
          <cell r="T1642">
            <v>43.8</v>
          </cell>
          <cell r="U1642">
            <v>2</v>
          </cell>
        </row>
        <row r="1643">
          <cell r="B1643" t="str">
            <v>Male</v>
          </cell>
          <cell r="F1643">
            <v>24</v>
          </cell>
          <cell r="G1643">
            <v>41.4</v>
          </cell>
          <cell r="H1643">
            <v>14.1</v>
          </cell>
          <cell r="I1643">
            <v>42.2</v>
          </cell>
          <cell r="J1643">
            <v>6</v>
          </cell>
          <cell r="K1643">
            <v>20</v>
          </cell>
          <cell r="L1643">
            <v>112.66</v>
          </cell>
          <cell r="M1643">
            <v>17</v>
          </cell>
          <cell r="N1643">
            <v>51.4</v>
          </cell>
          <cell r="O1643">
            <v>6.4</v>
          </cell>
          <cell r="P1643">
            <v>22.2</v>
          </cell>
          <cell r="S1643">
            <v>12.8</v>
          </cell>
          <cell r="T1643">
            <v>29.3</v>
          </cell>
          <cell r="U1643">
            <v>1</v>
          </cell>
        </row>
        <row r="1644">
          <cell r="B1644" t="str">
            <v>Male</v>
          </cell>
          <cell r="F1644">
            <v>1</v>
          </cell>
          <cell r="G1644">
            <v>15.6</v>
          </cell>
          <cell r="H1644">
            <v>4.2</v>
          </cell>
          <cell r="I1644">
            <v>73.3</v>
          </cell>
          <cell r="J1644">
            <v>0</v>
          </cell>
          <cell r="K1644">
            <v>4</v>
          </cell>
          <cell r="L1644">
            <v>124.19</v>
          </cell>
          <cell r="M1644">
            <v>43</v>
          </cell>
          <cell r="N1644">
            <v>42.3</v>
          </cell>
          <cell r="O1644">
            <v>11.4</v>
          </cell>
          <cell r="P1644">
            <v>0</v>
          </cell>
          <cell r="S1644">
            <v>0</v>
          </cell>
          <cell r="T1644">
            <v>7.2</v>
          </cell>
          <cell r="U1644">
            <v>3</v>
          </cell>
        </row>
        <row r="1645">
          <cell r="B1645" t="str">
            <v>Female</v>
          </cell>
          <cell r="F1645">
            <v>16</v>
          </cell>
          <cell r="G1645">
            <v>19.8</v>
          </cell>
          <cell r="H1645">
            <v>8.6999999999999993</v>
          </cell>
          <cell r="I1645">
            <v>67.2</v>
          </cell>
          <cell r="J1645">
            <v>11</v>
          </cell>
          <cell r="K1645">
            <v>9</v>
          </cell>
          <cell r="L1645">
            <v>98.61</v>
          </cell>
          <cell r="M1645">
            <v>2</v>
          </cell>
          <cell r="N1645">
            <v>39.799999999999997</v>
          </cell>
          <cell r="O1645">
            <v>3.8</v>
          </cell>
          <cell r="P1645">
            <v>0</v>
          </cell>
          <cell r="T1645">
            <v>18.399999999999999</v>
          </cell>
          <cell r="U1645">
            <v>1</v>
          </cell>
        </row>
        <row r="1646">
          <cell r="B1646" t="str">
            <v>Female</v>
          </cell>
          <cell r="F1646">
            <v>12</v>
          </cell>
          <cell r="H1646">
            <v>3.9</v>
          </cell>
          <cell r="I1646">
            <v>69.599999999999994</v>
          </cell>
          <cell r="J1646">
            <v>0</v>
          </cell>
          <cell r="K1646">
            <v>5.2</v>
          </cell>
          <cell r="L1646">
            <v>106.6</v>
          </cell>
          <cell r="M1646">
            <v>92</v>
          </cell>
          <cell r="N1646">
            <v>6.84</v>
          </cell>
          <cell r="O1646">
            <v>2.6</v>
          </cell>
          <cell r="P1646">
            <v>14.8</v>
          </cell>
          <cell r="S1646">
            <v>0.9</v>
          </cell>
          <cell r="T1646">
            <v>14.1</v>
          </cell>
          <cell r="U1646">
            <v>1</v>
          </cell>
        </row>
        <row r="1647">
          <cell r="B1647" t="str">
            <v>Male</v>
          </cell>
          <cell r="F1647">
            <v>15</v>
          </cell>
          <cell r="G1647">
            <v>27.2</v>
          </cell>
          <cell r="H1647">
            <v>7.8</v>
          </cell>
          <cell r="I1647">
            <v>68.3</v>
          </cell>
          <cell r="J1647">
            <v>6</v>
          </cell>
          <cell r="K1647">
            <v>6</v>
          </cell>
          <cell r="L1647">
            <v>148.81</v>
          </cell>
          <cell r="M1647">
            <v>39</v>
          </cell>
          <cell r="N1647">
            <v>30.8</v>
          </cell>
          <cell r="O1647">
            <v>0.2</v>
          </cell>
          <cell r="P1647">
            <v>28.4</v>
          </cell>
          <cell r="S1647">
            <v>28.4</v>
          </cell>
          <cell r="T1647">
            <v>9</v>
          </cell>
          <cell r="U1647">
            <v>2</v>
          </cell>
        </row>
        <row r="1648">
          <cell r="B1648" t="str">
            <v>Female</v>
          </cell>
          <cell r="F1648">
            <v>1</v>
          </cell>
          <cell r="G1648">
            <v>16.2</v>
          </cell>
          <cell r="H1648">
            <v>1.9</v>
          </cell>
          <cell r="I1648">
            <v>78.3</v>
          </cell>
          <cell r="K1648">
            <v>24</v>
          </cell>
          <cell r="L1648">
            <v>158.15</v>
          </cell>
          <cell r="N1648">
            <v>73.3</v>
          </cell>
          <cell r="O1648">
            <v>2.9</v>
          </cell>
          <cell r="P1648">
            <v>9.9</v>
          </cell>
          <cell r="S1648">
            <v>8.9</v>
          </cell>
          <cell r="T1648">
            <v>14</v>
          </cell>
          <cell r="U1648">
            <v>2</v>
          </cell>
        </row>
        <row r="1649">
          <cell r="B1649" t="str">
            <v>Female</v>
          </cell>
          <cell r="F1649">
            <v>0</v>
          </cell>
          <cell r="G1649">
            <v>21.9</v>
          </cell>
          <cell r="H1649">
            <v>7.9</v>
          </cell>
          <cell r="I1649">
            <v>62.3</v>
          </cell>
          <cell r="J1649">
            <v>3</v>
          </cell>
          <cell r="K1649">
            <v>5</v>
          </cell>
          <cell r="L1649">
            <v>141.54</v>
          </cell>
          <cell r="M1649">
            <v>3</v>
          </cell>
          <cell r="N1649">
            <v>23.2</v>
          </cell>
          <cell r="O1649">
            <v>1.8</v>
          </cell>
          <cell r="P1649">
            <v>19.7</v>
          </cell>
          <cell r="S1649">
            <v>29.8</v>
          </cell>
          <cell r="T1649">
            <v>4.5999999999999996</v>
          </cell>
          <cell r="U1649">
            <v>2</v>
          </cell>
        </row>
        <row r="1650">
          <cell r="B1650" t="str">
            <v>Male</v>
          </cell>
          <cell r="F1650">
            <v>11</v>
          </cell>
          <cell r="G1650">
            <v>34.4</v>
          </cell>
          <cell r="H1650">
            <v>7.6</v>
          </cell>
          <cell r="I1650">
            <v>64.400000000000006</v>
          </cell>
          <cell r="J1650">
            <v>9</v>
          </cell>
          <cell r="K1650">
            <v>13</v>
          </cell>
          <cell r="L1650">
            <v>51.36</v>
          </cell>
          <cell r="M1650">
            <v>68</v>
          </cell>
          <cell r="N1650" t="str">
            <v>29.639999999999997</v>
          </cell>
          <cell r="O1650">
            <v>1.1000000000000001</v>
          </cell>
          <cell r="P1650">
            <v>14.7</v>
          </cell>
          <cell r="S1650">
            <v>28.4</v>
          </cell>
          <cell r="T1650">
            <v>18.399999999999999</v>
          </cell>
          <cell r="U1650">
            <v>2</v>
          </cell>
        </row>
        <row r="1651">
          <cell r="B1651" t="str">
            <v>Male</v>
          </cell>
          <cell r="F1651">
            <v>13</v>
          </cell>
          <cell r="G1651">
            <v>17.2</v>
          </cell>
          <cell r="H1651">
            <v>7.2</v>
          </cell>
          <cell r="I1651">
            <v>50.1</v>
          </cell>
          <cell r="J1651">
            <v>1</v>
          </cell>
          <cell r="K1651">
            <v>13</v>
          </cell>
          <cell r="L1651">
            <v>146.05000000000001</v>
          </cell>
          <cell r="M1651">
            <v>153</v>
          </cell>
          <cell r="N1651">
            <v>27.4</v>
          </cell>
          <cell r="O1651">
            <v>9.6</v>
          </cell>
          <cell r="P1651">
            <v>0.9</v>
          </cell>
          <cell r="S1651">
            <v>37.299999999999997</v>
          </cell>
          <cell r="T1651">
            <v>22.2</v>
          </cell>
          <cell r="U1651">
            <v>1</v>
          </cell>
        </row>
        <row r="1652">
          <cell r="B1652" t="str">
            <v>Female</v>
          </cell>
          <cell r="F1652">
            <v>10</v>
          </cell>
          <cell r="G1652">
            <v>26.3</v>
          </cell>
          <cell r="H1652">
            <v>6.2</v>
          </cell>
          <cell r="I1652">
            <v>83.8</v>
          </cell>
          <cell r="J1652">
            <v>3</v>
          </cell>
          <cell r="K1652">
            <v>9.1</v>
          </cell>
          <cell r="L1652">
            <v>79.099999999999994</v>
          </cell>
          <cell r="M1652">
            <v>17</v>
          </cell>
          <cell r="N1652" t="str">
            <v>7.4399999999999995</v>
          </cell>
          <cell r="O1652">
            <v>9.5</v>
          </cell>
          <cell r="P1652">
            <v>32.1</v>
          </cell>
          <cell r="S1652">
            <v>0</v>
          </cell>
          <cell r="U1652">
            <v>3</v>
          </cell>
        </row>
        <row r="1653">
          <cell r="B1653" t="str">
            <v>Female</v>
          </cell>
          <cell r="F1653">
            <v>9</v>
          </cell>
          <cell r="G1653">
            <v>16</v>
          </cell>
          <cell r="H1653">
            <v>4.5999999999999996</v>
          </cell>
          <cell r="I1653">
            <v>84.4</v>
          </cell>
          <cell r="J1653">
            <v>0</v>
          </cell>
          <cell r="K1653">
            <v>14</v>
          </cell>
          <cell r="L1653">
            <v>165.56</v>
          </cell>
          <cell r="M1653">
            <v>4</v>
          </cell>
          <cell r="N1653">
            <v>83.3</v>
          </cell>
          <cell r="O1653">
            <v>3.7</v>
          </cell>
          <cell r="P1653">
            <v>8.9</v>
          </cell>
          <cell r="S1653">
            <v>7.5</v>
          </cell>
          <cell r="T1653">
            <v>10.3</v>
          </cell>
          <cell r="U1653">
            <v>1</v>
          </cell>
        </row>
        <row r="1654">
          <cell r="B1654" t="str">
            <v>Male</v>
          </cell>
          <cell r="F1654">
            <v>24</v>
          </cell>
          <cell r="G1654">
            <v>32.9</v>
          </cell>
          <cell r="H1654">
            <v>15.4</v>
          </cell>
          <cell r="I1654">
            <v>36.700000000000003</v>
          </cell>
          <cell r="J1654">
            <v>6</v>
          </cell>
          <cell r="K1654">
            <v>16</v>
          </cell>
          <cell r="L1654">
            <v>97.95</v>
          </cell>
          <cell r="N1654">
            <v>49.4</v>
          </cell>
          <cell r="O1654">
            <v>3.9</v>
          </cell>
          <cell r="P1654">
            <v>44.2</v>
          </cell>
          <cell r="S1654">
            <v>49.1</v>
          </cell>
          <cell r="T1654">
            <v>26.9</v>
          </cell>
          <cell r="U1654">
            <v>3</v>
          </cell>
        </row>
        <row r="1655">
          <cell r="B1655" t="str">
            <v>Female</v>
          </cell>
          <cell r="F1655">
            <v>6</v>
          </cell>
          <cell r="G1655">
            <v>31.5</v>
          </cell>
          <cell r="H1655">
            <v>11.4</v>
          </cell>
          <cell r="I1655">
            <v>52.7</v>
          </cell>
          <cell r="J1655">
            <v>4</v>
          </cell>
          <cell r="K1655">
            <v>13</v>
          </cell>
          <cell r="L1655">
            <v>112.66</v>
          </cell>
          <cell r="M1655">
            <v>22</v>
          </cell>
          <cell r="N1655">
            <v>88</v>
          </cell>
          <cell r="O1655">
            <v>4.4000000000000004</v>
          </cell>
          <cell r="P1655">
            <v>8</v>
          </cell>
          <cell r="S1655">
            <v>40.1</v>
          </cell>
          <cell r="U1655">
            <v>3</v>
          </cell>
        </row>
        <row r="1656">
          <cell r="B1656" t="str">
            <v>Female</v>
          </cell>
          <cell r="F1656">
            <v>22</v>
          </cell>
          <cell r="G1656">
            <v>39.9</v>
          </cell>
          <cell r="H1656">
            <v>10.8</v>
          </cell>
          <cell r="I1656">
            <v>47.8</v>
          </cell>
          <cell r="J1656">
            <v>4</v>
          </cell>
          <cell r="K1656">
            <v>14</v>
          </cell>
          <cell r="L1656">
            <v>124.24</v>
          </cell>
          <cell r="M1656">
            <v>0</v>
          </cell>
          <cell r="N1656">
            <v>35.4</v>
          </cell>
          <cell r="O1656">
            <v>1.9</v>
          </cell>
          <cell r="P1656">
            <v>38.4</v>
          </cell>
          <cell r="S1656">
            <v>39</v>
          </cell>
          <cell r="T1656">
            <v>31.1</v>
          </cell>
          <cell r="U1656">
            <v>3</v>
          </cell>
        </row>
        <row r="1657">
          <cell r="B1657" t="str">
            <v>Male</v>
          </cell>
          <cell r="F1657">
            <v>5</v>
          </cell>
          <cell r="G1657">
            <v>15.2</v>
          </cell>
          <cell r="H1657">
            <v>6.6</v>
          </cell>
          <cell r="I1657">
            <v>67.099999999999994</v>
          </cell>
          <cell r="J1657">
            <v>1</v>
          </cell>
          <cell r="K1657">
            <v>12</v>
          </cell>
          <cell r="L1657">
            <v>136.06</v>
          </cell>
          <cell r="M1657">
            <v>16</v>
          </cell>
          <cell r="N1657">
            <v>24.5</v>
          </cell>
          <cell r="O1657">
            <v>8.1999999999999993</v>
          </cell>
          <cell r="P1657">
            <v>25.1</v>
          </cell>
          <cell r="S1657">
            <v>33</v>
          </cell>
          <cell r="T1657">
            <v>18</v>
          </cell>
          <cell r="U1657">
            <v>3</v>
          </cell>
        </row>
        <row r="1658">
          <cell r="B1658" t="str">
            <v>Female</v>
          </cell>
          <cell r="F1658">
            <v>12</v>
          </cell>
          <cell r="G1658">
            <v>37.799999999999997</v>
          </cell>
          <cell r="I1658">
            <v>68.8</v>
          </cell>
          <cell r="J1658">
            <v>7</v>
          </cell>
          <cell r="K1658">
            <v>11</v>
          </cell>
          <cell r="L1658">
            <v>121.87</v>
          </cell>
          <cell r="M1658">
            <v>20</v>
          </cell>
          <cell r="N1658">
            <v>47.1</v>
          </cell>
          <cell r="O1658">
            <v>6.1</v>
          </cell>
          <cell r="P1658">
            <v>27.8</v>
          </cell>
          <cell r="T1658">
            <v>26.6</v>
          </cell>
          <cell r="U1658">
            <v>3</v>
          </cell>
        </row>
        <row r="1659">
          <cell r="B1659" t="str">
            <v>Female</v>
          </cell>
          <cell r="F1659">
            <v>16</v>
          </cell>
          <cell r="G1659">
            <v>29</v>
          </cell>
          <cell r="H1659">
            <v>7.8</v>
          </cell>
          <cell r="I1659">
            <v>42.5</v>
          </cell>
          <cell r="J1659">
            <v>5</v>
          </cell>
          <cell r="K1659">
            <v>16</v>
          </cell>
          <cell r="L1659">
            <v>41.85</v>
          </cell>
          <cell r="M1659">
            <v>13</v>
          </cell>
          <cell r="N1659">
            <v>47.2</v>
          </cell>
          <cell r="P1659">
            <v>29.2</v>
          </cell>
          <cell r="S1659">
            <v>10.9</v>
          </cell>
          <cell r="T1659">
            <v>17.100000000000001</v>
          </cell>
          <cell r="U1659">
            <v>3</v>
          </cell>
        </row>
        <row r="1660">
          <cell r="B1660" t="str">
            <v>Male</v>
          </cell>
          <cell r="F1660">
            <v>22</v>
          </cell>
          <cell r="G1660">
            <v>31.3</v>
          </cell>
          <cell r="H1660">
            <v>8.4</v>
          </cell>
          <cell r="I1660">
            <v>75.5</v>
          </cell>
          <cell r="J1660">
            <v>8</v>
          </cell>
          <cell r="K1660">
            <v>13</v>
          </cell>
          <cell r="L1660">
            <v>92.7</v>
          </cell>
          <cell r="M1660">
            <v>26</v>
          </cell>
          <cell r="N1660">
            <v>13.4</v>
          </cell>
          <cell r="O1660">
            <v>0.3</v>
          </cell>
          <cell r="P1660">
            <v>22.6</v>
          </cell>
          <cell r="S1660">
            <v>27.2</v>
          </cell>
          <cell r="T1660">
            <v>16.2</v>
          </cell>
          <cell r="U1660">
            <v>1</v>
          </cell>
        </row>
        <row r="1661">
          <cell r="B1661" t="str">
            <v>Male</v>
          </cell>
          <cell r="F1661">
            <v>13</v>
          </cell>
          <cell r="G1661">
            <v>35</v>
          </cell>
          <cell r="I1661">
            <v>56</v>
          </cell>
          <cell r="J1661">
            <v>10</v>
          </cell>
          <cell r="K1661">
            <v>13</v>
          </cell>
          <cell r="L1661">
            <v>82.53</v>
          </cell>
          <cell r="M1661">
            <v>189</v>
          </cell>
          <cell r="N1661">
            <v>38.1</v>
          </cell>
          <cell r="O1661">
            <v>8.8000000000000007</v>
          </cell>
          <cell r="P1661">
            <v>26.4</v>
          </cell>
          <cell r="S1661">
            <v>10.9</v>
          </cell>
          <cell r="T1661">
            <v>15.6</v>
          </cell>
          <cell r="U1661">
            <v>2</v>
          </cell>
        </row>
        <row r="1662">
          <cell r="B1662" t="str">
            <v>Female</v>
          </cell>
          <cell r="F1662">
            <v>10</v>
          </cell>
          <cell r="G1662">
            <v>27.4</v>
          </cell>
          <cell r="I1662">
            <v>47.6</v>
          </cell>
          <cell r="J1662">
            <v>7</v>
          </cell>
          <cell r="K1662">
            <v>12</v>
          </cell>
          <cell r="L1662">
            <v>93.46</v>
          </cell>
          <cell r="M1662">
            <v>47</v>
          </cell>
          <cell r="N1662">
            <v>76.7</v>
          </cell>
          <cell r="O1662">
            <v>9.1999999999999993</v>
          </cell>
          <cell r="P1662">
            <v>27.2</v>
          </cell>
          <cell r="S1662">
            <v>42.5</v>
          </cell>
          <cell r="T1662">
            <v>22.1</v>
          </cell>
          <cell r="U1662">
            <v>2</v>
          </cell>
        </row>
        <row r="1663">
          <cell r="B1663" t="str">
            <v>Male</v>
          </cell>
          <cell r="F1663">
            <v>7</v>
          </cell>
          <cell r="G1663">
            <v>31.8</v>
          </cell>
          <cell r="H1663">
            <v>10</v>
          </cell>
          <cell r="I1663">
            <v>56.9</v>
          </cell>
          <cell r="J1663">
            <v>4</v>
          </cell>
          <cell r="K1663">
            <v>13</v>
          </cell>
          <cell r="L1663">
            <v>97.58</v>
          </cell>
          <cell r="M1663">
            <v>54</v>
          </cell>
          <cell r="N1663">
            <v>26.3</v>
          </cell>
          <cell r="O1663">
            <v>13.9</v>
          </cell>
          <cell r="P1663">
            <v>24.6</v>
          </cell>
          <cell r="S1663">
            <v>22</v>
          </cell>
          <cell r="T1663">
            <v>20.7</v>
          </cell>
          <cell r="U1663">
            <v>1</v>
          </cell>
        </row>
        <row r="1664">
          <cell r="B1664" t="str">
            <v>Female</v>
          </cell>
          <cell r="F1664">
            <v>12</v>
          </cell>
          <cell r="G1664">
            <v>34.6</v>
          </cell>
          <cell r="H1664">
            <v>12.2</v>
          </cell>
          <cell r="I1664">
            <v>50.3</v>
          </cell>
          <cell r="J1664">
            <v>1</v>
          </cell>
          <cell r="K1664" t="str">
            <v>23.400000000000002</v>
          </cell>
          <cell r="L1664">
            <v>43.85</v>
          </cell>
          <cell r="M1664">
            <v>14</v>
          </cell>
          <cell r="N1664">
            <v>23.04</v>
          </cell>
          <cell r="O1664">
            <v>15.8</v>
          </cell>
          <cell r="P1664">
            <v>11.2</v>
          </cell>
          <cell r="S1664">
            <v>32.200000000000003</v>
          </cell>
          <cell r="T1664">
            <v>26.7</v>
          </cell>
          <cell r="U1664">
            <v>3</v>
          </cell>
        </row>
        <row r="1665">
          <cell r="B1665" t="str">
            <v>Other</v>
          </cell>
          <cell r="F1665">
            <v>16</v>
          </cell>
          <cell r="G1665">
            <v>29.8</v>
          </cell>
          <cell r="H1665">
            <v>8.6999999999999993</v>
          </cell>
          <cell r="I1665">
            <v>55.7</v>
          </cell>
          <cell r="J1665">
            <v>5</v>
          </cell>
          <cell r="K1665">
            <v>11</v>
          </cell>
          <cell r="L1665">
            <v>163.34</v>
          </cell>
          <cell r="M1665">
            <v>25</v>
          </cell>
          <cell r="N1665">
            <v>69.900000000000006</v>
          </cell>
          <cell r="P1665">
            <v>29.6</v>
          </cell>
          <cell r="S1665">
            <v>37.6</v>
          </cell>
          <cell r="T1665">
            <v>23.7</v>
          </cell>
          <cell r="U1665">
            <v>4</v>
          </cell>
        </row>
        <row r="1666">
          <cell r="B1666" t="str">
            <v>Female</v>
          </cell>
          <cell r="F1666">
            <v>19</v>
          </cell>
          <cell r="G1666">
            <v>33.6</v>
          </cell>
          <cell r="H1666">
            <v>13.6</v>
          </cell>
          <cell r="I1666">
            <v>69.8</v>
          </cell>
          <cell r="K1666">
            <v>18.2</v>
          </cell>
          <cell r="L1666">
            <v>56.43</v>
          </cell>
          <cell r="M1666">
            <v>16</v>
          </cell>
          <cell r="N1666" t="str">
            <v>39.35999999999999</v>
          </cell>
          <cell r="O1666">
            <v>10.8</v>
          </cell>
          <cell r="P1666">
            <v>39</v>
          </cell>
          <cell r="S1666">
            <v>54.6</v>
          </cell>
          <cell r="T1666">
            <v>26.5</v>
          </cell>
          <cell r="U1666">
            <v>3</v>
          </cell>
        </row>
        <row r="1667">
          <cell r="B1667" t="str">
            <v>Male</v>
          </cell>
          <cell r="F1667">
            <v>13</v>
          </cell>
          <cell r="G1667">
            <v>27.9</v>
          </cell>
          <cell r="H1667">
            <v>4.9000000000000004</v>
          </cell>
          <cell r="I1667">
            <v>72.099999999999994</v>
          </cell>
          <cell r="J1667">
            <v>1</v>
          </cell>
          <cell r="K1667">
            <v>12</v>
          </cell>
          <cell r="L1667">
            <v>124.25</v>
          </cell>
          <cell r="M1667">
            <v>24</v>
          </cell>
          <cell r="N1667">
            <v>21.7</v>
          </cell>
          <cell r="O1667">
            <v>7.2</v>
          </cell>
          <cell r="P1667">
            <v>20.7</v>
          </cell>
          <cell r="S1667">
            <v>29.8</v>
          </cell>
          <cell r="T1667">
            <v>21.2</v>
          </cell>
          <cell r="U1667">
            <v>1</v>
          </cell>
        </row>
        <row r="1668">
          <cell r="B1668" t="str">
            <v>Female</v>
          </cell>
          <cell r="F1668">
            <v>31</v>
          </cell>
          <cell r="G1668">
            <v>44.8</v>
          </cell>
          <cell r="H1668">
            <v>14.5</v>
          </cell>
          <cell r="I1668">
            <v>42.1</v>
          </cell>
          <cell r="J1668">
            <v>10</v>
          </cell>
          <cell r="K1668">
            <v>19</v>
          </cell>
          <cell r="L1668">
            <v>156.43</v>
          </cell>
          <cell r="M1668">
            <v>17</v>
          </cell>
          <cell r="N1668">
            <v>15.1</v>
          </cell>
          <cell r="O1668">
            <v>15.7</v>
          </cell>
          <cell r="P1668">
            <v>35.200000000000003</v>
          </cell>
          <cell r="S1668">
            <v>59.2</v>
          </cell>
          <cell r="U1668">
            <v>1</v>
          </cell>
        </row>
        <row r="1669">
          <cell r="B1669" t="str">
            <v>Female</v>
          </cell>
          <cell r="F1669">
            <v>16</v>
          </cell>
          <cell r="G1669">
            <v>28.3</v>
          </cell>
          <cell r="H1669">
            <v>8.3000000000000007</v>
          </cell>
          <cell r="I1669">
            <v>39.5</v>
          </cell>
          <cell r="J1669">
            <v>4</v>
          </cell>
          <cell r="K1669" t="str">
            <v>16.900000000000002</v>
          </cell>
          <cell r="L1669">
            <v>94.99</v>
          </cell>
          <cell r="M1669">
            <v>11</v>
          </cell>
          <cell r="N1669" t="str">
            <v>52.559999999999995</v>
          </cell>
          <cell r="O1669">
            <v>15.5</v>
          </cell>
          <cell r="P1669">
            <v>26.5</v>
          </cell>
          <cell r="S1669">
            <v>41</v>
          </cell>
          <cell r="T1669">
            <v>32.9</v>
          </cell>
          <cell r="U1669">
            <v>2</v>
          </cell>
        </row>
        <row r="1670">
          <cell r="B1670" t="str">
            <v>Male</v>
          </cell>
          <cell r="F1670">
            <v>18</v>
          </cell>
          <cell r="G1670">
            <v>38.4</v>
          </cell>
          <cell r="H1670">
            <v>11.2</v>
          </cell>
          <cell r="I1670">
            <v>31.3</v>
          </cell>
          <cell r="J1670">
            <v>4</v>
          </cell>
          <cell r="K1670">
            <v>17</v>
          </cell>
          <cell r="L1670">
            <v>188.88</v>
          </cell>
          <cell r="M1670">
            <v>15</v>
          </cell>
          <cell r="N1670">
            <v>31.4</v>
          </cell>
          <cell r="O1670">
            <v>7</v>
          </cell>
          <cell r="P1670">
            <v>26.5</v>
          </cell>
          <cell r="S1670">
            <v>53.9</v>
          </cell>
          <cell r="T1670">
            <v>28.7</v>
          </cell>
          <cell r="U1670">
            <v>2</v>
          </cell>
        </row>
        <row r="1671">
          <cell r="B1671" t="str">
            <v>Male</v>
          </cell>
          <cell r="F1671">
            <v>7</v>
          </cell>
          <cell r="G1671">
            <v>18.3</v>
          </cell>
          <cell r="H1671">
            <v>8</v>
          </cell>
          <cell r="I1671">
            <v>77.5</v>
          </cell>
          <cell r="J1671">
            <v>2</v>
          </cell>
          <cell r="K1671">
            <v>7</v>
          </cell>
          <cell r="L1671">
            <v>88.61</v>
          </cell>
          <cell r="N1671">
            <v>13.6</v>
          </cell>
          <cell r="O1671">
            <v>1.5</v>
          </cell>
          <cell r="P1671">
            <v>14.2</v>
          </cell>
          <cell r="S1671">
            <v>36.6</v>
          </cell>
          <cell r="T1671">
            <v>10.9</v>
          </cell>
          <cell r="U1671">
            <v>1</v>
          </cell>
        </row>
        <row r="1672">
          <cell r="B1672" t="str">
            <v>Male</v>
          </cell>
          <cell r="F1672">
            <v>20</v>
          </cell>
          <cell r="G1672">
            <v>44.6</v>
          </cell>
          <cell r="H1672">
            <v>12.2</v>
          </cell>
          <cell r="I1672">
            <v>38.299999999999997</v>
          </cell>
          <cell r="J1672">
            <v>6</v>
          </cell>
          <cell r="K1672">
            <v>17</v>
          </cell>
          <cell r="L1672">
            <v>129.19</v>
          </cell>
          <cell r="M1672">
            <v>11</v>
          </cell>
          <cell r="N1672">
            <v>64.099999999999994</v>
          </cell>
          <cell r="O1672">
            <v>15.1</v>
          </cell>
          <cell r="P1672">
            <v>46.6</v>
          </cell>
          <cell r="S1672">
            <v>47.3</v>
          </cell>
          <cell r="T1672">
            <v>31.1</v>
          </cell>
          <cell r="U1672">
            <v>2</v>
          </cell>
        </row>
        <row r="1673">
          <cell r="B1673" t="str">
            <v>Male</v>
          </cell>
          <cell r="F1673">
            <v>6</v>
          </cell>
          <cell r="G1673">
            <v>17.2</v>
          </cell>
          <cell r="I1673">
            <v>60.7</v>
          </cell>
          <cell r="K1673">
            <v>10</v>
          </cell>
          <cell r="L1673">
            <v>68.64</v>
          </cell>
          <cell r="M1673">
            <v>77</v>
          </cell>
          <cell r="N1673">
            <v>68</v>
          </cell>
          <cell r="O1673">
            <v>12.7</v>
          </cell>
          <cell r="P1673">
            <v>13.1</v>
          </cell>
          <cell r="S1673">
            <v>13.6</v>
          </cell>
          <cell r="U1673">
            <v>5</v>
          </cell>
        </row>
        <row r="1674">
          <cell r="B1674" t="str">
            <v>Male</v>
          </cell>
          <cell r="F1674">
            <v>21</v>
          </cell>
          <cell r="G1674">
            <v>34.1</v>
          </cell>
          <cell r="H1674">
            <v>14.8</v>
          </cell>
          <cell r="I1674" t="str">
            <v>130.50459145523863</v>
          </cell>
          <cell r="J1674">
            <v>12</v>
          </cell>
          <cell r="K1674">
            <v>20</v>
          </cell>
          <cell r="L1674">
            <v>127.77</v>
          </cell>
          <cell r="M1674">
            <v>22</v>
          </cell>
          <cell r="O1674">
            <v>5.6</v>
          </cell>
          <cell r="P1674">
            <v>55.2</v>
          </cell>
          <cell r="S1674">
            <v>55.5</v>
          </cell>
          <cell r="T1674">
            <v>29.3</v>
          </cell>
          <cell r="U1674">
            <v>3</v>
          </cell>
        </row>
        <row r="1675">
          <cell r="B1675" t="str">
            <v>Male</v>
          </cell>
          <cell r="F1675">
            <v>32</v>
          </cell>
          <cell r="G1675">
            <v>42.9</v>
          </cell>
          <cell r="H1675">
            <v>11.1</v>
          </cell>
          <cell r="I1675">
            <v>33.1</v>
          </cell>
          <cell r="J1675">
            <v>9</v>
          </cell>
          <cell r="K1675">
            <v>16</v>
          </cell>
          <cell r="L1675">
            <v>160.86000000000001</v>
          </cell>
          <cell r="N1675">
            <v>51.2</v>
          </cell>
          <cell r="O1675">
            <v>3.3</v>
          </cell>
          <cell r="P1675">
            <v>42.8</v>
          </cell>
          <cell r="S1675">
            <v>28.7</v>
          </cell>
          <cell r="T1675">
            <v>30.8</v>
          </cell>
          <cell r="U1675">
            <v>3</v>
          </cell>
        </row>
        <row r="1676">
          <cell r="B1676" t="str">
            <v>Male</v>
          </cell>
          <cell r="F1676">
            <v>11</v>
          </cell>
          <cell r="G1676">
            <v>36.6</v>
          </cell>
          <cell r="H1676">
            <v>9.4</v>
          </cell>
          <cell r="I1676">
            <v>19.2</v>
          </cell>
          <cell r="K1676">
            <v>19.5</v>
          </cell>
          <cell r="L1676">
            <v>159.06</v>
          </cell>
          <cell r="M1676">
            <v>103</v>
          </cell>
          <cell r="N1676" t="str">
            <v>102.11999999999999</v>
          </cell>
          <cell r="O1676">
            <v>5.2</v>
          </cell>
          <cell r="P1676">
            <v>21.3</v>
          </cell>
          <cell r="T1676">
            <v>25.6</v>
          </cell>
          <cell r="U1676">
            <v>3</v>
          </cell>
        </row>
        <row r="1677">
          <cell r="B1677" t="str">
            <v>Female</v>
          </cell>
          <cell r="F1677">
            <v>1</v>
          </cell>
          <cell r="G1677">
            <v>19.600000000000001</v>
          </cell>
          <cell r="H1677">
            <v>2.8</v>
          </cell>
          <cell r="I1677">
            <v>58.5</v>
          </cell>
          <cell r="J1677">
            <v>5</v>
          </cell>
          <cell r="K1677">
            <v>6.5</v>
          </cell>
          <cell r="L1677">
            <v>155.34</v>
          </cell>
          <cell r="M1677">
            <v>46</v>
          </cell>
          <cell r="N1677" t="str">
            <v>59.75999999999999</v>
          </cell>
          <cell r="P1677">
            <v>8</v>
          </cell>
          <cell r="S1677">
            <v>7.8</v>
          </cell>
          <cell r="T1677">
            <v>9.9</v>
          </cell>
          <cell r="U1677">
            <v>2</v>
          </cell>
        </row>
        <row r="1678">
          <cell r="B1678" t="str">
            <v>Male</v>
          </cell>
          <cell r="F1678">
            <v>0</v>
          </cell>
          <cell r="H1678">
            <v>1.6</v>
          </cell>
          <cell r="I1678">
            <v>75.5</v>
          </cell>
          <cell r="J1678">
            <v>2</v>
          </cell>
          <cell r="K1678">
            <v>5.2</v>
          </cell>
          <cell r="L1678">
            <v>188.01</v>
          </cell>
          <cell r="M1678">
            <v>11</v>
          </cell>
          <cell r="N1678">
            <v>54.6</v>
          </cell>
          <cell r="S1678">
            <v>0</v>
          </cell>
          <cell r="T1678">
            <v>2.2000000000000002</v>
          </cell>
          <cell r="U1678">
            <v>1</v>
          </cell>
        </row>
        <row r="1679">
          <cell r="B1679" t="str">
            <v>Male</v>
          </cell>
          <cell r="F1679">
            <v>7</v>
          </cell>
          <cell r="G1679">
            <v>30</v>
          </cell>
          <cell r="I1679">
            <v>63</v>
          </cell>
          <cell r="J1679">
            <v>7</v>
          </cell>
          <cell r="K1679">
            <v>11</v>
          </cell>
          <cell r="L1679">
            <v>89.93</v>
          </cell>
          <cell r="M1679">
            <v>13</v>
          </cell>
          <cell r="N1679">
            <v>52.3</v>
          </cell>
          <cell r="O1679">
            <v>23.3</v>
          </cell>
          <cell r="P1679">
            <v>16.3</v>
          </cell>
          <cell r="S1679">
            <v>50.9</v>
          </cell>
          <cell r="T1679">
            <v>18.5</v>
          </cell>
        </row>
        <row r="1680">
          <cell r="B1680" t="str">
            <v>Male</v>
          </cell>
          <cell r="F1680">
            <v>13</v>
          </cell>
          <cell r="G1680">
            <v>38.9</v>
          </cell>
          <cell r="H1680">
            <v>14.7</v>
          </cell>
          <cell r="I1680">
            <v>38.799999999999997</v>
          </cell>
          <cell r="J1680">
            <v>6</v>
          </cell>
          <cell r="K1680">
            <v>14</v>
          </cell>
          <cell r="L1680">
            <v>137.59</v>
          </cell>
          <cell r="M1680">
            <v>0</v>
          </cell>
          <cell r="N1680">
            <v>39.9</v>
          </cell>
          <cell r="O1680">
            <v>6.2</v>
          </cell>
          <cell r="P1680">
            <v>30.9</v>
          </cell>
          <cell r="S1680">
            <v>24.6</v>
          </cell>
          <cell r="T1680">
            <v>27.6</v>
          </cell>
          <cell r="U1680">
            <v>3</v>
          </cell>
        </row>
        <row r="1681">
          <cell r="B1681" t="str">
            <v>Female</v>
          </cell>
          <cell r="F1681">
            <v>0</v>
          </cell>
          <cell r="G1681">
            <v>21.5</v>
          </cell>
          <cell r="H1681">
            <v>4</v>
          </cell>
          <cell r="I1681">
            <v>73.3</v>
          </cell>
          <cell r="J1681">
            <v>1</v>
          </cell>
          <cell r="K1681">
            <v>4</v>
          </cell>
          <cell r="L1681">
            <v>133.44999999999999</v>
          </cell>
          <cell r="M1681">
            <v>3</v>
          </cell>
          <cell r="N1681">
            <v>68.3</v>
          </cell>
          <cell r="O1681">
            <v>2.1</v>
          </cell>
          <cell r="P1681">
            <v>6.4</v>
          </cell>
          <cell r="T1681">
            <v>8.4</v>
          </cell>
          <cell r="U1681">
            <v>3</v>
          </cell>
        </row>
        <row r="1682">
          <cell r="B1682" t="str">
            <v>Male</v>
          </cell>
          <cell r="F1682">
            <v>0</v>
          </cell>
          <cell r="H1682">
            <v>10.5</v>
          </cell>
          <cell r="I1682">
            <v>88.7</v>
          </cell>
          <cell r="J1682">
            <v>2</v>
          </cell>
          <cell r="K1682">
            <v>5</v>
          </cell>
          <cell r="L1682">
            <v>90.93</v>
          </cell>
          <cell r="M1682">
            <v>47</v>
          </cell>
          <cell r="N1682">
            <v>38.1</v>
          </cell>
          <cell r="P1682">
            <v>18.8</v>
          </cell>
          <cell r="S1682">
            <v>0</v>
          </cell>
          <cell r="T1682">
            <v>18.899999999999999</v>
          </cell>
          <cell r="U1682">
            <v>4</v>
          </cell>
        </row>
        <row r="1683">
          <cell r="B1683" t="str">
            <v>Female</v>
          </cell>
          <cell r="F1683">
            <v>13</v>
          </cell>
          <cell r="G1683">
            <v>28.9</v>
          </cell>
          <cell r="H1683">
            <v>9.1</v>
          </cell>
          <cell r="I1683">
            <v>53</v>
          </cell>
          <cell r="J1683">
            <v>6</v>
          </cell>
          <cell r="K1683">
            <v>19</v>
          </cell>
          <cell r="L1683">
            <v>105.8</v>
          </cell>
          <cell r="M1683">
            <v>2</v>
          </cell>
          <cell r="N1683">
            <v>10.1</v>
          </cell>
          <cell r="O1683">
            <v>7.2</v>
          </cell>
          <cell r="P1683">
            <v>13.8</v>
          </cell>
          <cell r="T1683">
            <v>11.6</v>
          </cell>
          <cell r="U1683">
            <v>2</v>
          </cell>
        </row>
        <row r="1684">
          <cell r="B1684" t="str">
            <v>Female</v>
          </cell>
          <cell r="F1684">
            <v>22</v>
          </cell>
          <cell r="G1684">
            <v>28</v>
          </cell>
          <cell r="H1684">
            <v>10.9</v>
          </cell>
          <cell r="I1684">
            <v>39</v>
          </cell>
          <cell r="J1684">
            <v>6</v>
          </cell>
          <cell r="K1684">
            <v>20.8</v>
          </cell>
          <cell r="L1684">
            <v>201.33</v>
          </cell>
          <cell r="M1684">
            <v>15</v>
          </cell>
          <cell r="N1684" t="str">
            <v>14.399999999999999</v>
          </cell>
          <cell r="O1684">
            <v>8.8000000000000007</v>
          </cell>
          <cell r="P1684">
            <v>23.5</v>
          </cell>
          <cell r="S1684">
            <v>51.2</v>
          </cell>
          <cell r="T1684">
            <v>31.2</v>
          </cell>
          <cell r="U1684">
            <v>5</v>
          </cell>
        </row>
        <row r="1685">
          <cell r="B1685" t="str">
            <v>Female</v>
          </cell>
          <cell r="F1685">
            <v>26</v>
          </cell>
          <cell r="G1685">
            <v>30.8</v>
          </cell>
          <cell r="H1685">
            <v>15.9</v>
          </cell>
          <cell r="I1685">
            <v>41.4</v>
          </cell>
          <cell r="J1685">
            <v>6</v>
          </cell>
          <cell r="K1685">
            <v>27</v>
          </cell>
          <cell r="L1685">
            <v>39</v>
          </cell>
          <cell r="M1685">
            <v>98</v>
          </cell>
          <cell r="N1685">
            <v>24.9</v>
          </cell>
          <cell r="O1685">
            <v>1.1000000000000001</v>
          </cell>
          <cell r="P1685">
            <v>36.9</v>
          </cell>
          <cell r="S1685">
            <v>83.9</v>
          </cell>
          <cell r="T1685">
            <v>36.4</v>
          </cell>
          <cell r="U1685">
            <v>2</v>
          </cell>
        </row>
        <row r="1686">
          <cell r="B1686" t="str">
            <v>Female</v>
          </cell>
          <cell r="F1686">
            <v>26</v>
          </cell>
          <cell r="G1686">
            <v>37.6</v>
          </cell>
          <cell r="H1686">
            <v>11.4</v>
          </cell>
          <cell r="I1686">
            <v>46.1</v>
          </cell>
          <cell r="J1686">
            <v>11</v>
          </cell>
          <cell r="K1686">
            <v>23</v>
          </cell>
          <cell r="L1686">
            <v>38.770000000000003</v>
          </cell>
          <cell r="M1686">
            <v>23</v>
          </cell>
          <cell r="N1686">
            <v>23.9</v>
          </cell>
          <cell r="O1686">
            <v>4.3</v>
          </cell>
          <cell r="P1686">
            <v>27.2</v>
          </cell>
          <cell r="S1686">
            <v>33.299999999999997</v>
          </cell>
          <cell r="T1686">
            <v>25.3</v>
          </cell>
          <cell r="U1686">
            <v>1</v>
          </cell>
        </row>
        <row r="1687">
          <cell r="B1687" t="str">
            <v>Female</v>
          </cell>
          <cell r="F1687">
            <v>0</v>
          </cell>
          <cell r="H1687">
            <v>8.4</v>
          </cell>
          <cell r="I1687">
            <v>81.099999999999994</v>
          </cell>
          <cell r="J1687">
            <v>0</v>
          </cell>
          <cell r="K1687">
            <v>5</v>
          </cell>
          <cell r="L1687">
            <v>109.91</v>
          </cell>
          <cell r="M1687">
            <v>39</v>
          </cell>
          <cell r="N1687">
            <v>32.799999999999997</v>
          </cell>
          <cell r="P1687">
            <v>0.9</v>
          </cell>
          <cell r="S1687">
            <v>21.9</v>
          </cell>
          <cell r="T1687">
            <v>2.1</v>
          </cell>
          <cell r="U1687">
            <v>2</v>
          </cell>
        </row>
        <row r="1688">
          <cell r="B1688" t="str">
            <v>Female</v>
          </cell>
          <cell r="F1688">
            <v>17</v>
          </cell>
          <cell r="G1688">
            <v>43</v>
          </cell>
          <cell r="H1688">
            <v>14.3</v>
          </cell>
          <cell r="I1688">
            <v>11.9</v>
          </cell>
          <cell r="J1688">
            <v>12</v>
          </cell>
          <cell r="K1688">
            <v>20</v>
          </cell>
          <cell r="L1688">
            <v>105.49</v>
          </cell>
          <cell r="M1688">
            <v>156</v>
          </cell>
          <cell r="N1688">
            <v>15</v>
          </cell>
          <cell r="O1688">
            <v>3.4</v>
          </cell>
          <cell r="P1688">
            <v>43.1</v>
          </cell>
          <cell r="S1688">
            <v>43.3</v>
          </cell>
          <cell r="T1688">
            <v>34.5</v>
          </cell>
          <cell r="U1688">
            <v>1</v>
          </cell>
        </row>
        <row r="1689">
          <cell r="B1689" t="str">
            <v>Female</v>
          </cell>
          <cell r="F1689">
            <v>15</v>
          </cell>
          <cell r="G1689">
            <v>21.9</v>
          </cell>
          <cell r="H1689">
            <v>7.2</v>
          </cell>
          <cell r="I1689">
            <v>62.9</v>
          </cell>
          <cell r="J1689">
            <v>5</v>
          </cell>
          <cell r="K1689">
            <v>20.8</v>
          </cell>
          <cell r="L1689">
            <v>90.62</v>
          </cell>
          <cell r="M1689">
            <v>5</v>
          </cell>
          <cell r="N1689">
            <v>31.92</v>
          </cell>
          <cell r="O1689">
            <v>5.8</v>
          </cell>
          <cell r="P1689">
            <v>18.7</v>
          </cell>
          <cell r="S1689">
            <v>49.4</v>
          </cell>
          <cell r="T1689">
            <v>26.5</v>
          </cell>
          <cell r="U1689">
            <v>3</v>
          </cell>
        </row>
        <row r="1690">
          <cell r="B1690" t="str">
            <v>Male</v>
          </cell>
          <cell r="F1690">
            <v>13</v>
          </cell>
          <cell r="G1690">
            <v>32.9</v>
          </cell>
          <cell r="H1690">
            <v>7.5</v>
          </cell>
          <cell r="I1690">
            <v>43.7</v>
          </cell>
          <cell r="J1690">
            <v>4</v>
          </cell>
          <cell r="K1690" t="str">
            <v>15.600000000000001</v>
          </cell>
          <cell r="L1690">
            <v>155.72</v>
          </cell>
          <cell r="M1690">
            <v>52</v>
          </cell>
          <cell r="N1690">
            <v>22.32</v>
          </cell>
          <cell r="P1690">
            <v>21.4</v>
          </cell>
          <cell r="S1690">
            <v>10.7</v>
          </cell>
          <cell r="T1690">
            <v>21.2</v>
          </cell>
          <cell r="U1690">
            <v>1</v>
          </cell>
        </row>
        <row r="1691">
          <cell r="B1691" t="str">
            <v>Female</v>
          </cell>
          <cell r="F1691">
            <v>0</v>
          </cell>
          <cell r="G1691">
            <v>6.5</v>
          </cell>
          <cell r="H1691">
            <v>3.1</v>
          </cell>
          <cell r="I1691">
            <v>63.7</v>
          </cell>
          <cell r="J1691">
            <v>1</v>
          </cell>
          <cell r="K1691">
            <v>12</v>
          </cell>
          <cell r="L1691">
            <v>113.86</v>
          </cell>
          <cell r="M1691">
            <v>19</v>
          </cell>
          <cell r="N1691">
            <v>29.3</v>
          </cell>
          <cell r="O1691">
            <v>6.5</v>
          </cell>
          <cell r="P1691">
            <v>18.5</v>
          </cell>
          <cell r="T1691">
            <v>6.6</v>
          </cell>
        </row>
        <row r="1692">
          <cell r="B1692" t="str">
            <v>Female</v>
          </cell>
          <cell r="F1692">
            <v>4</v>
          </cell>
          <cell r="G1692">
            <v>23.1</v>
          </cell>
          <cell r="I1692">
            <v>74.7</v>
          </cell>
          <cell r="J1692">
            <v>2</v>
          </cell>
          <cell r="K1692">
            <v>7</v>
          </cell>
          <cell r="L1692">
            <v>130.30000000000001</v>
          </cell>
          <cell r="M1692">
            <v>7</v>
          </cell>
          <cell r="N1692">
            <v>61.1</v>
          </cell>
          <cell r="O1692">
            <v>5.4</v>
          </cell>
          <cell r="P1692">
            <v>22</v>
          </cell>
          <cell r="S1692">
            <v>8</v>
          </cell>
          <cell r="T1692">
            <v>10.8</v>
          </cell>
          <cell r="U1692">
            <v>3</v>
          </cell>
        </row>
        <row r="1693">
          <cell r="B1693" t="str">
            <v>Male</v>
          </cell>
          <cell r="F1693">
            <v>11</v>
          </cell>
          <cell r="G1693">
            <v>18.100000000000001</v>
          </cell>
          <cell r="H1693">
            <v>5.3</v>
          </cell>
          <cell r="I1693">
            <v>46.3</v>
          </cell>
          <cell r="J1693">
            <v>3</v>
          </cell>
          <cell r="K1693">
            <v>5</v>
          </cell>
          <cell r="L1693">
            <v>104.37</v>
          </cell>
          <cell r="M1693">
            <v>7</v>
          </cell>
          <cell r="N1693">
            <v>12.1</v>
          </cell>
          <cell r="O1693">
            <v>3.1</v>
          </cell>
          <cell r="P1693">
            <v>14</v>
          </cell>
          <cell r="S1693">
            <v>20.6</v>
          </cell>
          <cell r="U1693">
            <v>2</v>
          </cell>
        </row>
        <row r="1694">
          <cell r="B1694" t="str">
            <v>Male</v>
          </cell>
          <cell r="F1694">
            <v>12</v>
          </cell>
          <cell r="G1694">
            <v>13.1</v>
          </cell>
          <cell r="H1694">
            <v>5.4</v>
          </cell>
          <cell r="I1694">
            <v>68.900000000000006</v>
          </cell>
          <cell r="J1694">
            <v>4</v>
          </cell>
          <cell r="K1694">
            <v>10</v>
          </cell>
          <cell r="L1694">
            <v>114.01</v>
          </cell>
          <cell r="M1694">
            <v>9</v>
          </cell>
          <cell r="N1694">
            <v>37.799999999999997</v>
          </cell>
          <cell r="O1694">
            <v>11.4</v>
          </cell>
          <cell r="P1694">
            <v>19.5</v>
          </cell>
          <cell r="S1694">
            <v>7</v>
          </cell>
          <cell r="T1694">
            <v>14.1</v>
          </cell>
          <cell r="U1694">
            <v>2</v>
          </cell>
        </row>
        <row r="1695">
          <cell r="B1695" t="str">
            <v>Female</v>
          </cell>
          <cell r="F1695">
            <v>7</v>
          </cell>
          <cell r="G1695">
            <v>27.5</v>
          </cell>
          <cell r="H1695">
            <v>10.4</v>
          </cell>
          <cell r="I1695">
            <v>60.7</v>
          </cell>
          <cell r="J1695">
            <v>5</v>
          </cell>
          <cell r="K1695">
            <v>12</v>
          </cell>
          <cell r="L1695">
            <v>92.26</v>
          </cell>
          <cell r="M1695">
            <v>4</v>
          </cell>
          <cell r="N1695">
            <v>21</v>
          </cell>
          <cell r="O1695">
            <v>14.4</v>
          </cell>
          <cell r="P1695">
            <v>28</v>
          </cell>
          <cell r="S1695">
            <v>55.5</v>
          </cell>
          <cell r="T1695">
            <v>30.7</v>
          </cell>
          <cell r="U1695">
            <v>2</v>
          </cell>
        </row>
        <row r="1696">
          <cell r="B1696" t="str">
            <v>Female</v>
          </cell>
          <cell r="F1696">
            <v>12</v>
          </cell>
          <cell r="G1696">
            <v>36</v>
          </cell>
          <cell r="H1696">
            <v>12.9</v>
          </cell>
          <cell r="I1696">
            <v>43.8</v>
          </cell>
          <cell r="J1696">
            <v>9</v>
          </cell>
          <cell r="K1696">
            <v>19</v>
          </cell>
          <cell r="L1696">
            <v>90.96</v>
          </cell>
          <cell r="M1696">
            <v>24</v>
          </cell>
          <cell r="N1696">
            <v>68.5</v>
          </cell>
          <cell r="O1696">
            <v>2.1</v>
          </cell>
          <cell r="P1696">
            <v>32.4</v>
          </cell>
          <cell r="S1696">
            <v>21</v>
          </cell>
          <cell r="T1696">
            <v>31.3</v>
          </cell>
          <cell r="U1696">
            <v>4</v>
          </cell>
        </row>
        <row r="1697">
          <cell r="B1697" t="str">
            <v>Male</v>
          </cell>
          <cell r="F1697">
            <v>23</v>
          </cell>
          <cell r="G1697">
            <v>42.9</v>
          </cell>
          <cell r="H1697">
            <v>13.5</v>
          </cell>
          <cell r="I1697">
            <v>48.3</v>
          </cell>
          <cell r="J1697">
            <v>10</v>
          </cell>
          <cell r="K1697">
            <v>16</v>
          </cell>
          <cell r="L1697">
            <v>76.180000000000007</v>
          </cell>
          <cell r="M1697">
            <v>14</v>
          </cell>
          <cell r="O1697">
            <v>1.5</v>
          </cell>
          <cell r="P1697">
            <v>31.7</v>
          </cell>
          <cell r="S1697">
            <v>48.2</v>
          </cell>
          <cell r="T1697">
            <v>23.1</v>
          </cell>
          <cell r="U1697">
            <v>5</v>
          </cell>
        </row>
        <row r="1698">
          <cell r="B1698" t="str">
            <v>Female</v>
          </cell>
          <cell r="F1698">
            <v>15</v>
          </cell>
          <cell r="G1698">
            <v>22.2</v>
          </cell>
          <cell r="H1698">
            <v>7.6</v>
          </cell>
          <cell r="I1698">
            <v>47.9</v>
          </cell>
          <cell r="J1698">
            <v>4</v>
          </cell>
          <cell r="K1698">
            <v>14.3</v>
          </cell>
          <cell r="L1698">
            <v>113.35</v>
          </cell>
          <cell r="M1698">
            <v>18</v>
          </cell>
          <cell r="N1698" t="str">
            <v>70.67999999999999</v>
          </cell>
          <cell r="O1698">
            <v>7</v>
          </cell>
          <cell r="P1698">
            <v>29.6</v>
          </cell>
          <cell r="S1698">
            <v>12.5</v>
          </cell>
          <cell r="T1698">
            <v>16.5</v>
          </cell>
        </row>
        <row r="1699">
          <cell r="B1699" t="str">
            <v>Female</v>
          </cell>
          <cell r="F1699">
            <v>1</v>
          </cell>
          <cell r="G1699">
            <v>23.2</v>
          </cell>
          <cell r="H1699">
            <v>5.3</v>
          </cell>
          <cell r="I1699">
            <v>55.6</v>
          </cell>
          <cell r="J1699">
            <v>4</v>
          </cell>
          <cell r="K1699">
            <v>19.5</v>
          </cell>
          <cell r="L1699">
            <v>137.30000000000001</v>
          </cell>
          <cell r="M1699">
            <v>35</v>
          </cell>
          <cell r="N1699">
            <v>71.28</v>
          </cell>
          <cell r="O1699">
            <v>0.4</v>
          </cell>
          <cell r="P1699">
            <v>12.7</v>
          </cell>
          <cell r="S1699">
            <v>26</v>
          </cell>
          <cell r="T1699">
            <v>22.6</v>
          </cell>
          <cell r="U1699">
            <v>1</v>
          </cell>
        </row>
        <row r="1700">
          <cell r="B1700" t="str">
            <v>Male</v>
          </cell>
          <cell r="F1700">
            <v>8</v>
          </cell>
          <cell r="G1700">
            <v>26.7</v>
          </cell>
          <cell r="H1700">
            <v>7.9</v>
          </cell>
          <cell r="I1700">
            <v>59.7</v>
          </cell>
          <cell r="J1700">
            <v>8</v>
          </cell>
          <cell r="K1700">
            <v>17</v>
          </cell>
          <cell r="L1700">
            <v>139.34</v>
          </cell>
          <cell r="N1700">
            <v>28</v>
          </cell>
          <cell r="O1700">
            <v>11.7</v>
          </cell>
          <cell r="P1700">
            <v>5.3</v>
          </cell>
          <cell r="S1700">
            <v>24.7</v>
          </cell>
          <cell r="T1700">
            <v>24.1</v>
          </cell>
          <cell r="U1700">
            <v>3</v>
          </cell>
        </row>
        <row r="1701">
          <cell r="B1701" t="str">
            <v>Female</v>
          </cell>
          <cell r="F1701">
            <v>0</v>
          </cell>
          <cell r="G1701">
            <v>21.9</v>
          </cell>
          <cell r="H1701">
            <v>6.5</v>
          </cell>
          <cell r="I1701">
            <v>56.5</v>
          </cell>
          <cell r="J1701">
            <v>1</v>
          </cell>
          <cell r="K1701">
            <v>5.2</v>
          </cell>
          <cell r="L1701">
            <v>127.22</v>
          </cell>
          <cell r="M1701">
            <v>77</v>
          </cell>
          <cell r="N1701">
            <v>14.52</v>
          </cell>
          <cell r="O1701">
            <v>7.3</v>
          </cell>
          <cell r="P1701">
            <v>10.8</v>
          </cell>
          <cell r="T1701">
            <v>10.199999999999999</v>
          </cell>
          <cell r="U1701">
            <v>1</v>
          </cell>
        </row>
        <row r="1702">
          <cell r="B1702" t="str">
            <v>Male</v>
          </cell>
          <cell r="F1702">
            <v>16</v>
          </cell>
          <cell r="G1702">
            <v>18.899999999999999</v>
          </cell>
          <cell r="H1702">
            <v>9.9</v>
          </cell>
          <cell r="I1702">
            <v>58.3</v>
          </cell>
          <cell r="J1702">
            <v>5</v>
          </cell>
          <cell r="K1702">
            <v>20</v>
          </cell>
          <cell r="L1702">
            <v>213.89</v>
          </cell>
          <cell r="M1702">
            <v>11</v>
          </cell>
          <cell r="O1702">
            <v>7</v>
          </cell>
          <cell r="P1702">
            <v>15.3</v>
          </cell>
          <cell r="S1702">
            <v>32.799999999999997</v>
          </cell>
          <cell r="T1702">
            <v>10.9</v>
          </cell>
          <cell r="U1702">
            <v>4</v>
          </cell>
        </row>
        <row r="1703">
          <cell r="B1703" t="str">
            <v>Male</v>
          </cell>
          <cell r="F1703">
            <v>9</v>
          </cell>
          <cell r="G1703">
            <v>24.7</v>
          </cell>
          <cell r="H1703">
            <v>5.8</v>
          </cell>
          <cell r="I1703">
            <v>56.9</v>
          </cell>
          <cell r="J1703">
            <v>5</v>
          </cell>
          <cell r="K1703">
            <v>8</v>
          </cell>
          <cell r="L1703">
            <v>108.45</v>
          </cell>
          <cell r="M1703">
            <v>3</v>
          </cell>
          <cell r="N1703">
            <v>24.5</v>
          </cell>
          <cell r="O1703">
            <v>5.2</v>
          </cell>
          <cell r="P1703">
            <v>24.1</v>
          </cell>
          <cell r="S1703">
            <v>32.299999999999997</v>
          </cell>
          <cell r="T1703">
            <v>19.3</v>
          </cell>
          <cell r="U1703">
            <v>2</v>
          </cell>
        </row>
        <row r="1704">
          <cell r="B1704" t="str">
            <v>Male</v>
          </cell>
          <cell r="F1704">
            <v>0</v>
          </cell>
          <cell r="G1704">
            <v>24.9</v>
          </cell>
          <cell r="H1704">
            <v>4</v>
          </cell>
          <cell r="I1704">
            <v>79.7</v>
          </cell>
          <cell r="J1704">
            <v>3</v>
          </cell>
          <cell r="K1704">
            <v>3</v>
          </cell>
          <cell r="L1704">
            <v>163.92</v>
          </cell>
          <cell r="M1704">
            <v>3</v>
          </cell>
          <cell r="N1704">
            <v>17.5</v>
          </cell>
          <cell r="O1704">
            <v>3.7</v>
          </cell>
          <cell r="S1704">
            <v>26.6</v>
          </cell>
          <cell r="U1704">
            <v>2</v>
          </cell>
        </row>
        <row r="1705">
          <cell r="B1705" t="str">
            <v>Male</v>
          </cell>
          <cell r="F1705">
            <v>12</v>
          </cell>
          <cell r="G1705">
            <v>22.6</v>
          </cell>
          <cell r="H1705">
            <v>4.5</v>
          </cell>
          <cell r="I1705">
            <v>52.1</v>
          </cell>
          <cell r="J1705">
            <v>6</v>
          </cell>
          <cell r="K1705">
            <v>17</v>
          </cell>
          <cell r="L1705">
            <v>117.06</v>
          </cell>
          <cell r="M1705">
            <v>4</v>
          </cell>
          <cell r="N1705">
            <v>54.3</v>
          </cell>
          <cell r="O1705">
            <v>7.8</v>
          </cell>
          <cell r="P1705">
            <v>23.9</v>
          </cell>
          <cell r="S1705">
            <v>15.8</v>
          </cell>
          <cell r="T1705">
            <v>15.6</v>
          </cell>
          <cell r="U1705">
            <v>3</v>
          </cell>
        </row>
        <row r="1706">
          <cell r="B1706" t="str">
            <v>Male</v>
          </cell>
          <cell r="F1706">
            <v>31</v>
          </cell>
          <cell r="G1706">
            <v>45.3</v>
          </cell>
          <cell r="H1706">
            <v>16.5</v>
          </cell>
          <cell r="I1706">
            <v>42</v>
          </cell>
          <cell r="J1706">
            <v>7</v>
          </cell>
          <cell r="K1706">
            <v>24</v>
          </cell>
          <cell r="L1706">
            <v>230.99</v>
          </cell>
          <cell r="M1706">
            <v>6</v>
          </cell>
          <cell r="N1706">
            <v>44.2</v>
          </cell>
          <cell r="O1706">
            <v>5.9</v>
          </cell>
          <cell r="P1706">
            <v>38.700000000000003</v>
          </cell>
          <cell r="S1706">
            <v>58.1</v>
          </cell>
          <cell r="T1706">
            <v>40.700000000000003</v>
          </cell>
          <cell r="U1706">
            <v>3</v>
          </cell>
        </row>
        <row r="1707">
          <cell r="B1707" t="str">
            <v>Female</v>
          </cell>
          <cell r="F1707">
            <v>16</v>
          </cell>
          <cell r="H1707">
            <v>12.7</v>
          </cell>
          <cell r="I1707">
            <v>66.099999999999994</v>
          </cell>
          <cell r="J1707">
            <v>6</v>
          </cell>
          <cell r="K1707">
            <v>13</v>
          </cell>
          <cell r="L1707">
            <v>127.73</v>
          </cell>
          <cell r="M1707">
            <v>5</v>
          </cell>
          <cell r="N1707">
            <v>22.4</v>
          </cell>
          <cell r="O1707">
            <v>9.1</v>
          </cell>
          <cell r="P1707">
            <v>27.9</v>
          </cell>
          <cell r="S1707">
            <v>41.8</v>
          </cell>
          <cell r="T1707">
            <v>22.9</v>
          </cell>
          <cell r="U1707">
            <v>1</v>
          </cell>
        </row>
        <row r="1708">
          <cell r="B1708" t="str">
            <v>Female</v>
          </cell>
          <cell r="F1708">
            <v>6</v>
          </cell>
          <cell r="H1708">
            <v>9.4</v>
          </cell>
          <cell r="I1708">
            <v>73.400000000000006</v>
          </cell>
          <cell r="J1708">
            <v>2</v>
          </cell>
          <cell r="K1708">
            <v>8</v>
          </cell>
          <cell r="L1708">
            <v>177.39</v>
          </cell>
          <cell r="M1708">
            <v>37</v>
          </cell>
          <cell r="N1708">
            <v>41.4</v>
          </cell>
          <cell r="O1708">
            <v>4.3</v>
          </cell>
          <cell r="P1708">
            <v>9.9</v>
          </cell>
          <cell r="T1708">
            <v>19.8</v>
          </cell>
          <cell r="U1708">
            <v>1</v>
          </cell>
        </row>
        <row r="1709">
          <cell r="B1709" t="str">
            <v>Male</v>
          </cell>
          <cell r="F1709">
            <v>23</v>
          </cell>
          <cell r="G1709">
            <v>42.3</v>
          </cell>
          <cell r="I1709">
            <v>31.8</v>
          </cell>
          <cell r="J1709">
            <v>7</v>
          </cell>
          <cell r="K1709">
            <v>15</v>
          </cell>
          <cell r="L1709">
            <v>156.18</v>
          </cell>
          <cell r="M1709">
            <v>3</v>
          </cell>
          <cell r="N1709">
            <v>17.899999999999999</v>
          </cell>
          <cell r="P1709">
            <v>19.8</v>
          </cell>
          <cell r="T1709">
            <v>31</v>
          </cell>
          <cell r="U1709">
            <v>2</v>
          </cell>
        </row>
        <row r="1710">
          <cell r="B1710" t="str">
            <v>Male</v>
          </cell>
          <cell r="F1710">
            <v>20</v>
          </cell>
          <cell r="G1710">
            <v>29.3</v>
          </cell>
          <cell r="H1710">
            <v>8.6999999999999993</v>
          </cell>
          <cell r="I1710">
            <v>45.5</v>
          </cell>
          <cell r="J1710">
            <v>6</v>
          </cell>
          <cell r="K1710">
            <v>13</v>
          </cell>
          <cell r="L1710">
            <v>98.96</v>
          </cell>
          <cell r="M1710">
            <v>7</v>
          </cell>
          <cell r="N1710">
            <v>15</v>
          </cell>
          <cell r="O1710">
            <v>4.2</v>
          </cell>
          <cell r="P1710">
            <v>61.1</v>
          </cell>
          <cell r="S1710">
            <v>25</v>
          </cell>
          <cell r="T1710">
            <v>25.9</v>
          </cell>
          <cell r="U1710">
            <v>2</v>
          </cell>
        </row>
        <row r="1711">
          <cell r="B1711" t="str">
            <v>Female</v>
          </cell>
          <cell r="F1711">
            <v>11</v>
          </cell>
          <cell r="G1711">
            <v>33.9</v>
          </cell>
          <cell r="H1711">
            <v>8.9</v>
          </cell>
          <cell r="I1711">
            <v>51.5</v>
          </cell>
          <cell r="J1711">
            <v>7</v>
          </cell>
          <cell r="K1711">
            <v>11</v>
          </cell>
          <cell r="L1711">
            <v>68.05</v>
          </cell>
          <cell r="M1711">
            <v>1</v>
          </cell>
          <cell r="N1711">
            <v>31.8</v>
          </cell>
          <cell r="O1711">
            <v>8.5</v>
          </cell>
          <cell r="P1711">
            <v>18.3</v>
          </cell>
          <cell r="S1711">
            <v>17</v>
          </cell>
          <cell r="T1711">
            <v>24.5</v>
          </cell>
          <cell r="U1711">
            <v>4</v>
          </cell>
        </row>
        <row r="1712">
          <cell r="B1712" t="str">
            <v>Female</v>
          </cell>
          <cell r="F1712">
            <v>24</v>
          </cell>
          <cell r="G1712">
            <v>37.4</v>
          </cell>
          <cell r="I1712">
            <v>37.9</v>
          </cell>
          <cell r="J1712">
            <v>6</v>
          </cell>
          <cell r="K1712">
            <v>15</v>
          </cell>
          <cell r="L1712">
            <v>96.2</v>
          </cell>
          <cell r="M1712">
            <v>21</v>
          </cell>
          <cell r="N1712">
            <v>67.2</v>
          </cell>
          <cell r="O1712">
            <v>4.0999999999999996</v>
          </cell>
          <cell r="P1712">
            <v>20.5</v>
          </cell>
          <cell r="S1712">
            <v>50.9</v>
          </cell>
          <cell r="T1712">
            <v>26.1</v>
          </cell>
          <cell r="U1712">
            <v>2</v>
          </cell>
        </row>
        <row r="1713">
          <cell r="B1713" t="str">
            <v>Female</v>
          </cell>
          <cell r="F1713">
            <v>10</v>
          </cell>
          <cell r="G1713">
            <v>17.8</v>
          </cell>
          <cell r="H1713">
            <v>6.5</v>
          </cell>
          <cell r="I1713">
            <v>71.5</v>
          </cell>
          <cell r="J1713">
            <v>4</v>
          </cell>
          <cell r="K1713">
            <v>14.3</v>
          </cell>
          <cell r="L1713">
            <v>122.47</v>
          </cell>
          <cell r="M1713">
            <v>32</v>
          </cell>
          <cell r="O1713">
            <v>2.6</v>
          </cell>
          <cell r="P1713">
            <v>24.1</v>
          </cell>
          <cell r="T1713">
            <v>8.4</v>
          </cell>
          <cell r="U1713">
            <v>2</v>
          </cell>
        </row>
        <row r="1714">
          <cell r="B1714" t="str">
            <v>Male</v>
          </cell>
          <cell r="F1714">
            <v>17</v>
          </cell>
          <cell r="G1714">
            <v>29.6</v>
          </cell>
          <cell r="H1714">
            <v>13.7</v>
          </cell>
          <cell r="I1714">
            <v>50.7</v>
          </cell>
          <cell r="J1714">
            <v>6</v>
          </cell>
          <cell r="K1714" t="str">
            <v>15.600000000000001</v>
          </cell>
          <cell r="L1714">
            <v>123.67</v>
          </cell>
          <cell r="M1714">
            <v>1</v>
          </cell>
          <cell r="N1714">
            <v>96.48</v>
          </cell>
          <cell r="O1714">
            <v>10.9</v>
          </cell>
          <cell r="P1714">
            <v>30.6</v>
          </cell>
          <cell r="T1714">
            <v>26.4</v>
          </cell>
          <cell r="U1714">
            <v>2</v>
          </cell>
        </row>
        <row r="1715">
          <cell r="B1715" t="str">
            <v>Male</v>
          </cell>
          <cell r="F1715">
            <v>9</v>
          </cell>
          <cell r="G1715">
            <v>36.1</v>
          </cell>
          <cell r="H1715">
            <v>8.1999999999999993</v>
          </cell>
          <cell r="I1715">
            <v>52.8</v>
          </cell>
          <cell r="J1715">
            <v>2</v>
          </cell>
          <cell r="K1715">
            <v>17</v>
          </cell>
          <cell r="L1715">
            <v>76.25</v>
          </cell>
          <cell r="M1715">
            <v>13</v>
          </cell>
          <cell r="N1715">
            <v>23.6</v>
          </cell>
          <cell r="O1715">
            <v>0.4</v>
          </cell>
          <cell r="P1715">
            <v>13</v>
          </cell>
          <cell r="S1715">
            <v>12.3</v>
          </cell>
          <cell r="T1715">
            <v>26.8</v>
          </cell>
          <cell r="U1715">
            <v>5</v>
          </cell>
        </row>
        <row r="1716">
          <cell r="B1716" t="str">
            <v>Male</v>
          </cell>
          <cell r="F1716">
            <v>23</v>
          </cell>
          <cell r="G1716">
            <v>39.799999999999997</v>
          </cell>
          <cell r="H1716">
            <v>13</v>
          </cell>
          <cell r="I1716">
            <v>40.700000000000003</v>
          </cell>
          <cell r="J1716">
            <v>9</v>
          </cell>
          <cell r="K1716">
            <v>22.1</v>
          </cell>
          <cell r="L1716">
            <v>192.44</v>
          </cell>
          <cell r="M1716">
            <v>22</v>
          </cell>
          <cell r="N1716">
            <v>90</v>
          </cell>
          <cell r="O1716">
            <v>5.2</v>
          </cell>
          <cell r="P1716">
            <v>57</v>
          </cell>
          <cell r="S1716">
            <v>46.4</v>
          </cell>
        </row>
        <row r="1717">
          <cell r="B1717" t="str">
            <v>Male</v>
          </cell>
          <cell r="F1717">
            <v>10</v>
          </cell>
          <cell r="G1717">
            <v>31.2</v>
          </cell>
          <cell r="H1717">
            <v>7.4</v>
          </cell>
          <cell r="I1717">
            <v>51.6</v>
          </cell>
          <cell r="J1717">
            <v>4</v>
          </cell>
          <cell r="K1717">
            <v>12</v>
          </cell>
          <cell r="L1717">
            <v>157.38999999999999</v>
          </cell>
          <cell r="M1717">
            <v>2</v>
          </cell>
          <cell r="N1717">
            <v>48.4</v>
          </cell>
          <cell r="O1717">
            <v>7.1</v>
          </cell>
          <cell r="P1717">
            <v>21.6</v>
          </cell>
          <cell r="S1717">
            <v>27.3</v>
          </cell>
          <cell r="T1717">
            <v>25.5</v>
          </cell>
          <cell r="U1717">
            <v>2</v>
          </cell>
        </row>
        <row r="1718">
          <cell r="B1718" t="str">
            <v>Female</v>
          </cell>
          <cell r="F1718">
            <v>9</v>
          </cell>
          <cell r="G1718">
            <v>17.8</v>
          </cell>
          <cell r="H1718">
            <v>4.3</v>
          </cell>
          <cell r="I1718">
            <v>71.400000000000006</v>
          </cell>
          <cell r="J1718">
            <v>2</v>
          </cell>
          <cell r="K1718">
            <v>4</v>
          </cell>
          <cell r="L1718">
            <v>91.87</v>
          </cell>
          <cell r="M1718">
            <v>28</v>
          </cell>
          <cell r="N1718">
            <v>34.1</v>
          </cell>
          <cell r="O1718">
            <v>5.9</v>
          </cell>
          <cell r="S1718">
            <v>17</v>
          </cell>
          <cell r="T1718">
            <v>9.5</v>
          </cell>
          <cell r="U1718">
            <v>2</v>
          </cell>
        </row>
        <row r="1719">
          <cell r="B1719" t="str">
            <v>Male</v>
          </cell>
          <cell r="F1719">
            <v>9</v>
          </cell>
          <cell r="G1719">
            <v>19.5</v>
          </cell>
          <cell r="H1719">
            <v>6</v>
          </cell>
          <cell r="I1719">
            <v>72.400000000000006</v>
          </cell>
          <cell r="J1719">
            <v>3</v>
          </cell>
          <cell r="K1719">
            <v>7</v>
          </cell>
          <cell r="L1719">
            <v>110.92</v>
          </cell>
          <cell r="M1719">
            <v>10</v>
          </cell>
          <cell r="N1719">
            <v>28.2</v>
          </cell>
          <cell r="O1719">
            <v>3.6</v>
          </cell>
          <cell r="P1719">
            <v>0</v>
          </cell>
          <cell r="S1719">
            <v>42.8</v>
          </cell>
          <cell r="T1719">
            <v>4.5999999999999996</v>
          </cell>
          <cell r="U1719">
            <v>1</v>
          </cell>
        </row>
        <row r="1720">
          <cell r="B1720" t="str">
            <v>Male</v>
          </cell>
          <cell r="F1720">
            <v>0</v>
          </cell>
          <cell r="G1720">
            <v>15.3</v>
          </cell>
          <cell r="H1720">
            <v>6.2</v>
          </cell>
          <cell r="I1720">
            <v>71</v>
          </cell>
          <cell r="J1720">
            <v>1</v>
          </cell>
          <cell r="K1720">
            <v>6</v>
          </cell>
          <cell r="L1720">
            <v>111.33</v>
          </cell>
          <cell r="M1720">
            <v>8</v>
          </cell>
          <cell r="P1720">
            <v>3</v>
          </cell>
          <cell r="S1720">
            <v>2.2000000000000002</v>
          </cell>
          <cell r="T1720">
            <v>19.3</v>
          </cell>
          <cell r="U1720">
            <v>1</v>
          </cell>
        </row>
        <row r="1721">
          <cell r="B1721" t="str">
            <v>Female</v>
          </cell>
          <cell r="F1721">
            <v>7</v>
          </cell>
          <cell r="G1721">
            <v>23.6</v>
          </cell>
          <cell r="H1721">
            <v>8.9</v>
          </cell>
          <cell r="I1721">
            <v>53.4</v>
          </cell>
          <cell r="J1721">
            <v>4</v>
          </cell>
          <cell r="K1721">
            <v>9</v>
          </cell>
          <cell r="L1721">
            <v>168.23</v>
          </cell>
          <cell r="M1721">
            <v>38</v>
          </cell>
          <cell r="N1721">
            <v>48.2</v>
          </cell>
          <cell r="O1721">
            <v>0</v>
          </cell>
          <cell r="S1721">
            <v>35</v>
          </cell>
          <cell r="T1721">
            <v>23.4</v>
          </cell>
          <cell r="U1721">
            <v>1</v>
          </cell>
        </row>
        <row r="1722">
          <cell r="B1722" t="str">
            <v>Male</v>
          </cell>
          <cell r="F1722">
            <v>20</v>
          </cell>
          <cell r="G1722">
            <v>38.9</v>
          </cell>
          <cell r="H1722">
            <v>13.6</v>
          </cell>
          <cell r="I1722">
            <v>36.799999999999997</v>
          </cell>
          <cell r="J1722">
            <v>8</v>
          </cell>
          <cell r="K1722">
            <v>19.5</v>
          </cell>
          <cell r="L1722">
            <v>128.55000000000001</v>
          </cell>
          <cell r="M1722">
            <v>14</v>
          </cell>
          <cell r="N1722" t="str">
            <v>97.91999999999999</v>
          </cell>
          <cell r="O1722">
            <v>3.5</v>
          </cell>
          <cell r="P1722">
            <v>16</v>
          </cell>
          <cell r="S1722">
            <v>56.1</v>
          </cell>
          <cell r="T1722">
            <v>19.2</v>
          </cell>
          <cell r="U1722">
            <v>3</v>
          </cell>
        </row>
        <row r="1723">
          <cell r="B1723" t="str">
            <v>Male</v>
          </cell>
          <cell r="F1723">
            <v>16</v>
          </cell>
          <cell r="G1723">
            <v>29.9</v>
          </cell>
          <cell r="H1723">
            <v>13.2</v>
          </cell>
          <cell r="I1723">
            <v>63.9</v>
          </cell>
          <cell r="K1723">
            <v>13</v>
          </cell>
          <cell r="L1723">
            <v>68.86</v>
          </cell>
          <cell r="M1723">
            <v>177</v>
          </cell>
          <cell r="N1723">
            <v>44.4</v>
          </cell>
          <cell r="O1723">
            <v>7.9</v>
          </cell>
          <cell r="P1723">
            <v>34.6</v>
          </cell>
          <cell r="S1723">
            <v>27.9</v>
          </cell>
          <cell r="T1723">
            <v>18.7</v>
          </cell>
          <cell r="U1723">
            <v>2</v>
          </cell>
        </row>
        <row r="1724">
          <cell r="B1724" t="str">
            <v>Female</v>
          </cell>
          <cell r="F1724">
            <v>6</v>
          </cell>
          <cell r="G1724">
            <v>12.8</v>
          </cell>
          <cell r="H1724">
            <v>5.5</v>
          </cell>
          <cell r="I1724">
            <v>72.099999999999994</v>
          </cell>
          <cell r="J1724">
            <v>0</v>
          </cell>
          <cell r="K1724">
            <v>6</v>
          </cell>
          <cell r="L1724">
            <v>131.19999999999999</v>
          </cell>
          <cell r="M1724">
            <v>34</v>
          </cell>
          <cell r="N1724">
            <v>13.3</v>
          </cell>
          <cell r="O1724">
            <v>3.6</v>
          </cell>
          <cell r="P1724">
            <v>6.2</v>
          </cell>
          <cell r="T1724">
            <v>0</v>
          </cell>
          <cell r="U1724">
            <v>1</v>
          </cell>
        </row>
        <row r="1725">
          <cell r="B1725" t="str">
            <v>Female</v>
          </cell>
          <cell r="F1725">
            <v>27</v>
          </cell>
          <cell r="G1725">
            <v>58.4</v>
          </cell>
          <cell r="H1725">
            <v>15.6</v>
          </cell>
          <cell r="I1725">
            <v>20.6</v>
          </cell>
          <cell r="J1725">
            <v>10</v>
          </cell>
          <cell r="K1725">
            <v>27</v>
          </cell>
          <cell r="L1725">
            <v>113.54</v>
          </cell>
          <cell r="M1725">
            <v>40</v>
          </cell>
          <cell r="N1725">
            <v>10.4</v>
          </cell>
          <cell r="O1725">
            <v>3.3</v>
          </cell>
          <cell r="P1725">
            <v>48.5</v>
          </cell>
          <cell r="T1725">
            <v>43.4</v>
          </cell>
          <cell r="U1725">
            <v>2</v>
          </cell>
        </row>
        <row r="1726">
          <cell r="B1726" t="str">
            <v>Male</v>
          </cell>
          <cell r="F1726">
            <v>0</v>
          </cell>
          <cell r="G1726">
            <v>10.5</v>
          </cell>
          <cell r="H1726">
            <v>6.2</v>
          </cell>
          <cell r="I1726">
            <v>69.8</v>
          </cell>
          <cell r="K1726" t="str">
            <v>7.800000000000001</v>
          </cell>
          <cell r="L1726">
            <v>87.24</v>
          </cell>
          <cell r="M1726">
            <v>35</v>
          </cell>
          <cell r="N1726">
            <v>50.76</v>
          </cell>
          <cell r="S1726">
            <v>22.5</v>
          </cell>
          <cell r="T1726">
            <v>5.4</v>
          </cell>
          <cell r="U1726">
            <v>1</v>
          </cell>
        </row>
        <row r="1727">
          <cell r="B1727" t="str">
            <v>Male</v>
          </cell>
          <cell r="F1727">
            <v>14</v>
          </cell>
          <cell r="G1727">
            <v>51.7</v>
          </cell>
          <cell r="H1727">
            <v>16.600000000000001</v>
          </cell>
          <cell r="I1727">
            <v>30.9</v>
          </cell>
          <cell r="J1727">
            <v>10</v>
          </cell>
          <cell r="K1727">
            <v>23</v>
          </cell>
          <cell r="L1727">
            <v>69.09</v>
          </cell>
          <cell r="N1727">
            <v>64.8</v>
          </cell>
          <cell r="O1727">
            <v>0.8</v>
          </cell>
          <cell r="P1727">
            <v>31.7</v>
          </cell>
          <cell r="S1727">
            <v>73.099999999999994</v>
          </cell>
          <cell r="T1727">
            <v>44.4</v>
          </cell>
          <cell r="U1727">
            <v>5</v>
          </cell>
        </row>
        <row r="1728">
          <cell r="B1728" t="str">
            <v>Male</v>
          </cell>
          <cell r="F1728">
            <v>8</v>
          </cell>
          <cell r="G1728">
            <v>14.8</v>
          </cell>
          <cell r="H1728">
            <v>2.2999999999999998</v>
          </cell>
          <cell r="I1728">
            <v>87.4</v>
          </cell>
          <cell r="J1728">
            <v>1</v>
          </cell>
          <cell r="K1728">
            <v>8</v>
          </cell>
          <cell r="L1728">
            <v>148.53</v>
          </cell>
          <cell r="M1728">
            <v>14</v>
          </cell>
          <cell r="N1728">
            <v>35.799999999999997</v>
          </cell>
          <cell r="O1728">
            <v>3.1</v>
          </cell>
          <cell r="P1728">
            <v>4.5</v>
          </cell>
          <cell r="S1728">
            <v>49.7</v>
          </cell>
          <cell r="T1728">
            <v>12.7</v>
          </cell>
          <cell r="U1728">
            <v>1</v>
          </cell>
        </row>
        <row r="1729">
          <cell r="B1729" t="str">
            <v>Female</v>
          </cell>
          <cell r="F1729">
            <v>12</v>
          </cell>
          <cell r="G1729">
            <v>48.7</v>
          </cell>
          <cell r="I1729">
            <v>47.3</v>
          </cell>
          <cell r="J1729">
            <v>5</v>
          </cell>
          <cell r="K1729">
            <v>17</v>
          </cell>
          <cell r="L1729">
            <v>175.05</v>
          </cell>
          <cell r="M1729">
            <v>33</v>
          </cell>
          <cell r="N1729">
            <v>69.8</v>
          </cell>
          <cell r="P1729">
            <v>44.2</v>
          </cell>
          <cell r="S1729">
            <v>43.3</v>
          </cell>
          <cell r="T1729">
            <v>24.6</v>
          </cell>
          <cell r="U1729">
            <v>1</v>
          </cell>
        </row>
        <row r="1730">
          <cell r="B1730" t="str">
            <v>Female</v>
          </cell>
          <cell r="F1730">
            <v>0</v>
          </cell>
          <cell r="G1730">
            <v>3.8</v>
          </cell>
          <cell r="I1730">
            <v>66.3</v>
          </cell>
          <cell r="J1730">
            <v>3</v>
          </cell>
          <cell r="K1730">
            <v>5</v>
          </cell>
          <cell r="L1730">
            <v>75.52</v>
          </cell>
          <cell r="M1730">
            <v>9</v>
          </cell>
          <cell r="N1730">
            <v>17.8</v>
          </cell>
          <cell r="O1730">
            <v>15.6</v>
          </cell>
          <cell r="P1730">
            <v>2.8</v>
          </cell>
          <cell r="S1730">
            <v>0</v>
          </cell>
          <cell r="T1730">
            <v>13.5</v>
          </cell>
          <cell r="U1730">
            <v>4</v>
          </cell>
        </row>
        <row r="1731">
          <cell r="B1731" t="str">
            <v>Female</v>
          </cell>
          <cell r="F1731">
            <v>4</v>
          </cell>
          <cell r="G1731">
            <v>22.4</v>
          </cell>
          <cell r="H1731">
            <v>8.9</v>
          </cell>
          <cell r="I1731">
            <v>55.1</v>
          </cell>
          <cell r="K1731" t="str">
            <v>11.700000000000001</v>
          </cell>
          <cell r="L1731">
            <v>66.63</v>
          </cell>
          <cell r="M1731">
            <v>7</v>
          </cell>
          <cell r="N1731">
            <v>54.48</v>
          </cell>
          <cell r="O1731">
            <v>6.1</v>
          </cell>
          <cell r="P1731">
            <v>17.399999999999999</v>
          </cell>
          <cell r="S1731">
            <v>38.6</v>
          </cell>
          <cell r="T1731">
            <v>16</v>
          </cell>
          <cell r="U1731">
            <v>3</v>
          </cell>
        </row>
        <row r="1732">
          <cell r="B1732" t="str">
            <v>Male</v>
          </cell>
          <cell r="F1732">
            <v>0</v>
          </cell>
          <cell r="G1732">
            <v>17.899999999999999</v>
          </cell>
          <cell r="H1732">
            <v>5.3</v>
          </cell>
          <cell r="I1732">
            <v>66.7</v>
          </cell>
          <cell r="J1732">
            <v>1</v>
          </cell>
          <cell r="K1732">
            <v>5.2</v>
          </cell>
          <cell r="L1732">
            <v>86.88</v>
          </cell>
          <cell r="M1732">
            <v>1</v>
          </cell>
          <cell r="N1732" t="str">
            <v>31.799999999999997</v>
          </cell>
          <cell r="O1732">
            <v>0.8</v>
          </cell>
          <cell r="P1732">
            <v>0</v>
          </cell>
          <cell r="S1732">
            <v>22.7</v>
          </cell>
          <cell r="U1732">
            <v>1</v>
          </cell>
        </row>
        <row r="1733">
          <cell r="B1733" t="str">
            <v>Male</v>
          </cell>
          <cell r="F1733">
            <v>12</v>
          </cell>
          <cell r="G1733">
            <v>40.700000000000003</v>
          </cell>
          <cell r="H1733">
            <v>7.4</v>
          </cell>
          <cell r="I1733">
            <v>42.8</v>
          </cell>
          <cell r="K1733">
            <v>15</v>
          </cell>
          <cell r="L1733">
            <v>164.61</v>
          </cell>
          <cell r="M1733">
            <v>131</v>
          </cell>
          <cell r="N1733">
            <v>49.2</v>
          </cell>
          <cell r="O1733">
            <v>9.6999999999999993</v>
          </cell>
          <cell r="P1733">
            <v>23.7</v>
          </cell>
          <cell r="S1733">
            <v>32.4</v>
          </cell>
          <cell r="T1733">
            <v>24.9</v>
          </cell>
          <cell r="U1733">
            <v>3</v>
          </cell>
        </row>
        <row r="1734">
          <cell r="B1734" t="str">
            <v>Female</v>
          </cell>
          <cell r="F1734">
            <v>14</v>
          </cell>
          <cell r="G1734">
            <v>47</v>
          </cell>
          <cell r="H1734">
            <v>17.899999999999999</v>
          </cell>
          <cell r="I1734">
            <v>30</v>
          </cell>
          <cell r="J1734">
            <v>10</v>
          </cell>
          <cell r="K1734">
            <v>18</v>
          </cell>
          <cell r="L1734">
            <v>110.71</v>
          </cell>
          <cell r="M1734">
            <v>4</v>
          </cell>
          <cell r="N1734">
            <v>34.6</v>
          </cell>
          <cell r="O1734">
            <v>3</v>
          </cell>
          <cell r="P1734">
            <v>51.1</v>
          </cell>
          <cell r="S1734">
            <v>30</v>
          </cell>
          <cell r="T1734">
            <v>26.1</v>
          </cell>
          <cell r="U1734">
            <v>1</v>
          </cell>
        </row>
        <row r="1735">
          <cell r="B1735" t="str">
            <v>Male</v>
          </cell>
          <cell r="F1735">
            <v>24</v>
          </cell>
          <cell r="G1735">
            <v>34.700000000000003</v>
          </cell>
          <cell r="H1735">
            <v>12.5</v>
          </cell>
          <cell r="I1735">
            <v>31.8</v>
          </cell>
          <cell r="J1735">
            <v>6</v>
          </cell>
          <cell r="K1735">
            <v>19</v>
          </cell>
          <cell r="L1735">
            <v>296.83</v>
          </cell>
          <cell r="M1735">
            <v>42</v>
          </cell>
          <cell r="N1735">
            <v>28</v>
          </cell>
          <cell r="O1735">
            <v>19.5</v>
          </cell>
          <cell r="P1735">
            <v>35.1</v>
          </cell>
          <cell r="S1735">
            <v>46.4</v>
          </cell>
          <cell r="T1735">
            <v>30.3</v>
          </cell>
          <cell r="U1735">
            <v>1</v>
          </cell>
        </row>
        <row r="1736">
          <cell r="B1736" t="str">
            <v>Female</v>
          </cell>
          <cell r="F1736">
            <v>10</v>
          </cell>
          <cell r="G1736">
            <v>22.3</v>
          </cell>
          <cell r="H1736">
            <v>5.3</v>
          </cell>
          <cell r="I1736">
            <v>76.400000000000006</v>
          </cell>
          <cell r="K1736">
            <v>13</v>
          </cell>
          <cell r="L1736">
            <v>68.459999999999994</v>
          </cell>
          <cell r="M1736">
            <v>41</v>
          </cell>
          <cell r="N1736">
            <v>42</v>
          </cell>
          <cell r="O1736">
            <v>5.4</v>
          </cell>
          <cell r="P1736">
            <v>9.5</v>
          </cell>
          <cell r="S1736">
            <v>20.2</v>
          </cell>
          <cell r="T1736">
            <v>3.6</v>
          </cell>
          <cell r="U1736">
            <v>2</v>
          </cell>
        </row>
        <row r="1737">
          <cell r="B1737" t="str">
            <v>Female</v>
          </cell>
          <cell r="F1737">
            <v>16</v>
          </cell>
          <cell r="G1737">
            <v>36.799999999999997</v>
          </cell>
          <cell r="H1737">
            <v>14.1</v>
          </cell>
          <cell r="I1737">
            <v>44</v>
          </cell>
          <cell r="J1737">
            <v>7</v>
          </cell>
          <cell r="K1737">
            <v>19</v>
          </cell>
          <cell r="L1737">
            <v>47.77</v>
          </cell>
          <cell r="M1737">
            <v>30</v>
          </cell>
          <cell r="N1737">
            <v>24.4</v>
          </cell>
          <cell r="O1737">
            <v>1.4</v>
          </cell>
          <cell r="P1737">
            <v>15.9</v>
          </cell>
          <cell r="S1737">
            <v>34.200000000000003</v>
          </cell>
          <cell r="T1737">
            <v>27</v>
          </cell>
          <cell r="U1737">
            <v>3</v>
          </cell>
        </row>
        <row r="1738">
          <cell r="B1738" t="str">
            <v>Female</v>
          </cell>
          <cell r="F1738">
            <v>0</v>
          </cell>
          <cell r="G1738">
            <v>15.6</v>
          </cell>
          <cell r="H1738">
            <v>4</v>
          </cell>
          <cell r="I1738">
            <v>76.2</v>
          </cell>
          <cell r="J1738">
            <v>2</v>
          </cell>
          <cell r="K1738" t="str">
            <v>11.700000000000001</v>
          </cell>
          <cell r="L1738">
            <v>131.15</v>
          </cell>
          <cell r="M1738">
            <v>34</v>
          </cell>
          <cell r="N1738">
            <v>32.4</v>
          </cell>
          <cell r="O1738">
            <v>6.5</v>
          </cell>
          <cell r="P1738">
            <v>11.5</v>
          </cell>
          <cell r="S1738">
            <v>10.3</v>
          </cell>
          <cell r="T1738">
            <v>3.9</v>
          </cell>
          <cell r="U1738">
            <v>2</v>
          </cell>
        </row>
        <row r="1739">
          <cell r="B1739" t="str">
            <v>Male</v>
          </cell>
          <cell r="F1739">
            <v>18</v>
          </cell>
          <cell r="G1739">
            <v>33.200000000000003</v>
          </cell>
          <cell r="H1739">
            <v>13.5</v>
          </cell>
          <cell r="I1739">
            <v>36.9</v>
          </cell>
          <cell r="J1739">
            <v>6</v>
          </cell>
          <cell r="K1739">
            <v>15</v>
          </cell>
          <cell r="L1739">
            <v>186.14</v>
          </cell>
          <cell r="M1739">
            <v>48</v>
          </cell>
          <cell r="N1739">
            <v>48.7</v>
          </cell>
          <cell r="O1739">
            <v>2.4</v>
          </cell>
          <cell r="P1739">
            <v>21.3</v>
          </cell>
          <cell r="T1739">
            <v>36.299999999999997</v>
          </cell>
          <cell r="U1739">
            <v>3</v>
          </cell>
        </row>
        <row r="1740">
          <cell r="B1740" t="str">
            <v>Female</v>
          </cell>
          <cell r="F1740">
            <v>0</v>
          </cell>
          <cell r="G1740">
            <v>14.7</v>
          </cell>
          <cell r="H1740">
            <v>4.3</v>
          </cell>
          <cell r="I1740">
            <v>72.099999999999994</v>
          </cell>
          <cell r="J1740">
            <v>3</v>
          </cell>
          <cell r="K1740">
            <v>6</v>
          </cell>
          <cell r="L1740">
            <v>97.16</v>
          </cell>
          <cell r="M1740">
            <v>11</v>
          </cell>
          <cell r="N1740">
            <v>32.5</v>
          </cell>
          <cell r="P1740">
            <v>14</v>
          </cell>
          <cell r="S1740">
            <v>3</v>
          </cell>
          <cell r="U1740">
            <v>3</v>
          </cell>
        </row>
        <row r="1741">
          <cell r="B1741" t="str">
            <v>Male</v>
          </cell>
          <cell r="F1741">
            <v>11</v>
          </cell>
          <cell r="G1741">
            <v>13.1</v>
          </cell>
          <cell r="H1741">
            <v>9.6</v>
          </cell>
          <cell r="I1741">
            <v>64.5</v>
          </cell>
          <cell r="J1741">
            <v>2</v>
          </cell>
          <cell r="K1741">
            <v>10.4</v>
          </cell>
          <cell r="L1741">
            <v>79.87</v>
          </cell>
          <cell r="M1741">
            <v>18</v>
          </cell>
          <cell r="O1741">
            <v>3.6</v>
          </cell>
          <cell r="P1741">
            <v>17.3</v>
          </cell>
          <cell r="S1741">
            <v>3.9</v>
          </cell>
          <cell r="T1741">
            <v>14.8</v>
          </cell>
          <cell r="U1741">
            <v>2</v>
          </cell>
        </row>
        <row r="1742">
          <cell r="B1742" t="str">
            <v>Female</v>
          </cell>
          <cell r="F1742">
            <v>19</v>
          </cell>
          <cell r="G1742">
            <v>22.4</v>
          </cell>
          <cell r="H1742">
            <v>9.6</v>
          </cell>
          <cell r="I1742">
            <v>69.8</v>
          </cell>
          <cell r="J1742">
            <v>6</v>
          </cell>
          <cell r="K1742" t="str">
            <v>16.900000000000002</v>
          </cell>
          <cell r="L1742">
            <v>75.89</v>
          </cell>
          <cell r="M1742">
            <v>12</v>
          </cell>
          <cell r="N1742">
            <v>49.8</v>
          </cell>
          <cell r="O1742">
            <v>2.7</v>
          </cell>
          <cell r="P1742">
            <v>14.2</v>
          </cell>
          <cell r="S1742">
            <v>42.9</v>
          </cell>
          <cell r="T1742">
            <v>17.7</v>
          </cell>
          <cell r="U1742">
            <v>3</v>
          </cell>
        </row>
        <row r="1743">
          <cell r="B1743" t="str">
            <v>Male</v>
          </cell>
          <cell r="F1743">
            <v>6</v>
          </cell>
          <cell r="G1743">
            <v>26.9</v>
          </cell>
          <cell r="H1743">
            <v>5.5</v>
          </cell>
          <cell r="I1743">
            <v>67.099999999999994</v>
          </cell>
          <cell r="J1743">
            <v>5</v>
          </cell>
          <cell r="K1743">
            <v>13</v>
          </cell>
          <cell r="L1743">
            <v>78.400000000000006</v>
          </cell>
          <cell r="M1743">
            <v>13</v>
          </cell>
          <cell r="N1743">
            <v>89.28</v>
          </cell>
          <cell r="O1743">
            <v>4.7</v>
          </cell>
          <cell r="P1743">
            <v>22</v>
          </cell>
          <cell r="S1743">
            <v>72</v>
          </cell>
          <cell r="T1743">
            <v>20.5</v>
          </cell>
          <cell r="U1743">
            <v>3</v>
          </cell>
        </row>
        <row r="1744">
          <cell r="B1744" t="str">
            <v>Male</v>
          </cell>
          <cell r="F1744">
            <v>0</v>
          </cell>
          <cell r="G1744">
            <v>14.8</v>
          </cell>
          <cell r="H1744">
            <v>6</v>
          </cell>
          <cell r="I1744">
            <v>89</v>
          </cell>
          <cell r="J1744">
            <v>2</v>
          </cell>
          <cell r="K1744" t="str">
            <v>7.800000000000001</v>
          </cell>
          <cell r="L1744">
            <v>150.38</v>
          </cell>
          <cell r="M1744">
            <v>26</v>
          </cell>
          <cell r="N1744" t="str">
            <v>35.279999999999994</v>
          </cell>
          <cell r="O1744">
            <v>0.5</v>
          </cell>
          <cell r="P1744">
            <v>5</v>
          </cell>
          <cell r="S1744">
            <v>19.7</v>
          </cell>
          <cell r="T1744">
            <v>9.8000000000000007</v>
          </cell>
          <cell r="U1744">
            <v>1</v>
          </cell>
        </row>
        <row r="1745">
          <cell r="B1745" t="str">
            <v>Female</v>
          </cell>
          <cell r="F1745">
            <v>10</v>
          </cell>
          <cell r="G1745">
            <v>33.200000000000003</v>
          </cell>
          <cell r="H1745">
            <v>8.1999999999999993</v>
          </cell>
          <cell r="I1745">
            <v>50.8</v>
          </cell>
          <cell r="J1745">
            <v>4</v>
          </cell>
          <cell r="K1745">
            <v>12</v>
          </cell>
          <cell r="L1745">
            <v>212.73</v>
          </cell>
          <cell r="M1745">
            <v>22</v>
          </cell>
          <cell r="O1745">
            <v>0.5</v>
          </cell>
          <cell r="P1745">
            <v>18.3</v>
          </cell>
          <cell r="S1745">
            <v>32.4</v>
          </cell>
          <cell r="T1745">
            <v>22.1</v>
          </cell>
          <cell r="U1745">
            <v>1</v>
          </cell>
        </row>
        <row r="1746">
          <cell r="B1746" t="str">
            <v>Female</v>
          </cell>
          <cell r="F1746">
            <v>13</v>
          </cell>
          <cell r="G1746">
            <v>39</v>
          </cell>
          <cell r="H1746">
            <v>12.4</v>
          </cell>
          <cell r="I1746">
            <v>66.5</v>
          </cell>
          <cell r="J1746">
            <v>4</v>
          </cell>
          <cell r="K1746">
            <v>15</v>
          </cell>
          <cell r="L1746">
            <v>83.18</v>
          </cell>
          <cell r="M1746">
            <v>37</v>
          </cell>
          <cell r="N1746">
            <v>31.2</v>
          </cell>
          <cell r="O1746">
            <v>3.5</v>
          </cell>
          <cell r="P1746">
            <v>25.4</v>
          </cell>
          <cell r="S1746">
            <v>32.9</v>
          </cell>
          <cell r="T1746">
            <v>25.9</v>
          </cell>
          <cell r="U1746">
            <v>1</v>
          </cell>
        </row>
        <row r="1747">
          <cell r="B1747" t="str">
            <v>Female</v>
          </cell>
          <cell r="F1747">
            <v>3</v>
          </cell>
          <cell r="G1747">
            <v>20.7</v>
          </cell>
          <cell r="H1747">
            <v>8.6</v>
          </cell>
          <cell r="I1747">
            <v>59.5</v>
          </cell>
          <cell r="J1747">
            <v>1</v>
          </cell>
          <cell r="K1747">
            <v>8</v>
          </cell>
          <cell r="L1747">
            <v>65.680000000000007</v>
          </cell>
          <cell r="M1747">
            <v>43</v>
          </cell>
          <cell r="N1747">
            <v>23.2</v>
          </cell>
          <cell r="O1747">
            <v>13.6</v>
          </cell>
          <cell r="P1747">
            <v>14.3</v>
          </cell>
          <cell r="S1747">
            <v>3.2</v>
          </cell>
          <cell r="T1747">
            <v>11.7</v>
          </cell>
          <cell r="U1747">
            <v>3</v>
          </cell>
        </row>
        <row r="1748">
          <cell r="B1748" t="str">
            <v>Female</v>
          </cell>
          <cell r="F1748">
            <v>15</v>
          </cell>
          <cell r="G1748">
            <v>39.6</v>
          </cell>
          <cell r="H1748">
            <v>10.5</v>
          </cell>
          <cell r="I1748">
            <v>50.2</v>
          </cell>
          <cell r="J1748">
            <v>5</v>
          </cell>
          <cell r="K1748">
            <v>26</v>
          </cell>
          <cell r="L1748">
            <v>105.48</v>
          </cell>
          <cell r="M1748">
            <v>73</v>
          </cell>
          <cell r="N1748" t="str">
            <v>60.35999999999999</v>
          </cell>
          <cell r="P1748">
            <v>28</v>
          </cell>
          <cell r="S1748">
            <v>31.9</v>
          </cell>
          <cell r="T1748">
            <v>22.2</v>
          </cell>
          <cell r="U1748">
            <v>2</v>
          </cell>
        </row>
        <row r="1749">
          <cell r="B1749" t="str">
            <v>Male</v>
          </cell>
          <cell r="F1749">
            <v>18</v>
          </cell>
          <cell r="G1749">
            <v>35.700000000000003</v>
          </cell>
          <cell r="H1749">
            <v>12</v>
          </cell>
          <cell r="I1749">
            <v>57.2</v>
          </cell>
          <cell r="J1749">
            <v>4</v>
          </cell>
          <cell r="K1749">
            <v>19.5</v>
          </cell>
          <cell r="L1749">
            <v>92.63</v>
          </cell>
          <cell r="M1749">
            <v>57</v>
          </cell>
          <cell r="N1749">
            <v>47.16</v>
          </cell>
          <cell r="O1749">
            <v>10.9</v>
          </cell>
          <cell r="P1749">
            <v>32</v>
          </cell>
          <cell r="S1749">
            <v>54.7</v>
          </cell>
        </row>
        <row r="1750">
          <cell r="B1750" t="str">
            <v>Male</v>
          </cell>
          <cell r="F1750">
            <v>7</v>
          </cell>
          <cell r="G1750">
            <v>33.1</v>
          </cell>
          <cell r="I1750">
            <v>54.6</v>
          </cell>
          <cell r="J1750">
            <v>2</v>
          </cell>
          <cell r="K1750">
            <v>17</v>
          </cell>
          <cell r="L1750">
            <v>152.72999999999999</v>
          </cell>
          <cell r="M1750">
            <v>170</v>
          </cell>
          <cell r="N1750">
            <v>13.1</v>
          </cell>
          <cell r="O1750">
            <v>3.2</v>
          </cell>
          <cell r="P1750">
            <v>13.9</v>
          </cell>
          <cell r="S1750">
            <v>34.9</v>
          </cell>
          <cell r="T1750">
            <v>7.9</v>
          </cell>
          <cell r="U1750">
            <v>4</v>
          </cell>
        </row>
        <row r="1751">
          <cell r="B1751" t="str">
            <v>Male</v>
          </cell>
          <cell r="F1751">
            <v>8</v>
          </cell>
          <cell r="G1751">
            <v>29.4</v>
          </cell>
          <cell r="H1751">
            <v>10.8</v>
          </cell>
          <cell r="I1751">
            <v>64.900000000000006</v>
          </cell>
          <cell r="J1751">
            <v>5</v>
          </cell>
          <cell r="K1751">
            <v>14.3</v>
          </cell>
          <cell r="L1751">
            <v>81.14</v>
          </cell>
          <cell r="M1751">
            <v>7</v>
          </cell>
          <cell r="N1751">
            <v>35.520000000000003</v>
          </cell>
          <cell r="O1751">
            <v>4.2</v>
          </cell>
          <cell r="P1751">
            <v>27.1</v>
          </cell>
          <cell r="S1751">
            <v>0</v>
          </cell>
          <cell r="T1751">
            <v>15.2</v>
          </cell>
          <cell r="U1751">
            <v>2</v>
          </cell>
        </row>
        <row r="1752">
          <cell r="B1752" t="str">
            <v>Male</v>
          </cell>
          <cell r="F1752">
            <v>8</v>
          </cell>
          <cell r="G1752">
            <v>32.1</v>
          </cell>
          <cell r="H1752">
            <v>10</v>
          </cell>
          <cell r="I1752">
            <v>30.4</v>
          </cell>
          <cell r="J1752">
            <v>3</v>
          </cell>
          <cell r="K1752">
            <v>12</v>
          </cell>
          <cell r="L1752">
            <v>183.45</v>
          </cell>
          <cell r="M1752">
            <v>56</v>
          </cell>
          <cell r="N1752">
            <v>4.5999999999999996</v>
          </cell>
          <cell r="O1752">
            <v>3.2</v>
          </cell>
          <cell r="P1752">
            <v>20.9</v>
          </cell>
          <cell r="S1752">
            <v>58.1</v>
          </cell>
          <cell r="T1752">
            <v>29.8</v>
          </cell>
          <cell r="U1752">
            <v>2</v>
          </cell>
        </row>
        <row r="1753">
          <cell r="B1753" t="str">
            <v>Female</v>
          </cell>
          <cell r="F1753">
            <v>8</v>
          </cell>
          <cell r="H1753">
            <v>6.7</v>
          </cell>
          <cell r="I1753">
            <v>65.099999999999994</v>
          </cell>
          <cell r="J1753">
            <v>3</v>
          </cell>
          <cell r="K1753">
            <v>10</v>
          </cell>
          <cell r="L1753">
            <v>76.47</v>
          </cell>
          <cell r="M1753">
            <v>16</v>
          </cell>
          <cell r="N1753">
            <v>28.2</v>
          </cell>
          <cell r="O1753">
            <v>9.6999999999999993</v>
          </cell>
          <cell r="P1753">
            <v>0</v>
          </cell>
          <cell r="S1753">
            <v>11.2</v>
          </cell>
          <cell r="T1753">
            <v>17.8</v>
          </cell>
          <cell r="U1753">
            <v>1</v>
          </cell>
        </row>
        <row r="1754">
          <cell r="B1754" t="str">
            <v>Male</v>
          </cell>
          <cell r="F1754">
            <v>15</v>
          </cell>
          <cell r="G1754">
            <v>28</v>
          </cell>
          <cell r="H1754">
            <v>5.5</v>
          </cell>
          <cell r="I1754">
            <v>57.3</v>
          </cell>
          <cell r="J1754">
            <v>8</v>
          </cell>
          <cell r="K1754">
            <v>11</v>
          </cell>
          <cell r="L1754">
            <v>62.23</v>
          </cell>
          <cell r="M1754">
            <v>0</v>
          </cell>
          <cell r="N1754">
            <v>66.3</v>
          </cell>
          <cell r="O1754">
            <v>9.1</v>
          </cell>
          <cell r="P1754">
            <v>16.5</v>
          </cell>
          <cell r="T1754">
            <v>13.4</v>
          </cell>
          <cell r="U1754">
            <v>2</v>
          </cell>
        </row>
        <row r="1755">
          <cell r="B1755" t="str">
            <v>Female</v>
          </cell>
          <cell r="F1755">
            <v>31</v>
          </cell>
          <cell r="G1755">
            <v>56.2</v>
          </cell>
          <cell r="H1755">
            <v>16.2</v>
          </cell>
          <cell r="I1755">
            <v>11.7</v>
          </cell>
          <cell r="J1755">
            <v>17</v>
          </cell>
          <cell r="K1755">
            <v>34</v>
          </cell>
          <cell r="L1755">
            <v>88.66</v>
          </cell>
          <cell r="M1755">
            <v>31</v>
          </cell>
          <cell r="N1755">
            <v>17.2</v>
          </cell>
          <cell r="O1755">
            <v>0.7</v>
          </cell>
          <cell r="P1755">
            <v>56.4</v>
          </cell>
          <cell r="S1755">
            <v>88.1</v>
          </cell>
          <cell r="T1755">
            <v>47</v>
          </cell>
          <cell r="U1755">
            <v>2</v>
          </cell>
        </row>
        <row r="1756">
          <cell r="B1756" t="str">
            <v>Female</v>
          </cell>
          <cell r="F1756">
            <v>16</v>
          </cell>
          <cell r="G1756">
            <v>31.1</v>
          </cell>
          <cell r="H1756">
            <v>13.2</v>
          </cell>
          <cell r="I1756">
            <v>58.3</v>
          </cell>
          <cell r="J1756">
            <v>5</v>
          </cell>
          <cell r="K1756">
            <v>18</v>
          </cell>
          <cell r="L1756">
            <v>177.58</v>
          </cell>
          <cell r="M1756">
            <v>1</v>
          </cell>
          <cell r="N1756">
            <v>43.3</v>
          </cell>
          <cell r="O1756">
            <v>4</v>
          </cell>
          <cell r="P1756">
            <v>34.799999999999997</v>
          </cell>
          <cell r="S1756">
            <v>17.7</v>
          </cell>
          <cell r="T1756">
            <v>21.5</v>
          </cell>
          <cell r="U1756">
            <v>1</v>
          </cell>
        </row>
        <row r="1757">
          <cell r="B1757" t="str">
            <v>Male</v>
          </cell>
          <cell r="F1757">
            <v>6</v>
          </cell>
          <cell r="G1757">
            <v>30.2</v>
          </cell>
          <cell r="H1757">
            <v>10</v>
          </cell>
          <cell r="I1757">
            <v>78.5</v>
          </cell>
          <cell r="J1757">
            <v>0</v>
          </cell>
          <cell r="K1757" t="str">
            <v>11.700000000000001</v>
          </cell>
          <cell r="L1757">
            <v>187.08</v>
          </cell>
          <cell r="M1757">
            <v>9</v>
          </cell>
          <cell r="N1757" t="str">
            <v>55.199999999999996</v>
          </cell>
          <cell r="O1757">
            <v>1.3</v>
          </cell>
          <cell r="P1757">
            <v>0</v>
          </cell>
          <cell r="S1757">
            <v>27.6</v>
          </cell>
          <cell r="T1757">
            <v>18.7</v>
          </cell>
          <cell r="U1757">
            <v>4</v>
          </cell>
        </row>
        <row r="1758">
          <cell r="B1758" t="str">
            <v>Female</v>
          </cell>
          <cell r="F1758">
            <v>14</v>
          </cell>
          <cell r="G1758">
            <v>35</v>
          </cell>
          <cell r="H1758">
            <v>11.9</v>
          </cell>
          <cell r="I1758">
            <v>35.5</v>
          </cell>
          <cell r="J1758">
            <v>7</v>
          </cell>
          <cell r="K1758" t="str">
            <v>31.200000000000003</v>
          </cell>
          <cell r="L1758">
            <v>125.84</v>
          </cell>
          <cell r="M1758">
            <v>9</v>
          </cell>
          <cell r="N1758">
            <v>41.64</v>
          </cell>
          <cell r="O1758">
            <v>2.2999999999999998</v>
          </cell>
          <cell r="P1758">
            <v>33.6</v>
          </cell>
          <cell r="S1758">
            <v>45</v>
          </cell>
          <cell r="T1758">
            <v>28.4</v>
          </cell>
          <cell r="U1758">
            <v>3</v>
          </cell>
        </row>
        <row r="1759">
          <cell r="B1759" t="str">
            <v>Male</v>
          </cell>
          <cell r="F1759">
            <v>3</v>
          </cell>
          <cell r="G1759">
            <v>28.4</v>
          </cell>
          <cell r="H1759">
            <v>8.9</v>
          </cell>
          <cell r="I1759">
            <v>52.2</v>
          </cell>
          <cell r="J1759">
            <v>3</v>
          </cell>
          <cell r="K1759">
            <v>10</v>
          </cell>
          <cell r="L1759">
            <v>146.65</v>
          </cell>
          <cell r="M1759">
            <v>21</v>
          </cell>
          <cell r="N1759">
            <v>57.5</v>
          </cell>
          <cell r="O1759">
            <v>3.9</v>
          </cell>
          <cell r="P1759">
            <v>32.299999999999997</v>
          </cell>
          <cell r="S1759">
            <v>6.4</v>
          </cell>
          <cell r="T1759">
            <v>16.899999999999999</v>
          </cell>
          <cell r="U1759">
            <v>1</v>
          </cell>
        </row>
        <row r="1760">
          <cell r="B1760" t="str">
            <v>Male</v>
          </cell>
          <cell r="F1760">
            <v>0</v>
          </cell>
          <cell r="G1760">
            <v>19.8</v>
          </cell>
          <cell r="H1760">
            <v>7.5</v>
          </cell>
          <cell r="I1760">
            <v>71.7</v>
          </cell>
          <cell r="J1760">
            <v>1</v>
          </cell>
          <cell r="K1760">
            <v>4</v>
          </cell>
          <cell r="L1760">
            <v>87.62</v>
          </cell>
          <cell r="M1760">
            <v>7</v>
          </cell>
          <cell r="N1760">
            <v>6.3</v>
          </cell>
          <cell r="O1760">
            <v>6.5</v>
          </cell>
          <cell r="S1760">
            <v>7.5</v>
          </cell>
          <cell r="T1760">
            <v>8.8000000000000007</v>
          </cell>
          <cell r="U1760">
            <v>2</v>
          </cell>
        </row>
        <row r="1761">
          <cell r="B1761" t="str">
            <v>Male</v>
          </cell>
          <cell r="F1761">
            <v>15</v>
          </cell>
          <cell r="G1761">
            <v>21.2</v>
          </cell>
          <cell r="H1761">
            <v>7.5</v>
          </cell>
          <cell r="I1761">
            <v>72.900000000000006</v>
          </cell>
          <cell r="J1761">
            <v>0</v>
          </cell>
          <cell r="K1761">
            <v>9</v>
          </cell>
          <cell r="L1761">
            <v>42.1</v>
          </cell>
          <cell r="M1761">
            <v>36</v>
          </cell>
          <cell r="N1761">
            <v>55.7</v>
          </cell>
          <cell r="O1761">
            <v>12.5</v>
          </cell>
          <cell r="P1761">
            <v>0</v>
          </cell>
          <cell r="S1761">
            <v>13.3</v>
          </cell>
          <cell r="T1761">
            <v>24.3</v>
          </cell>
          <cell r="U1761">
            <v>1</v>
          </cell>
        </row>
        <row r="1762">
          <cell r="B1762" t="str">
            <v>Male</v>
          </cell>
          <cell r="F1762">
            <v>19</v>
          </cell>
          <cell r="G1762">
            <v>26</v>
          </cell>
          <cell r="H1762">
            <v>11.6</v>
          </cell>
          <cell r="I1762">
            <v>48.9</v>
          </cell>
          <cell r="J1762">
            <v>2</v>
          </cell>
          <cell r="K1762">
            <v>11</v>
          </cell>
          <cell r="L1762">
            <v>145.38</v>
          </cell>
          <cell r="M1762">
            <v>6</v>
          </cell>
          <cell r="N1762">
            <v>23</v>
          </cell>
          <cell r="O1762">
            <v>12</v>
          </cell>
          <cell r="P1762">
            <v>16.3</v>
          </cell>
          <cell r="U1762">
            <v>1</v>
          </cell>
        </row>
        <row r="1763">
          <cell r="B1763" t="str">
            <v>Female</v>
          </cell>
          <cell r="F1763">
            <v>7</v>
          </cell>
          <cell r="G1763">
            <v>12.6</v>
          </cell>
          <cell r="H1763">
            <v>2.8</v>
          </cell>
          <cell r="I1763">
            <v>76.7</v>
          </cell>
          <cell r="J1763">
            <v>0</v>
          </cell>
          <cell r="K1763">
            <v>10</v>
          </cell>
          <cell r="L1763">
            <v>94.1</v>
          </cell>
          <cell r="M1763">
            <v>12</v>
          </cell>
          <cell r="N1763">
            <v>65.599999999999994</v>
          </cell>
          <cell r="O1763">
            <v>5</v>
          </cell>
          <cell r="P1763">
            <v>30.8</v>
          </cell>
          <cell r="S1763">
            <v>0</v>
          </cell>
          <cell r="T1763">
            <v>0</v>
          </cell>
          <cell r="U1763">
            <v>2</v>
          </cell>
        </row>
        <row r="1764">
          <cell r="B1764" t="str">
            <v>Female</v>
          </cell>
          <cell r="F1764">
            <v>4</v>
          </cell>
          <cell r="G1764">
            <v>18.5</v>
          </cell>
          <cell r="H1764">
            <v>7.9</v>
          </cell>
          <cell r="I1764">
            <v>58.2</v>
          </cell>
          <cell r="J1764">
            <v>4</v>
          </cell>
          <cell r="K1764">
            <v>9.1</v>
          </cell>
          <cell r="L1764">
            <v>102.03</v>
          </cell>
          <cell r="M1764">
            <v>3</v>
          </cell>
          <cell r="N1764">
            <v>9.24</v>
          </cell>
          <cell r="O1764">
            <v>17.7</v>
          </cell>
          <cell r="S1764">
            <v>26.3</v>
          </cell>
          <cell r="T1764">
            <v>13.1</v>
          </cell>
          <cell r="U1764">
            <v>1</v>
          </cell>
        </row>
        <row r="1765">
          <cell r="B1765" t="str">
            <v>Female</v>
          </cell>
          <cell r="F1765">
            <v>5</v>
          </cell>
          <cell r="G1765">
            <v>4</v>
          </cell>
          <cell r="H1765">
            <v>6.1</v>
          </cell>
          <cell r="I1765">
            <v>52.1</v>
          </cell>
          <cell r="J1765">
            <v>3</v>
          </cell>
          <cell r="K1765">
            <v>3</v>
          </cell>
          <cell r="L1765">
            <v>79.760000000000005</v>
          </cell>
          <cell r="M1765">
            <v>12</v>
          </cell>
          <cell r="N1765">
            <v>17.5</v>
          </cell>
          <cell r="O1765">
            <v>2.7</v>
          </cell>
          <cell r="P1765">
            <v>10.9</v>
          </cell>
          <cell r="S1765">
            <v>24.8</v>
          </cell>
          <cell r="T1765">
            <v>6.5</v>
          </cell>
          <cell r="U1765">
            <v>1</v>
          </cell>
        </row>
        <row r="1766">
          <cell r="B1766" t="str">
            <v>Female</v>
          </cell>
          <cell r="F1766">
            <v>30</v>
          </cell>
          <cell r="G1766">
            <v>40.4</v>
          </cell>
          <cell r="H1766">
            <v>12.6</v>
          </cell>
          <cell r="I1766">
            <v>39.700000000000003</v>
          </cell>
          <cell r="J1766">
            <v>12</v>
          </cell>
          <cell r="K1766">
            <v>24</v>
          </cell>
          <cell r="L1766">
            <v>149.94</v>
          </cell>
          <cell r="M1766">
            <v>12</v>
          </cell>
          <cell r="N1766">
            <v>35.799999999999997</v>
          </cell>
          <cell r="O1766">
            <v>4.3</v>
          </cell>
          <cell r="P1766">
            <v>46</v>
          </cell>
          <cell r="S1766">
            <v>56.3</v>
          </cell>
          <cell r="T1766">
            <v>43</v>
          </cell>
        </row>
        <row r="1767">
          <cell r="B1767" t="str">
            <v>Male</v>
          </cell>
          <cell r="F1767">
            <v>11</v>
          </cell>
          <cell r="G1767">
            <v>15</v>
          </cell>
          <cell r="H1767">
            <v>8.8000000000000007</v>
          </cell>
          <cell r="I1767">
            <v>38.799999999999997</v>
          </cell>
          <cell r="J1767">
            <v>6</v>
          </cell>
          <cell r="K1767">
            <v>13</v>
          </cell>
          <cell r="L1767">
            <v>95.95</v>
          </cell>
          <cell r="M1767">
            <v>22</v>
          </cell>
          <cell r="N1767">
            <v>43</v>
          </cell>
          <cell r="O1767">
            <v>16.5</v>
          </cell>
          <cell r="P1767">
            <v>30.5</v>
          </cell>
          <cell r="T1767">
            <v>20.6</v>
          </cell>
          <cell r="U1767">
            <v>3</v>
          </cell>
        </row>
        <row r="1768">
          <cell r="B1768" t="str">
            <v>Female</v>
          </cell>
          <cell r="F1768">
            <v>6</v>
          </cell>
          <cell r="G1768">
            <v>24.3</v>
          </cell>
          <cell r="H1768">
            <v>11.6</v>
          </cell>
          <cell r="I1768">
            <v>67.900000000000006</v>
          </cell>
          <cell r="J1768">
            <v>5</v>
          </cell>
          <cell r="K1768">
            <v>9</v>
          </cell>
          <cell r="L1768">
            <v>99.84</v>
          </cell>
          <cell r="M1768">
            <v>74</v>
          </cell>
          <cell r="O1768">
            <v>6.6</v>
          </cell>
          <cell r="P1768">
            <v>23.8</v>
          </cell>
          <cell r="S1768">
            <v>12.4</v>
          </cell>
          <cell r="T1768">
            <v>11.7</v>
          </cell>
          <cell r="U1768">
            <v>3</v>
          </cell>
        </row>
        <row r="1769">
          <cell r="B1769" t="str">
            <v>Male</v>
          </cell>
          <cell r="F1769">
            <v>11</v>
          </cell>
          <cell r="G1769">
            <v>19.8</v>
          </cell>
          <cell r="H1769">
            <v>5.8</v>
          </cell>
          <cell r="I1769">
            <v>74.099999999999994</v>
          </cell>
          <cell r="J1769">
            <v>4</v>
          </cell>
          <cell r="K1769">
            <v>15</v>
          </cell>
          <cell r="L1769">
            <v>144.71</v>
          </cell>
          <cell r="M1769">
            <v>1</v>
          </cell>
          <cell r="N1769">
            <v>66</v>
          </cell>
          <cell r="O1769">
            <v>6.8</v>
          </cell>
          <cell r="P1769">
            <v>14.3</v>
          </cell>
          <cell r="S1769">
            <v>15.6</v>
          </cell>
          <cell r="T1769">
            <v>29.7</v>
          </cell>
          <cell r="U1769">
            <v>1</v>
          </cell>
        </row>
        <row r="1770">
          <cell r="B1770" t="str">
            <v>Female</v>
          </cell>
          <cell r="F1770">
            <v>13</v>
          </cell>
          <cell r="H1770">
            <v>10.1</v>
          </cell>
          <cell r="I1770">
            <v>64.599999999999994</v>
          </cell>
          <cell r="J1770">
            <v>5</v>
          </cell>
          <cell r="K1770">
            <v>10</v>
          </cell>
          <cell r="L1770">
            <v>128.35</v>
          </cell>
          <cell r="M1770">
            <v>7</v>
          </cell>
          <cell r="N1770">
            <v>41.5</v>
          </cell>
          <cell r="O1770">
            <v>4</v>
          </cell>
          <cell r="P1770">
            <v>9.5</v>
          </cell>
          <cell r="S1770">
            <v>28.4</v>
          </cell>
          <cell r="T1770">
            <v>9.8000000000000007</v>
          </cell>
          <cell r="U1770">
            <v>4</v>
          </cell>
        </row>
        <row r="1771">
          <cell r="B1771" t="str">
            <v>Female</v>
          </cell>
          <cell r="F1771">
            <v>8</v>
          </cell>
          <cell r="H1771">
            <v>10</v>
          </cell>
          <cell r="I1771">
            <v>74.8</v>
          </cell>
          <cell r="J1771">
            <v>4</v>
          </cell>
          <cell r="K1771">
            <v>10</v>
          </cell>
          <cell r="L1771">
            <v>144.06</v>
          </cell>
          <cell r="M1771">
            <v>4</v>
          </cell>
          <cell r="N1771">
            <v>33</v>
          </cell>
          <cell r="O1771">
            <v>9.1</v>
          </cell>
          <cell r="P1771">
            <v>0</v>
          </cell>
          <cell r="S1771">
            <v>23.6</v>
          </cell>
          <cell r="U1771">
            <v>3</v>
          </cell>
        </row>
        <row r="1772">
          <cell r="B1772" t="str">
            <v>Female</v>
          </cell>
          <cell r="F1772">
            <v>12</v>
          </cell>
          <cell r="G1772">
            <v>32.799999999999997</v>
          </cell>
          <cell r="H1772">
            <v>11.5</v>
          </cell>
          <cell r="I1772">
            <v>35.200000000000003</v>
          </cell>
          <cell r="J1772">
            <v>4</v>
          </cell>
          <cell r="K1772">
            <v>10</v>
          </cell>
          <cell r="L1772">
            <v>174.29</v>
          </cell>
          <cell r="M1772">
            <v>65</v>
          </cell>
          <cell r="N1772">
            <v>57.6</v>
          </cell>
          <cell r="O1772">
            <v>6.6</v>
          </cell>
          <cell r="P1772">
            <v>22.1</v>
          </cell>
          <cell r="S1772">
            <v>24.2</v>
          </cell>
          <cell r="T1772">
            <v>17.5</v>
          </cell>
          <cell r="U1772">
            <v>1</v>
          </cell>
        </row>
        <row r="1773">
          <cell r="B1773" t="str">
            <v>Male</v>
          </cell>
          <cell r="F1773">
            <v>8</v>
          </cell>
          <cell r="G1773">
            <v>28.3</v>
          </cell>
          <cell r="H1773">
            <v>4.0999999999999996</v>
          </cell>
          <cell r="I1773">
            <v>51.3</v>
          </cell>
          <cell r="J1773">
            <v>1</v>
          </cell>
          <cell r="K1773">
            <v>9</v>
          </cell>
          <cell r="L1773">
            <v>74.53</v>
          </cell>
          <cell r="M1773">
            <v>113</v>
          </cell>
          <cell r="N1773">
            <v>54.9</v>
          </cell>
          <cell r="O1773">
            <v>4.3</v>
          </cell>
          <cell r="P1773">
            <v>30.1</v>
          </cell>
          <cell r="S1773">
            <v>37.6</v>
          </cell>
          <cell r="T1773">
            <v>15.6</v>
          </cell>
          <cell r="U1773">
            <v>3</v>
          </cell>
        </row>
        <row r="1774">
          <cell r="B1774" t="str">
            <v>Female</v>
          </cell>
          <cell r="F1774">
            <v>8</v>
          </cell>
          <cell r="G1774">
            <v>23.3</v>
          </cell>
          <cell r="H1774">
            <v>8.5</v>
          </cell>
          <cell r="I1774">
            <v>49.5</v>
          </cell>
          <cell r="J1774">
            <v>2</v>
          </cell>
          <cell r="K1774">
            <v>7</v>
          </cell>
          <cell r="L1774">
            <v>134.02000000000001</v>
          </cell>
          <cell r="M1774">
            <v>17</v>
          </cell>
          <cell r="N1774">
            <v>41.6</v>
          </cell>
          <cell r="O1774">
            <v>9.1999999999999993</v>
          </cell>
          <cell r="P1774">
            <v>13.9</v>
          </cell>
          <cell r="S1774">
            <v>14.7</v>
          </cell>
          <cell r="T1774">
            <v>17.399999999999999</v>
          </cell>
        </row>
        <row r="1775">
          <cell r="B1775" t="str">
            <v>Female</v>
          </cell>
          <cell r="F1775">
            <v>12</v>
          </cell>
          <cell r="G1775">
            <v>18.3</v>
          </cell>
          <cell r="H1775">
            <v>6.9</v>
          </cell>
          <cell r="I1775">
            <v>78.5</v>
          </cell>
          <cell r="J1775">
            <v>3</v>
          </cell>
          <cell r="K1775" t="str">
            <v>15.600000000000001</v>
          </cell>
          <cell r="L1775">
            <v>145.16</v>
          </cell>
          <cell r="M1775">
            <v>10</v>
          </cell>
          <cell r="N1775">
            <v>55.68</v>
          </cell>
          <cell r="O1775">
            <v>2.6</v>
          </cell>
          <cell r="P1775">
            <v>15.8</v>
          </cell>
          <cell r="S1775">
            <v>12.2</v>
          </cell>
          <cell r="T1775">
            <v>11.5</v>
          </cell>
          <cell r="U1775">
            <v>2</v>
          </cell>
        </row>
        <row r="1776">
          <cell r="B1776" t="str">
            <v>Male</v>
          </cell>
          <cell r="F1776">
            <v>7</v>
          </cell>
          <cell r="G1776">
            <v>29.6</v>
          </cell>
          <cell r="H1776">
            <v>10.3</v>
          </cell>
          <cell r="I1776">
            <v>64.900000000000006</v>
          </cell>
          <cell r="K1776">
            <v>13</v>
          </cell>
          <cell r="L1776">
            <v>218.4</v>
          </cell>
          <cell r="M1776">
            <v>40</v>
          </cell>
          <cell r="O1776">
            <v>14.7</v>
          </cell>
          <cell r="P1776">
            <v>5.4</v>
          </cell>
          <cell r="S1776">
            <v>25.3</v>
          </cell>
          <cell r="T1776">
            <v>23.1</v>
          </cell>
          <cell r="U1776">
            <v>2</v>
          </cell>
        </row>
        <row r="1777">
          <cell r="B1777" t="str">
            <v>Female</v>
          </cell>
          <cell r="F1777">
            <v>11</v>
          </cell>
          <cell r="G1777">
            <v>30.3</v>
          </cell>
          <cell r="H1777">
            <v>7</v>
          </cell>
          <cell r="I1777">
            <v>62.5</v>
          </cell>
          <cell r="J1777">
            <v>5</v>
          </cell>
          <cell r="K1777">
            <v>10</v>
          </cell>
          <cell r="L1777">
            <v>118.27</v>
          </cell>
          <cell r="M1777">
            <v>2</v>
          </cell>
          <cell r="N1777">
            <v>44.8</v>
          </cell>
          <cell r="O1777">
            <v>5.3</v>
          </cell>
          <cell r="P1777">
            <v>14.8</v>
          </cell>
          <cell r="S1777">
            <v>21.3</v>
          </cell>
          <cell r="T1777">
            <v>21.6</v>
          </cell>
        </row>
        <row r="1778">
          <cell r="B1778" t="str">
            <v>Female</v>
          </cell>
          <cell r="F1778">
            <v>3</v>
          </cell>
          <cell r="G1778">
            <v>21.7</v>
          </cell>
          <cell r="H1778">
            <v>5.6</v>
          </cell>
          <cell r="I1778">
            <v>88.3</v>
          </cell>
          <cell r="J1778">
            <v>2</v>
          </cell>
          <cell r="K1778">
            <v>9.1</v>
          </cell>
          <cell r="L1778">
            <v>84.47</v>
          </cell>
          <cell r="M1778">
            <v>7</v>
          </cell>
          <cell r="N1778">
            <v>33.36</v>
          </cell>
          <cell r="O1778">
            <v>13.3</v>
          </cell>
          <cell r="P1778">
            <v>5.3</v>
          </cell>
          <cell r="S1778">
            <v>12.7</v>
          </cell>
          <cell r="T1778">
            <v>8.1999999999999993</v>
          </cell>
          <cell r="U1778">
            <v>1</v>
          </cell>
        </row>
        <row r="1779">
          <cell r="B1779" t="str">
            <v>Female</v>
          </cell>
          <cell r="F1779">
            <v>5</v>
          </cell>
          <cell r="H1779">
            <v>6.9</v>
          </cell>
          <cell r="I1779">
            <v>65.7</v>
          </cell>
          <cell r="J1779">
            <v>6</v>
          </cell>
          <cell r="K1779">
            <v>11</v>
          </cell>
          <cell r="L1779">
            <v>116.28</v>
          </cell>
          <cell r="M1779">
            <v>4</v>
          </cell>
          <cell r="N1779">
            <v>11</v>
          </cell>
          <cell r="O1779">
            <v>3.3</v>
          </cell>
          <cell r="P1779">
            <v>13.2</v>
          </cell>
          <cell r="S1779">
            <v>44.9</v>
          </cell>
          <cell r="T1779">
            <v>10.5</v>
          </cell>
          <cell r="U1779">
            <v>2</v>
          </cell>
        </row>
        <row r="1780">
          <cell r="B1780" t="str">
            <v>Female</v>
          </cell>
          <cell r="F1780">
            <v>1</v>
          </cell>
          <cell r="G1780">
            <v>1</v>
          </cell>
          <cell r="H1780">
            <v>3.8</v>
          </cell>
          <cell r="I1780">
            <v>58.5</v>
          </cell>
          <cell r="J1780">
            <v>2</v>
          </cell>
          <cell r="K1780">
            <v>5</v>
          </cell>
          <cell r="L1780">
            <v>102.86</v>
          </cell>
          <cell r="M1780">
            <v>40</v>
          </cell>
          <cell r="N1780">
            <v>74.7</v>
          </cell>
          <cell r="O1780">
            <v>11.1</v>
          </cell>
          <cell r="P1780">
            <v>17.8</v>
          </cell>
          <cell r="S1780">
            <v>0</v>
          </cell>
          <cell r="T1780">
            <v>19.5</v>
          </cell>
          <cell r="U1780">
            <v>4</v>
          </cell>
        </row>
        <row r="1781">
          <cell r="B1781" t="str">
            <v>Female</v>
          </cell>
          <cell r="F1781">
            <v>19</v>
          </cell>
          <cell r="G1781">
            <v>25.3</v>
          </cell>
          <cell r="H1781">
            <v>8.9</v>
          </cell>
          <cell r="I1781">
            <v>60</v>
          </cell>
          <cell r="J1781">
            <v>6</v>
          </cell>
          <cell r="K1781">
            <v>19</v>
          </cell>
          <cell r="L1781">
            <v>138.71</v>
          </cell>
          <cell r="M1781">
            <v>30</v>
          </cell>
          <cell r="N1781">
            <v>36.5</v>
          </cell>
          <cell r="O1781">
            <v>16.100000000000001</v>
          </cell>
          <cell r="P1781">
            <v>18.5</v>
          </cell>
          <cell r="S1781">
            <v>26.9</v>
          </cell>
          <cell r="T1781">
            <v>33.5</v>
          </cell>
        </row>
        <row r="1782">
          <cell r="B1782" t="str">
            <v>Male</v>
          </cell>
          <cell r="F1782">
            <v>3</v>
          </cell>
          <cell r="G1782">
            <v>15.6</v>
          </cell>
          <cell r="H1782">
            <v>5.6</v>
          </cell>
          <cell r="I1782">
            <v>76.400000000000006</v>
          </cell>
          <cell r="J1782">
            <v>0</v>
          </cell>
          <cell r="K1782">
            <v>6</v>
          </cell>
          <cell r="L1782">
            <v>259.93</v>
          </cell>
          <cell r="M1782">
            <v>10</v>
          </cell>
          <cell r="N1782">
            <v>7.7</v>
          </cell>
          <cell r="P1782">
            <v>0</v>
          </cell>
          <cell r="T1782">
            <v>3.3</v>
          </cell>
          <cell r="U1782">
            <v>4</v>
          </cell>
        </row>
        <row r="1783">
          <cell r="B1783" t="str">
            <v>Female</v>
          </cell>
          <cell r="F1783">
            <v>7</v>
          </cell>
          <cell r="G1783">
            <v>7.9</v>
          </cell>
          <cell r="H1783">
            <v>6.3</v>
          </cell>
          <cell r="I1783">
            <v>76.3</v>
          </cell>
          <cell r="J1783">
            <v>1</v>
          </cell>
          <cell r="K1783">
            <v>11</v>
          </cell>
          <cell r="L1783">
            <v>118.15</v>
          </cell>
          <cell r="M1783">
            <v>7</v>
          </cell>
          <cell r="N1783">
            <v>18.7</v>
          </cell>
          <cell r="P1783">
            <v>29.2</v>
          </cell>
          <cell r="S1783">
            <v>33.5</v>
          </cell>
          <cell r="T1783">
            <v>22.2</v>
          </cell>
          <cell r="U1783">
            <v>1</v>
          </cell>
        </row>
        <row r="1784">
          <cell r="B1784" t="str">
            <v>Male</v>
          </cell>
          <cell r="F1784">
            <v>6</v>
          </cell>
          <cell r="G1784">
            <v>6</v>
          </cell>
          <cell r="H1784">
            <v>3.2</v>
          </cell>
          <cell r="I1784">
            <v>74.400000000000006</v>
          </cell>
          <cell r="J1784">
            <v>1</v>
          </cell>
          <cell r="K1784">
            <v>10.4</v>
          </cell>
          <cell r="L1784">
            <v>108.06</v>
          </cell>
          <cell r="M1784">
            <v>2</v>
          </cell>
          <cell r="N1784">
            <v>34.56</v>
          </cell>
          <cell r="P1784">
            <v>11.1</v>
          </cell>
          <cell r="S1784">
            <v>4.9000000000000004</v>
          </cell>
          <cell r="T1784">
            <v>8.6</v>
          </cell>
          <cell r="U1784">
            <v>2</v>
          </cell>
        </row>
        <row r="1785">
          <cell r="B1785" t="str">
            <v>Female</v>
          </cell>
          <cell r="F1785">
            <v>12</v>
          </cell>
          <cell r="G1785">
            <v>22.7</v>
          </cell>
          <cell r="H1785">
            <v>7.5</v>
          </cell>
          <cell r="I1785">
            <v>72.2</v>
          </cell>
          <cell r="J1785">
            <v>1</v>
          </cell>
          <cell r="K1785">
            <v>16</v>
          </cell>
          <cell r="L1785">
            <v>65.510000000000005</v>
          </cell>
          <cell r="M1785">
            <v>8</v>
          </cell>
          <cell r="N1785">
            <v>13.6</v>
          </cell>
          <cell r="O1785">
            <v>3.5</v>
          </cell>
          <cell r="P1785">
            <v>5.9</v>
          </cell>
          <cell r="S1785">
            <v>17.399999999999999</v>
          </cell>
          <cell r="T1785">
            <v>21.5</v>
          </cell>
          <cell r="U1785">
            <v>3</v>
          </cell>
        </row>
        <row r="1786">
          <cell r="B1786" t="str">
            <v>Female</v>
          </cell>
          <cell r="F1786">
            <v>10</v>
          </cell>
          <cell r="G1786">
            <v>22.1</v>
          </cell>
          <cell r="H1786">
            <v>7.1</v>
          </cell>
          <cell r="I1786">
            <v>71</v>
          </cell>
          <cell r="J1786">
            <v>3</v>
          </cell>
          <cell r="K1786">
            <v>8</v>
          </cell>
          <cell r="L1786">
            <v>86.96</v>
          </cell>
          <cell r="M1786">
            <v>14</v>
          </cell>
          <cell r="N1786">
            <v>46.7</v>
          </cell>
          <cell r="O1786">
            <v>6.3</v>
          </cell>
          <cell r="P1786">
            <v>22.2</v>
          </cell>
          <cell r="S1786">
            <v>27.2</v>
          </cell>
          <cell r="T1786">
            <v>12.2</v>
          </cell>
          <cell r="U1786">
            <v>3</v>
          </cell>
        </row>
        <row r="1787">
          <cell r="B1787" t="str">
            <v>Female</v>
          </cell>
          <cell r="F1787">
            <v>14</v>
          </cell>
          <cell r="G1787">
            <v>32.700000000000003</v>
          </cell>
          <cell r="H1787">
            <v>6.9</v>
          </cell>
          <cell r="I1787">
            <v>47.8</v>
          </cell>
          <cell r="J1787">
            <v>3</v>
          </cell>
          <cell r="K1787">
            <v>14</v>
          </cell>
          <cell r="L1787">
            <v>198.83</v>
          </cell>
          <cell r="M1787">
            <v>97</v>
          </cell>
          <cell r="N1787">
            <v>16.600000000000001</v>
          </cell>
          <cell r="O1787">
            <v>4.9000000000000004</v>
          </cell>
          <cell r="P1787">
            <v>16.3</v>
          </cell>
          <cell r="T1787">
            <v>14.8</v>
          </cell>
        </row>
        <row r="1788">
          <cell r="B1788" t="str">
            <v>Male</v>
          </cell>
          <cell r="F1788">
            <v>8</v>
          </cell>
          <cell r="H1788">
            <v>6.6</v>
          </cell>
          <cell r="I1788">
            <v>68.099999999999994</v>
          </cell>
          <cell r="J1788">
            <v>1</v>
          </cell>
          <cell r="K1788">
            <v>13</v>
          </cell>
          <cell r="L1788">
            <v>79.77</v>
          </cell>
          <cell r="M1788">
            <v>6</v>
          </cell>
          <cell r="N1788">
            <v>5.6</v>
          </cell>
          <cell r="O1788">
            <v>1</v>
          </cell>
          <cell r="P1788">
            <v>12.3</v>
          </cell>
          <cell r="S1788">
            <v>22.9</v>
          </cell>
          <cell r="T1788">
            <v>4.9000000000000004</v>
          </cell>
          <cell r="U1788">
            <v>2</v>
          </cell>
        </row>
        <row r="1789">
          <cell r="B1789" t="str">
            <v>Female</v>
          </cell>
          <cell r="F1789">
            <v>16</v>
          </cell>
          <cell r="G1789">
            <v>27.8</v>
          </cell>
          <cell r="H1789">
            <v>12.4</v>
          </cell>
          <cell r="I1789">
            <v>46.9</v>
          </cell>
          <cell r="J1789">
            <v>6</v>
          </cell>
          <cell r="K1789">
            <v>13</v>
          </cell>
          <cell r="L1789">
            <v>116.65</v>
          </cell>
          <cell r="M1789">
            <v>4</v>
          </cell>
          <cell r="N1789">
            <v>17.100000000000001</v>
          </cell>
          <cell r="O1789">
            <v>0.9</v>
          </cell>
          <cell r="P1789">
            <v>36.799999999999997</v>
          </cell>
          <cell r="S1789">
            <v>31.4</v>
          </cell>
          <cell r="T1789">
            <v>22.8</v>
          </cell>
          <cell r="U1789">
            <v>2</v>
          </cell>
        </row>
        <row r="1790">
          <cell r="B1790" t="str">
            <v>Female</v>
          </cell>
          <cell r="F1790">
            <v>18</v>
          </cell>
          <cell r="G1790">
            <v>31.2</v>
          </cell>
          <cell r="H1790">
            <v>12.1</v>
          </cell>
          <cell r="I1790">
            <v>58.4</v>
          </cell>
          <cell r="J1790">
            <v>6</v>
          </cell>
          <cell r="K1790">
            <v>18</v>
          </cell>
          <cell r="L1790">
            <v>166.7</v>
          </cell>
          <cell r="M1790">
            <v>24</v>
          </cell>
          <cell r="N1790">
            <v>29.1</v>
          </cell>
          <cell r="O1790">
            <v>1.5</v>
          </cell>
          <cell r="P1790">
            <v>34</v>
          </cell>
          <cell r="T1790">
            <v>28.4</v>
          </cell>
          <cell r="U1790">
            <v>1</v>
          </cell>
        </row>
        <row r="1791">
          <cell r="B1791" t="str">
            <v>Female</v>
          </cell>
          <cell r="F1791">
            <v>9</v>
          </cell>
          <cell r="G1791">
            <v>17.2</v>
          </cell>
          <cell r="H1791">
            <v>7.9</v>
          </cell>
          <cell r="I1791">
            <v>57.6</v>
          </cell>
          <cell r="J1791">
            <v>4</v>
          </cell>
          <cell r="K1791">
            <v>8</v>
          </cell>
          <cell r="L1791">
            <v>112.24</v>
          </cell>
          <cell r="M1791">
            <v>18</v>
          </cell>
          <cell r="N1791">
            <v>60.4</v>
          </cell>
          <cell r="O1791">
            <v>6.6</v>
          </cell>
          <cell r="P1791">
            <v>14.9</v>
          </cell>
          <cell r="S1791">
            <v>12.1</v>
          </cell>
          <cell r="T1791">
            <v>12.8</v>
          </cell>
          <cell r="U1791">
            <v>1</v>
          </cell>
        </row>
        <row r="1792">
          <cell r="B1792" t="str">
            <v>Female</v>
          </cell>
          <cell r="F1792">
            <v>13</v>
          </cell>
          <cell r="G1792">
            <v>28.8</v>
          </cell>
          <cell r="H1792">
            <v>9.6999999999999993</v>
          </cell>
          <cell r="I1792">
            <v>62.7</v>
          </cell>
          <cell r="J1792">
            <v>6</v>
          </cell>
          <cell r="K1792">
            <v>18</v>
          </cell>
          <cell r="L1792">
            <v>74.62</v>
          </cell>
          <cell r="M1792">
            <v>93</v>
          </cell>
          <cell r="N1792">
            <v>34.5</v>
          </cell>
          <cell r="O1792">
            <v>1.7</v>
          </cell>
          <cell r="P1792">
            <v>27</v>
          </cell>
          <cell r="S1792">
            <v>31.2</v>
          </cell>
          <cell r="T1792">
            <v>23.3</v>
          </cell>
          <cell r="U1792">
            <v>3</v>
          </cell>
        </row>
        <row r="1793">
          <cell r="B1793" t="str">
            <v>Male</v>
          </cell>
          <cell r="F1793">
            <v>13</v>
          </cell>
          <cell r="G1793">
            <v>12.6</v>
          </cell>
          <cell r="H1793">
            <v>9.4</v>
          </cell>
          <cell r="I1793">
            <v>59.2</v>
          </cell>
          <cell r="J1793">
            <v>4</v>
          </cell>
          <cell r="K1793" t="str">
            <v>7.800000000000001</v>
          </cell>
          <cell r="L1793">
            <v>96.93</v>
          </cell>
          <cell r="M1793">
            <v>4</v>
          </cell>
          <cell r="N1793">
            <v>8.2799999999999994</v>
          </cell>
          <cell r="O1793">
            <v>8.9</v>
          </cell>
          <cell r="P1793">
            <v>9.8000000000000007</v>
          </cell>
          <cell r="S1793">
            <v>33.6</v>
          </cell>
          <cell r="T1793">
            <v>19.3</v>
          </cell>
          <cell r="U1793">
            <v>5</v>
          </cell>
        </row>
        <row r="1794">
          <cell r="B1794" t="str">
            <v>Male</v>
          </cell>
          <cell r="F1794">
            <v>3</v>
          </cell>
          <cell r="H1794">
            <v>6.5</v>
          </cell>
          <cell r="I1794">
            <v>64.099999999999994</v>
          </cell>
          <cell r="J1794">
            <v>2</v>
          </cell>
          <cell r="K1794">
            <v>9.1</v>
          </cell>
          <cell r="L1794">
            <v>155.5</v>
          </cell>
          <cell r="M1794">
            <v>2</v>
          </cell>
          <cell r="O1794">
            <v>11.5</v>
          </cell>
          <cell r="S1794">
            <v>34</v>
          </cell>
          <cell r="U1794">
            <v>1</v>
          </cell>
        </row>
        <row r="1795">
          <cell r="B1795" t="str">
            <v>Female</v>
          </cell>
          <cell r="F1795">
            <v>21</v>
          </cell>
          <cell r="G1795">
            <v>42.3</v>
          </cell>
          <cell r="H1795">
            <v>14.4</v>
          </cell>
          <cell r="I1795">
            <v>34.200000000000003</v>
          </cell>
          <cell r="J1795">
            <v>12</v>
          </cell>
          <cell r="K1795">
            <v>21</v>
          </cell>
          <cell r="L1795">
            <v>213.32</v>
          </cell>
          <cell r="M1795">
            <v>2</v>
          </cell>
          <cell r="N1795">
            <v>47</v>
          </cell>
          <cell r="O1795">
            <v>13.9</v>
          </cell>
          <cell r="P1795">
            <v>48.5</v>
          </cell>
          <cell r="S1795">
            <v>24.9</v>
          </cell>
          <cell r="T1795">
            <v>31.4</v>
          </cell>
          <cell r="U1795">
            <v>3</v>
          </cell>
        </row>
        <row r="1796">
          <cell r="B1796" t="str">
            <v>Male</v>
          </cell>
          <cell r="F1796">
            <v>5</v>
          </cell>
          <cell r="G1796">
            <v>22.4</v>
          </cell>
          <cell r="H1796">
            <v>6.9</v>
          </cell>
          <cell r="I1796">
            <v>63.2</v>
          </cell>
          <cell r="J1796">
            <v>2</v>
          </cell>
          <cell r="K1796">
            <v>3</v>
          </cell>
          <cell r="L1796">
            <v>71.239999999999995</v>
          </cell>
          <cell r="M1796">
            <v>11</v>
          </cell>
          <cell r="N1796">
            <v>60.6</v>
          </cell>
          <cell r="O1796">
            <v>0.3</v>
          </cell>
          <cell r="P1796">
            <v>4.5</v>
          </cell>
          <cell r="S1796">
            <v>0</v>
          </cell>
          <cell r="T1796">
            <v>12.7</v>
          </cell>
          <cell r="U1796">
            <v>2</v>
          </cell>
        </row>
        <row r="1797">
          <cell r="B1797" t="str">
            <v>Female</v>
          </cell>
          <cell r="F1797">
            <v>5</v>
          </cell>
          <cell r="G1797">
            <v>11.9</v>
          </cell>
          <cell r="H1797">
            <v>3.2</v>
          </cell>
          <cell r="I1797">
            <v>43.4</v>
          </cell>
          <cell r="J1797">
            <v>3</v>
          </cell>
          <cell r="K1797">
            <v>8</v>
          </cell>
          <cell r="L1797">
            <v>71.209999999999994</v>
          </cell>
          <cell r="M1797">
            <v>2</v>
          </cell>
          <cell r="N1797">
            <v>17.899999999999999</v>
          </cell>
          <cell r="O1797">
            <v>4.4000000000000004</v>
          </cell>
          <cell r="P1797">
            <v>0</v>
          </cell>
          <cell r="S1797">
            <v>0</v>
          </cell>
          <cell r="T1797">
            <v>6.1</v>
          </cell>
          <cell r="U1797">
            <v>3</v>
          </cell>
        </row>
        <row r="1798">
          <cell r="B1798" t="str">
            <v>Male</v>
          </cell>
          <cell r="F1798">
            <v>12</v>
          </cell>
          <cell r="G1798">
            <v>14.6</v>
          </cell>
          <cell r="H1798">
            <v>4.5999999999999996</v>
          </cell>
          <cell r="I1798">
            <v>51</v>
          </cell>
          <cell r="J1798">
            <v>0</v>
          </cell>
          <cell r="K1798">
            <v>15</v>
          </cell>
          <cell r="L1798">
            <v>93.99</v>
          </cell>
          <cell r="M1798">
            <v>34</v>
          </cell>
          <cell r="N1798">
            <v>35.4</v>
          </cell>
          <cell r="O1798">
            <v>4.7</v>
          </cell>
          <cell r="P1798">
            <v>18.600000000000001</v>
          </cell>
          <cell r="S1798">
            <v>28.7</v>
          </cell>
          <cell r="T1798">
            <v>20.3</v>
          </cell>
          <cell r="U1798">
            <v>5</v>
          </cell>
        </row>
        <row r="1799">
          <cell r="B1799" t="str">
            <v>Female</v>
          </cell>
          <cell r="F1799">
            <v>12</v>
          </cell>
          <cell r="H1799">
            <v>10.4</v>
          </cell>
          <cell r="I1799">
            <v>62.4</v>
          </cell>
          <cell r="J1799">
            <v>5</v>
          </cell>
          <cell r="K1799" t="str">
            <v>16.900000000000002</v>
          </cell>
          <cell r="L1799">
            <v>182.22</v>
          </cell>
          <cell r="M1799">
            <v>21</v>
          </cell>
          <cell r="O1799">
            <v>11.5</v>
          </cell>
          <cell r="P1799">
            <v>28.6</v>
          </cell>
          <cell r="S1799">
            <v>22.1</v>
          </cell>
          <cell r="T1799">
            <v>23.1</v>
          </cell>
          <cell r="U1799">
            <v>2</v>
          </cell>
        </row>
        <row r="1800">
          <cell r="B1800" t="str">
            <v>Female</v>
          </cell>
          <cell r="F1800">
            <v>25</v>
          </cell>
          <cell r="G1800">
            <v>22.2</v>
          </cell>
          <cell r="H1800">
            <v>9.1999999999999993</v>
          </cell>
          <cell r="I1800">
            <v>67.8</v>
          </cell>
          <cell r="J1800">
            <v>5</v>
          </cell>
          <cell r="K1800">
            <v>12</v>
          </cell>
          <cell r="L1800">
            <v>100.88</v>
          </cell>
          <cell r="M1800">
            <v>28</v>
          </cell>
          <cell r="N1800">
            <v>26.3</v>
          </cell>
          <cell r="O1800">
            <v>4.5999999999999996</v>
          </cell>
          <cell r="P1800">
            <v>39.9</v>
          </cell>
          <cell r="S1800">
            <v>39.9</v>
          </cell>
          <cell r="T1800">
            <v>20.3</v>
          </cell>
          <cell r="U1800">
            <v>1</v>
          </cell>
        </row>
        <row r="1801">
          <cell r="B1801" t="str">
            <v>Male</v>
          </cell>
          <cell r="F1801">
            <v>19</v>
          </cell>
          <cell r="G1801">
            <v>38.299999999999997</v>
          </cell>
          <cell r="H1801">
            <v>14.4</v>
          </cell>
          <cell r="I1801">
            <v>27.5</v>
          </cell>
          <cell r="J1801">
            <v>10</v>
          </cell>
          <cell r="K1801">
            <v>27.3</v>
          </cell>
          <cell r="L1801">
            <v>87.38</v>
          </cell>
          <cell r="M1801">
            <v>6</v>
          </cell>
          <cell r="N1801">
            <v>25.92</v>
          </cell>
          <cell r="O1801">
            <v>7.7</v>
          </cell>
          <cell r="P1801">
            <v>28.9</v>
          </cell>
          <cell r="S1801">
            <v>57.9</v>
          </cell>
          <cell r="T1801">
            <v>34.4</v>
          </cell>
          <cell r="U1801">
            <v>2</v>
          </cell>
        </row>
        <row r="1802">
          <cell r="B1802" t="str">
            <v>Female</v>
          </cell>
          <cell r="F1802">
            <v>11</v>
          </cell>
          <cell r="G1802">
            <v>38.6</v>
          </cell>
          <cell r="H1802">
            <v>9</v>
          </cell>
          <cell r="I1802">
            <v>42.8</v>
          </cell>
          <cell r="J1802">
            <v>4</v>
          </cell>
          <cell r="K1802">
            <v>14</v>
          </cell>
          <cell r="L1802">
            <v>93.58</v>
          </cell>
          <cell r="M1802">
            <v>36</v>
          </cell>
          <cell r="N1802">
            <v>29.5</v>
          </cell>
          <cell r="O1802">
            <v>2.1</v>
          </cell>
          <cell r="P1802">
            <v>26.4</v>
          </cell>
          <cell r="S1802">
            <v>41.3</v>
          </cell>
          <cell r="T1802">
            <v>14.4</v>
          </cell>
          <cell r="U1802">
            <v>3</v>
          </cell>
        </row>
        <row r="1803">
          <cell r="B1803" t="str">
            <v>Female</v>
          </cell>
          <cell r="F1803">
            <v>4</v>
          </cell>
          <cell r="H1803">
            <v>5.2</v>
          </cell>
          <cell r="I1803">
            <v>60.3</v>
          </cell>
          <cell r="K1803">
            <v>12</v>
          </cell>
          <cell r="L1803">
            <v>101.59</v>
          </cell>
          <cell r="M1803">
            <v>32</v>
          </cell>
          <cell r="N1803">
            <v>34.9</v>
          </cell>
          <cell r="O1803">
            <v>16.2</v>
          </cell>
          <cell r="P1803">
            <v>10.199999999999999</v>
          </cell>
          <cell r="S1803">
            <v>36.799999999999997</v>
          </cell>
          <cell r="T1803">
            <v>5</v>
          </cell>
          <cell r="U1803">
            <v>1</v>
          </cell>
        </row>
        <row r="1804">
          <cell r="B1804" t="str">
            <v>Female</v>
          </cell>
          <cell r="F1804">
            <v>2</v>
          </cell>
          <cell r="G1804">
            <v>22.8</v>
          </cell>
          <cell r="H1804">
            <v>6.1</v>
          </cell>
          <cell r="I1804">
            <v>52</v>
          </cell>
          <cell r="J1804">
            <v>2</v>
          </cell>
          <cell r="K1804">
            <v>7</v>
          </cell>
          <cell r="L1804">
            <v>147.6</v>
          </cell>
          <cell r="M1804">
            <v>13</v>
          </cell>
          <cell r="N1804">
            <v>39.4</v>
          </cell>
          <cell r="P1804">
            <v>28.6</v>
          </cell>
          <cell r="S1804">
            <v>0</v>
          </cell>
          <cell r="T1804">
            <v>18.2</v>
          </cell>
          <cell r="U1804">
            <v>3</v>
          </cell>
        </row>
        <row r="1805">
          <cell r="B1805" t="str">
            <v>Male</v>
          </cell>
          <cell r="F1805">
            <v>8</v>
          </cell>
          <cell r="H1805">
            <v>5.6</v>
          </cell>
          <cell r="I1805">
            <v>71.7</v>
          </cell>
          <cell r="J1805">
            <v>5</v>
          </cell>
          <cell r="K1805">
            <v>16</v>
          </cell>
          <cell r="L1805">
            <v>177.48</v>
          </cell>
          <cell r="M1805">
            <v>39</v>
          </cell>
          <cell r="O1805">
            <v>2.8</v>
          </cell>
          <cell r="P1805">
            <v>0</v>
          </cell>
          <cell r="T1805">
            <v>19.5</v>
          </cell>
          <cell r="U1805">
            <v>2</v>
          </cell>
        </row>
        <row r="1806">
          <cell r="B1806" t="str">
            <v>Female</v>
          </cell>
          <cell r="F1806">
            <v>13</v>
          </cell>
          <cell r="G1806">
            <v>30.3</v>
          </cell>
          <cell r="H1806">
            <v>10.3</v>
          </cell>
          <cell r="I1806">
            <v>52.2</v>
          </cell>
          <cell r="J1806">
            <v>6</v>
          </cell>
          <cell r="K1806">
            <v>16</v>
          </cell>
          <cell r="L1806">
            <v>211.46</v>
          </cell>
          <cell r="M1806">
            <v>1</v>
          </cell>
          <cell r="N1806">
            <v>42.3</v>
          </cell>
          <cell r="O1806">
            <v>1.2</v>
          </cell>
          <cell r="P1806">
            <v>25.1</v>
          </cell>
          <cell r="S1806">
            <v>56.4</v>
          </cell>
          <cell r="T1806">
            <v>21.8</v>
          </cell>
          <cell r="U1806">
            <v>2</v>
          </cell>
        </row>
        <row r="1807">
          <cell r="B1807" t="str">
            <v>Female</v>
          </cell>
          <cell r="F1807">
            <v>4</v>
          </cell>
          <cell r="G1807">
            <v>17.100000000000001</v>
          </cell>
          <cell r="H1807">
            <v>9.8000000000000007</v>
          </cell>
          <cell r="I1807">
            <v>78.5</v>
          </cell>
          <cell r="J1807">
            <v>3</v>
          </cell>
          <cell r="K1807">
            <v>5</v>
          </cell>
          <cell r="L1807">
            <v>178.29</v>
          </cell>
          <cell r="M1807">
            <v>14</v>
          </cell>
          <cell r="N1807">
            <v>44.9</v>
          </cell>
          <cell r="O1807">
            <v>8.6</v>
          </cell>
          <cell r="P1807">
            <v>15</v>
          </cell>
          <cell r="S1807">
            <v>21.4</v>
          </cell>
          <cell r="T1807">
            <v>10.8</v>
          </cell>
          <cell r="U1807">
            <v>2</v>
          </cell>
        </row>
        <row r="1808">
          <cell r="B1808" t="str">
            <v>Male</v>
          </cell>
          <cell r="F1808">
            <v>30</v>
          </cell>
          <cell r="G1808">
            <v>48.6</v>
          </cell>
          <cell r="H1808">
            <v>16.399999999999999</v>
          </cell>
          <cell r="I1808">
            <v>41.9</v>
          </cell>
          <cell r="J1808">
            <v>8</v>
          </cell>
          <cell r="K1808">
            <v>20.8</v>
          </cell>
          <cell r="L1808">
            <v>160.55000000000001</v>
          </cell>
          <cell r="M1808">
            <v>18</v>
          </cell>
          <cell r="N1808">
            <v>47.52</v>
          </cell>
          <cell r="O1808">
            <v>1.8</v>
          </cell>
          <cell r="P1808">
            <v>45.9</v>
          </cell>
          <cell r="S1808">
            <v>70</v>
          </cell>
          <cell r="U1808">
            <v>2</v>
          </cell>
        </row>
        <row r="1809">
          <cell r="B1809" t="str">
            <v>Female</v>
          </cell>
          <cell r="F1809">
            <v>15</v>
          </cell>
          <cell r="G1809">
            <v>45.1</v>
          </cell>
          <cell r="H1809">
            <v>12.9</v>
          </cell>
          <cell r="I1809">
            <v>37.299999999999997</v>
          </cell>
          <cell r="J1809">
            <v>4</v>
          </cell>
          <cell r="K1809">
            <v>14</v>
          </cell>
          <cell r="L1809">
            <v>103.11</v>
          </cell>
          <cell r="M1809">
            <v>0</v>
          </cell>
          <cell r="N1809">
            <v>48.8</v>
          </cell>
          <cell r="O1809">
            <v>4.5999999999999996</v>
          </cell>
          <cell r="P1809">
            <v>7.9</v>
          </cell>
          <cell r="S1809">
            <v>59</v>
          </cell>
          <cell r="T1809">
            <v>23.5</v>
          </cell>
          <cell r="U1809">
            <v>1</v>
          </cell>
        </row>
        <row r="1810">
          <cell r="B1810" t="str">
            <v>Female</v>
          </cell>
          <cell r="F1810">
            <v>2</v>
          </cell>
          <cell r="G1810">
            <v>24.4</v>
          </cell>
          <cell r="H1810">
            <v>8.3000000000000007</v>
          </cell>
          <cell r="I1810">
            <v>69.099999999999994</v>
          </cell>
          <cell r="J1810">
            <v>4</v>
          </cell>
          <cell r="K1810">
            <v>14.3</v>
          </cell>
          <cell r="L1810">
            <v>122.62</v>
          </cell>
          <cell r="M1810">
            <v>41</v>
          </cell>
          <cell r="O1810">
            <v>0.3</v>
          </cell>
          <cell r="P1810">
            <v>31.3</v>
          </cell>
          <cell r="S1810">
            <v>17.3</v>
          </cell>
          <cell r="T1810">
            <v>19</v>
          </cell>
          <cell r="U1810">
            <v>4</v>
          </cell>
        </row>
        <row r="1811">
          <cell r="B1811" t="str">
            <v>Female</v>
          </cell>
          <cell r="F1811">
            <v>39</v>
          </cell>
          <cell r="G1811">
            <v>28.6</v>
          </cell>
          <cell r="H1811">
            <v>10.199999999999999</v>
          </cell>
          <cell r="I1811">
            <v>40.299999999999997</v>
          </cell>
          <cell r="J1811">
            <v>7</v>
          </cell>
          <cell r="K1811" t="str">
            <v>23.400000000000002</v>
          </cell>
          <cell r="L1811">
            <v>235.8</v>
          </cell>
          <cell r="M1811">
            <v>136</v>
          </cell>
          <cell r="N1811">
            <v>40.68</v>
          </cell>
          <cell r="O1811">
            <v>11</v>
          </cell>
          <cell r="P1811">
            <v>51.9</v>
          </cell>
          <cell r="T1811">
            <v>27.9</v>
          </cell>
          <cell r="U1811">
            <v>3</v>
          </cell>
        </row>
        <row r="1812">
          <cell r="B1812" t="str">
            <v>Male</v>
          </cell>
          <cell r="F1812">
            <v>13</v>
          </cell>
          <cell r="G1812">
            <v>18.7</v>
          </cell>
          <cell r="H1812">
            <v>5.7</v>
          </cell>
          <cell r="I1812">
            <v>66.400000000000006</v>
          </cell>
          <cell r="J1812">
            <v>3</v>
          </cell>
          <cell r="K1812">
            <v>6</v>
          </cell>
          <cell r="L1812">
            <v>108.63</v>
          </cell>
          <cell r="M1812">
            <v>38</v>
          </cell>
          <cell r="N1812">
            <v>10.4</v>
          </cell>
          <cell r="O1812">
            <v>11.6</v>
          </cell>
          <cell r="P1812">
            <v>24.8</v>
          </cell>
          <cell r="S1812">
            <v>32.799999999999997</v>
          </cell>
          <cell r="T1812">
            <v>11.9</v>
          </cell>
        </row>
        <row r="1813">
          <cell r="B1813" t="str">
            <v>Female</v>
          </cell>
          <cell r="F1813">
            <v>10</v>
          </cell>
          <cell r="G1813">
            <v>38.799999999999997</v>
          </cell>
          <cell r="H1813">
            <v>10.6</v>
          </cell>
          <cell r="I1813">
            <v>53.4</v>
          </cell>
          <cell r="J1813">
            <v>2</v>
          </cell>
          <cell r="K1813">
            <v>16</v>
          </cell>
          <cell r="L1813">
            <v>144.9</v>
          </cell>
          <cell r="M1813">
            <v>65</v>
          </cell>
          <cell r="N1813">
            <v>52.9</v>
          </cell>
          <cell r="O1813">
            <v>0.8</v>
          </cell>
          <cell r="P1813">
            <v>25.8</v>
          </cell>
          <cell r="U1813">
            <v>4</v>
          </cell>
        </row>
        <row r="1814">
          <cell r="B1814" t="str">
            <v>Female</v>
          </cell>
          <cell r="F1814">
            <v>6</v>
          </cell>
          <cell r="G1814">
            <v>34.200000000000003</v>
          </cell>
          <cell r="H1814">
            <v>7.7</v>
          </cell>
          <cell r="I1814">
            <v>59.5</v>
          </cell>
          <cell r="J1814">
            <v>2</v>
          </cell>
          <cell r="K1814">
            <v>20</v>
          </cell>
          <cell r="L1814">
            <v>60.76</v>
          </cell>
          <cell r="M1814">
            <v>4</v>
          </cell>
          <cell r="N1814">
            <v>26.2</v>
          </cell>
          <cell r="P1814">
            <v>5.6</v>
          </cell>
          <cell r="T1814">
            <v>17.899999999999999</v>
          </cell>
          <cell r="U1814">
            <v>3</v>
          </cell>
        </row>
        <row r="1815">
          <cell r="B1815" t="str">
            <v>Male</v>
          </cell>
          <cell r="F1815">
            <v>22</v>
          </cell>
          <cell r="G1815">
            <v>38.299999999999997</v>
          </cell>
          <cell r="H1815">
            <v>13.9</v>
          </cell>
          <cell r="I1815">
            <v>40.5</v>
          </cell>
          <cell r="K1815">
            <v>22</v>
          </cell>
          <cell r="L1815">
            <v>76.53</v>
          </cell>
          <cell r="N1815">
            <v>51</v>
          </cell>
          <cell r="O1815">
            <v>10.4</v>
          </cell>
          <cell r="P1815">
            <v>26.3</v>
          </cell>
          <cell r="T1815">
            <v>29.3</v>
          </cell>
          <cell r="U1815">
            <v>3</v>
          </cell>
        </row>
        <row r="1816">
          <cell r="B1816" t="str">
            <v>Female</v>
          </cell>
          <cell r="F1816">
            <v>6</v>
          </cell>
          <cell r="G1816">
            <v>18.7</v>
          </cell>
          <cell r="H1816">
            <v>5.7</v>
          </cell>
          <cell r="I1816">
            <v>63.2</v>
          </cell>
          <cell r="J1816">
            <v>1</v>
          </cell>
          <cell r="K1816">
            <v>11</v>
          </cell>
          <cell r="L1816">
            <v>92.34</v>
          </cell>
          <cell r="M1816">
            <v>2</v>
          </cell>
          <cell r="N1816">
            <v>36.9</v>
          </cell>
          <cell r="O1816">
            <v>20</v>
          </cell>
          <cell r="P1816">
            <v>12.3</v>
          </cell>
          <cell r="T1816">
            <v>9</v>
          </cell>
          <cell r="U1816">
            <v>2</v>
          </cell>
        </row>
        <row r="1817">
          <cell r="B1817" t="str">
            <v>Male</v>
          </cell>
          <cell r="F1817">
            <v>11</v>
          </cell>
          <cell r="G1817">
            <v>26.1</v>
          </cell>
          <cell r="I1817">
            <v>50.1</v>
          </cell>
          <cell r="J1817">
            <v>2</v>
          </cell>
          <cell r="K1817">
            <v>9</v>
          </cell>
          <cell r="L1817">
            <v>109.76</v>
          </cell>
          <cell r="M1817">
            <v>10</v>
          </cell>
          <cell r="N1817">
            <v>16.100000000000001</v>
          </cell>
          <cell r="O1817">
            <v>1.9</v>
          </cell>
          <cell r="P1817">
            <v>26.9</v>
          </cell>
          <cell r="S1817">
            <v>52.4</v>
          </cell>
          <cell r="T1817">
            <v>14.8</v>
          </cell>
          <cell r="U1817">
            <v>2</v>
          </cell>
        </row>
        <row r="1818">
          <cell r="B1818" t="str">
            <v>Male</v>
          </cell>
          <cell r="F1818">
            <v>11</v>
          </cell>
          <cell r="G1818">
            <v>31.7</v>
          </cell>
          <cell r="H1818">
            <v>5.7</v>
          </cell>
          <cell r="I1818">
            <v>47.4</v>
          </cell>
          <cell r="J1818">
            <v>2</v>
          </cell>
          <cell r="K1818">
            <v>14.3</v>
          </cell>
          <cell r="L1818">
            <v>96.49</v>
          </cell>
          <cell r="M1818">
            <v>118</v>
          </cell>
          <cell r="N1818">
            <v>75.72</v>
          </cell>
          <cell r="O1818">
            <v>14.3</v>
          </cell>
          <cell r="P1818">
            <v>9.3000000000000007</v>
          </cell>
          <cell r="S1818">
            <v>28.4</v>
          </cell>
          <cell r="T1818">
            <v>15.8</v>
          </cell>
          <cell r="U1818">
            <v>3</v>
          </cell>
        </row>
        <row r="1819">
          <cell r="B1819" t="str">
            <v>Female</v>
          </cell>
          <cell r="F1819">
            <v>3</v>
          </cell>
          <cell r="G1819">
            <v>11.6</v>
          </cell>
          <cell r="H1819">
            <v>2.5</v>
          </cell>
          <cell r="I1819">
            <v>62.6</v>
          </cell>
          <cell r="J1819">
            <v>0</v>
          </cell>
          <cell r="K1819">
            <v>6.5</v>
          </cell>
          <cell r="L1819">
            <v>141.79</v>
          </cell>
          <cell r="M1819">
            <v>3</v>
          </cell>
          <cell r="N1819">
            <v>70.44</v>
          </cell>
          <cell r="O1819">
            <v>6.8</v>
          </cell>
          <cell r="P1819">
            <v>23.1</v>
          </cell>
          <cell r="S1819">
            <v>9.1</v>
          </cell>
          <cell r="T1819">
            <v>11</v>
          </cell>
          <cell r="U1819">
            <v>2</v>
          </cell>
        </row>
        <row r="1820">
          <cell r="B1820" t="str">
            <v>Female</v>
          </cell>
          <cell r="F1820">
            <v>19</v>
          </cell>
          <cell r="G1820">
            <v>27.7</v>
          </cell>
          <cell r="H1820">
            <v>10.4</v>
          </cell>
          <cell r="I1820">
            <v>38</v>
          </cell>
          <cell r="J1820">
            <v>4</v>
          </cell>
          <cell r="K1820">
            <v>22</v>
          </cell>
          <cell r="L1820">
            <v>119.65</v>
          </cell>
          <cell r="M1820">
            <v>17</v>
          </cell>
          <cell r="N1820">
            <v>33.9</v>
          </cell>
          <cell r="O1820">
            <v>2</v>
          </cell>
          <cell r="P1820">
            <v>44.4</v>
          </cell>
          <cell r="S1820">
            <v>40.1</v>
          </cell>
          <cell r="T1820">
            <v>34.1</v>
          </cell>
          <cell r="U1820">
            <v>3</v>
          </cell>
        </row>
        <row r="1821">
          <cell r="B1821" t="str">
            <v>Female</v>
          </cell>
          <cell r="F1821">
            <v>10</v>
          </cell>
          <cell r="G1821">
            <v>25.9</v>
          </cell>
          <cell r="H1821">
            <v>9.1999999999999993</v>
          </cell>
          <cell r="I1821">
            <v>33.299999999999997</v>
          </cell>
          <cell r="J1821">
            <v>3</v>
          </cell>
          <cell r="K1821">
            <v>12</v>
          </cell>
          <cell r="L1821">
            <v>81.37</v>
          </cell>
          <cell r="M1821">
            <v>134</v>
          </cell>
          <cell r="N1821">
            <v>41.5</v>
          </cell>
          <cell r="O1821">
            <v>6.4</v>
          </cell>
          <cell r="P1821">
            <v>7.9</v>
          </cell>
          <cell r="S1821">
            <v>21</v>
          </cell>
          <cell r="T1821">
            <v>25.6</v>
          </cell>
          <cell r="U1821">
            <v>1</v>
          </cell>
        </row>
        <row r="1822">
          <cell r="B1822" t="str">
            <v>Female</v>
          </cell>
          <cell r="F1822">
            <v>15</v>
          </cell>
          <cell r="G1822">
            <v>33.200000000000003</v>
          </cell>
          <cell r="H1822">
            <v>9.1</v>
          </cell>
          <cell r="I1822">
            <v>43.3</v>
          </cell>
          <cell r="J1822">
            <v>6</v>
          </cell>
          <cell r="K1822">
            <v>18.2</v>
          </cell>
          <cell r="L1822">
            <v>176.18</v>
          </cell>
          <cell r="M1822">
            <v>77</v>
          </cell>
          <cell r="O1822">
            <v>12.9</v>
          </cell>
          <cell r="P1822">
            <v>42.4</v>
          </cell>
          <cell r="S1822">
            <v>44.8</v>
          </cell>
          <cell r="T1822">
            <v>27.4</v>
          </cell>
          <cell r="U1822">
            <v>5</v>
          </cell>
        </row>
        <row r="1823">
          <cell r="B1823" t="str">
            <v>Male</v>
          </cell>
          <cell r="F1823">
            <v>3</v>
          </cell>
          <cell r="G1823">
            <v>9.3000000000000007</v>
          </cell>
          <cell r="H1823">
            <v>6.3</v>
          </cell>
          <cell r="I1823">
            <v>57.2</v>
          </cell>
          <cell r="J1823">
            <v>1</v>
          </cell>
          <cell r="K1823">
            <v>4</v>
          </cell>
          <cell r="L1823">
            <v>126.34</v>
          </cell>
          <cell r="M1823">
            <v>1</v>
          </cell>
          <cell r="N1823">
            <v>53.7</v>
          </cell>
          <cell r="O1823">
            <v>8.9</v>
          </cell>
          <cell r="P1823">
            <v>9.1</v>
          </cell>
          <cell r="S1823">
            <v>58</v>
          </cell>
          <cell r="U1823">
            <v>2</v>
          </cell>
        </row>
        <row r="1824">
          <cell r="B1824" t="str">
            <v>Female</v>
          </cell>
          <cell r="F1824">
            <v>7</v>
          </cell>
          <cell r="G1824">
            <v>23.6</v>
          </cell>
          <cell r="H1824">
            <v>6.5</v>
          </cell>
          <cell r="I1824">
            <v>78.5</v>
          </cell>
          <cell r="J1824">
            <v>3</v>
          </cell>
          <cell r="K1824">
            <v>7</v>
          </cell>
          <cell r="L1824">
            <v>82.34</v>
          </cell>
          <cell r="M1824">
            <v>2</v>
          </cell>
          <cell r="N1824">
            <v>76</v>
          </cell>
          <cell r="P1824">
            <v>4.8</v>
          </cell>
          <cell r="S1824">
            <v>0</v>
          </cell>
          <cell r="T1824">
            <v>12.5</v>
          </cell>
        </row>
        <row r="1825">
          <cell r="B1825" t="str">
            <v>Male</v>
          </cell>
          <cell r="F1825">
            <v>23</v>
          </cell>
          <cell r="G1825">
            <v>26.5</v>
          </cell>
          <cell r="H1825">
            <v>16.7</v>
          </cell>
          <cell r="I1825">
            <v>19.8</v>
          </cell>
          <cell r="J1825">
            <v>5</v>
          </cell>
          <cell r="K1825">
            <v>24</v>
          </cell>
          <cell r="L1825">
            <v>255.35</v>
          </cell>
          <cell r="M1825">
            <v>0</v>
          </cell>
          <cell r="N1825">
            <v>13.5</v>
          </cell>
          <cell r="O1825">
            <v>22</v>
          </cell>
          <cell r="P1825">
            <v>39.6</v>
          </cell>
          <cell r="S1825">
            <v>70</v>
          </cell>
          <cell r="T1825">
            <v>28.8</v>
          </cell>
          <cell r="U1825">
            <v>1</v>
          </cell>
        </row>
        <row r="1826">
          <cell r="B1826" t="str">
            <v>Male</v>
          </cell>
          <cell r="F1826">
            <v>0</v>
          </cell>
          <cell r="G1826">
            <v>22.4</v>
          </cell>
          <cell r="H1826">
            <v>5.9</v>
          </cell>
          <cell r="I1826">
            <v>68.7</v>
          </cell>
          <cell r="J1826">
            <v>5</v>
          </cell>
          <cell r="K1826">
            <v>11</v>
          </cell>
          <cell r="L1826">
            <v>95.18</v>
          </cell>
          <cell r="M1826">
            <v>1</v>
          </cell>
          <cell r="N1826">
            <v>78.7</v>
          </cell>
          <cell r="O1826">
            <v>16.2</v>
          </cell>
          <cell r="P1826">
            <v>13</v>
          </cell>
          <cell r="S1826">
            <v>40.9</v>
          </cell>
          <cell r="T1826">
            <v>9.6</v>
          </cell>
          <cell r="U1826">
            <v>2</v>
          </cell>
        </row>
        <row r="1827">
          <cell r="B1827" t="str">
            <v>Male</v>
          </cell>
          <cell r="F1827">
            <v>14</v>
          </cell>
          <cell r="G1827">
            <v>38.6</v>
          </cell>
          <cell r="H1827">
            <v>12.1</v>
          </cell>
          <cell r="I1827">
            <v>42.5</v>
          </cell>
          <cell r="K1827" t="str">
            <v>16.900000000000002</v>
          </cell>
          <cell r="L1827">
            <v>119.23</v>
          </cell>
          <cell r="N1827">
            <v>97.2</v>
          </cell>
          <cell r="O1827">
            <v>0.7</v>
          </cell>
          <cell r="P1827">
            <v>16.600000000000001</v>
          </cell>
          <cell r="S1827">
            <v>28</v>
          </cell>
          <cell r="T1827">
            <v>37.299999999999997</v>
          </cell>
          <cell r="U1827">
            <v>2</v>
          </cell>
        </row>
        <row r="1828">
          <cell r="B1828" t="str">
            <v>Female</v>
          </cell>
          <cell r="F1828">
            <v>10</v>
          </cell>
          <cell r="G1828">
            <v>20.100000000000001</v>
          </cell>
          <cell r="H1828">
            <v>2.6</v>
          </cell>
          <cell r="I1828">
            <v>64.599999999999994</v>
          </cell>
          <cell r="J1828">
            <v>1</v>
          </cell>
          <cell r="K1828" t="str">
            <v>16.900000000000002</v>
          </cell>
          <cell r="L1828">
            <v>221.63</v>
          </cell>
          <cell r="M1828">
            <v>3</v>
          </cell>
          <cell r="N1828">
            <v>53.52</v>
          </cell>
          <cell r="O1828">
            <v>10</v>
          </cell>
          <cell r="P1828">
            <v>0</v>
          </cell>
          <cell r="T1828">
            <v>12.3</v>
          </cell>
          <cell r="U1828">
            <v>2</v>
          </cell>
        </row>
        <row r="1829">
          <cell r="B1829" t="str">
            <v>Male</v>
          </cell>
          <cell r="F1829">
            <v>23</v>
          </cell>
          <cell r="G1829">
            <v>45.5</v>
          </cell>
          <cell r="H1829">
            <v>13.8</v>
          </cell>
          <cell r="I1829">
            <v>35.299999999999997</v>
          </cell>
          <cell r="J1829">
            <v>3</v>
          </cell>
          <cell r="K1829">
            <v>16</v>
          </cell>
          <cell r="L1829">
            <v>140.08000000000001</v>
          </cell>
          <cell r="M1829">
            <v>94</v>
          </cell>
          <cell r="N1829">
            <v>6.6</v>
          </cell>
          <cell r="O1829">
            <v>9.9</v>
          </cell>
          <cell r="P1829">
            <v>37.799999999999997</v>
          </cell>
          <cell r="S1829">
            <v>39.5</v>
          </cell>
          <cell r="T1829">
            <v>32.799999999999997</v>
          </cell>
          <cell r="U1829">
            <v>1</v>
          </cell>
        </row>
        <row r="1830">
          <cell r="B1830" t="str">
            <v>Male</v>
          </cell>
          <cell r="F1830">
            <v>5</v>
          </cell>
          <cell r="G1830">
            <v>2.1</v>
          </cell>
          <cell r="H1830">
            <v>3.8</v>
          </cell>
          <cell r="I1830">
            <v>54.7</v>
          </cell>
          <cell r="K1830">
            <v>5</v>
          </cell>
          <cell r="L1830">
            <v>113.93</v>
          </cell>
          <cell r="M1830">
            <v>12</v>
          </cell>
          <cell r="N1830">
            <v>41</v>
          </cell>
          <cell r="O1830">
            <v>4</v>
          </cell>
          <cell r="S1830">
            <v>15.6</v>
          </cell>
          <cell r="T1830">
            <v>8.3000000000000007</v>
          </cell>
          <cell r="U1830">
            <v>2</v>
          </cell>
        </row>
        <row r="1831">
          <cell r="B1831" t="str">
            <v>Female</v>
          </cell>
          <cell r="F1831">
            <v>12</v>
          </cell>
          <cell r="G1831">
            <v>31</v>
          </cell>
          <cell r="H1831">
            <v>11.3</v>
          </cell>
          <cell r="I1831">
            <v>48.5</v>
          </cell>
          <cell r="J1831">
            <v>5</v>
          </cell>
          <cell r="K1831">
            <v>15</v>
          </cell>
          <cell r="L1831">
            <v>127.99</v>
          </cell>
          <cell r="M1831">
            <v>12</v>
          </cell>
          <cell r="N1831">
            <v>68.7</v>
          </cell>
          <cell r="O1831">
            <v>3.4</v>
          </cell>
          <cell r="P1831">
            <v>21.7</v>
          </cell>
          <cell r="S1831">
            <v>25</v>
          </cell>
          <cell r="T1831">
            <v>23.5</v>
          </cell>
          <cell r="U1831">
            <v>2</v>
          </cell>
        </row>
        <row r="1832">
          <cell r="B1832" t="str">
            <v>Male</v>
          </cell>
          <cell r="F1832">
            <v>28</v>
          </cell>
          <cell r="G1832">
            <v>42.3</v>
          </cell>
          <cell r="H1832">
            <v>14.6</v>
          </cell>
          <cell r="I1832">
            <v>22.2</v>
          </cell>
          <cell r="J1832">
            <v>5</v>
          </cell>
          <cell r="K1832">
            <v>22</v>
          </cell>
          <cell r="L1832">
            <v>97.33</v>
          </cell>
          <cell r="M1832">
            <v>11</v>
          </cell>
          <cell r="N1832">
            <v>34.799999999999997</v>
          </cell>
          <cell r="P1832">
            <v>21.1</v>
          </cell>
          <cell r="S1832">
            <v>60.3</v>
          </cell>
          <cell r="T1832">
            <v>34.299999999999997</v>
          </cell>
          <cell r="U1832">
            <v>3</v>
          </cell>
        </row>
        <row r="1833">
          <cell r="B1833" t="str">
            <v>Male</v>
          </cell>
          <cell r="F1833">
            <v>2</v>
          </cell>
          <cell r="G1833">
            <v>22.1</v>
          </cell>
          <cell r="H1833">
            <v>5</v>
          </cell>
          <cell r="I1833">
            <v>72.8</v>
          </cell>
          <cell r="J1833">
            <v>0</v>
          </cell>
          <cell r="K1833">
            <v>8</v>
          </cell>
          <cell r="L1833">
            <v>127.62</v>
          </cell>
          <cell r="M1833">
            <v>1</v>
          </cell>
          <cell r="N1833">
            <v>40.299999999999997</v>
          </cell>
          <cell r="O1833">
            <v>2.8</v>
          </cell>
          <cell r="P1833">
            <v>0</v>
          </cell>
          <cell r="S1833">
            <v>0</v>
          </cell>
          <cell r="T1833">
            <v>8.8000000000000007</v>
          </cell>
          <cell r="U1833">
            <v>1</v>
          </cell>
        </row>
        <row r="1834">
          <cell r="B1834" t="str">
            <v>Female</v>
          </cell>
          <cell r="F1834">
            <v>5</v>
          </cell>
          <cell r="H1834">
            <v>1.6</v>
          </cell>
          <cell r="I1834">
            <v>68.599999999999994</v>
          </cell>
          <cell r="J1834">
            <v>1</v>
          </cell>
          <cell r="K1834">
            <v>7</v>
          </cell>
          <cell r="L1834">
            <v>77.069999999999993</v>
          </cell>
          <cell r="M1834">
            <v>23</v>
          </cell>
          <cell r="N1834">
            <v>32</v>
          </cell>
          <cell r="O1834">
            <v>6.8</v>
          </cell>
          <cell r="P1834">
            <v>0</v>
          </cell>
          <cell r="S1834">
            <v>13.7</v>
          </cell>
          <cell r="T1834">
            <v>7.6</v>
          </cell>
          <cell r="U1834">
            <v>2</v>
          </cell>
        </row>
        <row r="1835">
          <cell r="B1835" t="str">
            <v>Male</v>
          </cell>
          <cell r="F1835">
            <v>17</v>
          </cell>
          <cell r="G1835">
            <v>37.9</v>
          </cell>
          <cell r="H1835">
            <v>9.8000000000000007</v>
          </cell>
          <cell r="I1835">
            <v>48.9</v>
          </cell>
          <cell r="J1835">
            <v>7</v>
          </cell>
          <cell r="K1835">
            <v>21</v>
          </cell>
          <cell r="L1835">
            <v>68.739999999999995</v>
          </cell>
          <cell r="M1835">
            <v>43</v>
          </cell>
          <cell r="N1835">
            <v>13.7</v>
          </cell>
          <cell r="O1835">
            <v>4</v>
          </cell>
          <cell r="P1835">
            <v>6.4</v>
          </cell>
          <cell r="S1835">
            <v>38.9</v>
          </cell>
          <cell r="T1835">
            <v>23.5</v>
          </cell>
          <cell r="U1835">
            <v>1</v>
          </cell>
        </row>
        <row r="1836">
          <cell r="B1836" t="str">
            <v>Female</v>
          </cell>
          <cell r="F1836">
            <v>5</v>
          </cell>
          <cell r="G1836">
            <v>15.9</v>
          </cell>
          <cell r="H1836">
            <v>7.4</v>
          </cell>
          <cell r="I1836">
            <v>65.099999999999994</v>
          </cell>
          <cell r="J1836">
            <v>2</v>
          </cell>
          <cell r="K1836">
            <v>6</v>
          </cell>
          <cell r="L1836">
            <v>100.11</v>
          </cell>
          <cell r="M1836">
            <v>106</v>
          </cell>
          <cell r="N1836">
            <v>64.3</v>
          </cell>
          <cell r="O1836">
            <v>2.2999999999999998</v>
          </cell>
          <cell r="P1836">
            <v>0</v>
          </cell>
          <cell r="S1836">
            <v>42.1</v>
          </cell>
          <cell r="T1836">
            <v>15.5</v>
          </cell>
          <cell r="U1836">
            <v>1</v>
          </cell>
        </row>
        <row r="1837">
          <cell r="B1837" t="str">
            <v>Female</v>
          </cell>
          <cell r="F1837">
            <v>25</v>
          </cell>
          <cell r="G1837">
            <v>44.3</v>
          </cell>
          <cell r="H1837">
            <v>16</v>
          </cell>
          <cell r="I1837">
            <v>16.100000000000001</v>
          </cell>
          <cell r="J1837">
            <v>6</v>
          </cell>
          <cell r="K1837">
            <v>20</v>
          </cell>
          <cell r="L1837">
            <v>68.8</v>
          </cell>
          <cell r="M1837">
            <v>36</v>
          </cell>
          <cell r="N1837">
            <v>28.7</v>
          </cell>
          <cell r="O1837">
            <v>3.6</v>
          </cell>
          <cell r="P1837">
            <v>41.8</v>
          </cell>
          <cell r="S1837">
            <v>47.6</v>
          </cell>
          <cell r="T1837">
            <v>33.799999999999997</v>
          </cell>
          <cell r="U1837">
            <v>1</v>
          </cell>
        </row>
        <row r="1838">
          <cell r="B1838" t="str">
            <v>Female</v>
          </cell>
          <cell r="F1838">
            <v>9</v>
          </cell>
          <cell r="G1838">
            <v>26</v>
          </cell>
          <cell r="I1838">
            <v>29.4</v>
          </cell>
          <cell r="J1838">
            <v>6</v>
          </cell>
          <cell r="K1838" t="str">
            <v>11.700000000000001</v>
          </cell>
          <cell r="L1838">
            <v>168.18</v>
          </cell>
          <cell r="M1838">
            <v>3</v>
          </cell>
          <cell r="N1838">
            <v>80.52</v>
          </cell>
          <cell r="O1838">
            <v>12.8</v>
          </cell>
          <cell r="P1838">
            <v>8.6</v>
          </cell>
          <cell r="S1838">
            <v>45.1</v>
          </cell>
          <cell r="T1838">
            <v>22.2</v>
          </cell>
          <cell r="U1838">
            <v>3</v>
          </cell>
        </row>
        <row r="1839">
          <cell r="B1839" t="str">
            <v>Female</v>
          </cell>
          <cell r="F1839">
            <v>17</v>
          </cell>
          <cell r="G1839">
            <v>35.4</v>
          </cell>
          <cell r="H1839">
            <v>10.3</v>
          </cell>
          <cell r="I1839">
            <v>62.1</v>
          </cell>
          <cell r="J1839">
            <v>8</v>
          </cell>
          <cell r="K1839">
            <v>19.5</v>
          </cell>
          <cell r="L1839">
            <v>150.47</v>
          </cell>
          <cell r="M1839">
            <v>11</v>
          </cell>
          <cell r="N1839">
            <v>7.68</v>
          </cell>
          <cell r="O1839">
            <v>12.4</v>
          </cell>
          <cell r="P1839">
            <v>32.5</v>
          </cell>
          <cell r="S1839">
            <v>57.3</v>
          </cell>
          <cell r="T1839">
            <v>33</v>
          </cell>
          <cell r="U1839">
            <v>5</v>
          </cell>
        </row>
        <row r="1840">
          <cell r="B1840" t="str">
            <v>Female</v>
          </cell>
          <cell r="F1840">
            <v>11</v>
          </cell>
          <cell r="G1840">
            <v>13.7</v>
          </cell>
          <cell r="H1840">
            <v>7.9</v>
          </cell>
          <cell r="I1840">
            <v>70.099999999999994</v>
          </cell>
          <cell r="J1840">
            <v>2</v>
          </cell>
          <cell r="K1840" t="str">
            <v>3.9000000000000004</v>
          </cell>
          <cell r="L1840">
            <v>184.22</v>
          </cell>
          <cell r="M1840">
            <v>7</v>
          </cell>
          <cell r="N1840">
            <v>35.159999999999997</v>
          </cell>
          <cell r="O1840">
            <v>0.4</v>
          </cell>
          <cell r="P1840">
            <v>0</v>
          </cell>
          <cell r="S1840">
            <v>8.9</v>
          </cell>
          <cell r="T1840">
            <v>3.4</v>
          </cell>
          <cell r="U1840">
            <v>4</v>
          </cell>
        </row>
        <row r="1841">
          <cell r="B1841" t="str">
            <v>Male</v>
          </cell>
          <cell r="F1841">
            <v>18</v>
          </cell>
          <cell r="G1841">
            <v>35.1</v>
          </cell>
          <cell r="H1841">
            <v>13.5</v>
          </cell>
          <cell r="I1841">
            <v>53.1</v>
          </cell>
          <cell r="J1841">
            <v>12</v>
          </cell>
          <cell r="K1841">
            <v>22.1</v>
          </cell>
          <cell r="L1841">
            <v>157.1</v>
          </cell>
          <cell r="M1841">
            <v>7</v>
          </cell>
          <cell r="N1841" t="str">
            <v>63.959999999999994</v>
          </cell>
          <cell r="O1841">
            <v>7.3</v>
          </cell>
          <cell r="P1841">
            <v>33.6</v>
          </cell>
          <cell r="S1841">
            <v>30.5</v>
          </cell>
          <cell r="T1841">
            <v>26.1</v>
          </cell>
          <cell r="U1841">
            <v>1</v>
          </cell>
        </row>
        <row r="1842">
          <cell r="B1842" t="str">
            <v>Female</v>
          </cell>
          <cell r="F1842">
            <v>5</v>
          </cell>
          <cell r="G1842">
            <v>9.6</v>
          </cell>
          <cell r="H1842">
            <v>2.6</v>
          </cell>
          <cell r="I1842">
            <v>88.4</v>
          </cell>
          <cell r="J1842">
            <v>1</v>
          </cell>
          <cell r="K1842" t="str">
            <v>3.9000000000000004</v>
          </cell>
          <cell r="L1842">
            <v>116.22</v>
          </cell>
          <cell r="M1842">
            <v>31</v>
          </cell>
          <cell r="N1842">
            <v>7.56</v>
          </cell>
          <cell r="O1842">
            <v>0.8</v>
          </cell>
          <cell r="S1842">
            <v>0</v>
          </cell>
          <cell r="T1842">
            <v>11.2</v>
          </cell>
          <cell r="U1842">
            <v>1</v>
          </cell>
        </row>
        <row r="1843">
          <cell r="B1843" t="str">
            <v>Female</v>
          </cell>
          <cell r="F1843">
            <v>21</v>
          </cell>
          <cell r="G1843">
            <v>39.799999999999997</v>
          </cell>
          <cell r="H1843">
            <v>11.4</v>
          </cell>
          <cell r="I1843">
            <v>38.299999999999997</v>
          </cell>
          <cell r="J1843">
            <v>7</v>
          </cell>
          <cell r="K1843">
            <v>14</v>
          </cell>
          <cell r="L1843">
            <v>146.32</v>
          </cell>
          <cell r="M1843">
            <v>17</v>
          </cell>
          <cell r="N1843">
            <v>73.3</v>
          </cell>
          <cell r="O1843">
            <v>9.4</v>
          </cell>
          <cell r="P1843">
            <v>35.799999999999997</v>
          </cell>
          <cell r="S1843">
            <v>48.5</v>
          </cell>
          <cell r="T1843">
            <v>15.5</v>
          </cell>
          <cell r="U1843">
            <v>5</v>
          </cell>
        </row>
        <row r="1844">
          <cell r="B1844" t="str">
            <v>Male</v>
          </cell>
          <cell r="F1844">
            <v>0</v>
          </cell>
          <cell r="H1844">
            <v>3</v>
          </cell>
          <cell r="I1844">
            <v>62</v>
          </cell>
          <cell r="J1844">
            <v>0</v>
          </cell>
          <cell r="K1844">
            <v>9.1</v>
          </cell>
          <cell r="L1844">
            <v>120.85</v>
          </cell>
          <cell r="M1844">
            <v>13</v>
          </cell>
          <cell r="N1844" t="str">
            <v>5.159999999999999</v>
          </cell>
          <cell r="O1844">
            <v>12.1</v>
          </cell>
          <cell r="P1844">
            <v>18.100000000000001</v>
          </cell>
          <cell r="S1844">
            <v>18.2</v>
          </cell>
          <cell r="T1844">
            <v>19.399999999999999</v>
          </cell>
          <cell r="U1844">
            <v>2</v>
          </cell>
        </row>
        <row r="1845">
          <cell r="B1845" t="str">
            <v>Female</v>
          </cell>
          <cell r="F1845">
            <v>12</v>
          </cell>
          <cell r="G1845">
            <v>32.200000000000003</v>
          </cell>
          <cell r="H1845">
            <v>8</v>
          </cell>
          <cell r="I1845">
            <v>55</v>
          </cell>
          <cell r="J1845">
            <v>1</v>
          </cell>
          <cell r="K1845">
            <v>8</v>
          </cell>
          <cell r="L1845">
            <v>161.49</v>
          </cell>
          <cell r="M1845">
            <v>29</v>
          </cell>
          <cell r="O1845">
            <v>16.7</v>
          </cell>
          <cell r="P1845">
            <v>12.8</v>
          </cell>
          <cell r="S1845">
            <v>27.2</v>
          </cell>
          <cell r="U1845">
            <v>1</v>
          </cell>
        </row>
        <row r="1846">
          <cell r="B1846" t="str">
            <v>Female</v>
          </cell>
          <cell r="F1846">
            <v>19</v>
          </cell>
          <cell r="G1846">
            <v>18.5</v>
          </cell>
          <cell r="H1846">
            <v>6.2</v>
          </cell>
          <cell r="I1846">
            <v>72.2</v>
          </cell>
          <cell r="J1846">
            <v>3</v>
          </cell>
          <cell r="K1846">
            <v>5</v>
          </cell>
          <cell r="L1846">
            <v>82.62</v>
          </cell>
          <cell r="M1846">
            <v>69</v>
          </cell>
          <cell r="N1846">
            <v>59.3</v>
          </cell>
          <cell r="O1846">
            <v>6.9</v>
          </cell>
          <cell r="P1846">
            <v>6.6</v>
          </cell>
          <cell r="S1846">
            <v>7.7</v>
          </cell>
          <cell r="T1846">
            <v>15.7</v>
          </cell>
          <cell r="U1846">
            <v>1</v>
          </cell>
        </row>
        <row r="1847">
          <cell r="B1847" t="str">
            <v>Male</v>
          </cell>
          <cell r="F1847">
            <v>24</v>
          </cell>
          <cell r="G1847">
            <v>40.5</v>
          </cell>
          <cell r="H1847">
            <v>13</v>
          </cell>
          <cell r="I1847">
            <v>40.4</v>
          </cell>
          <cell r="J1847">
            <v>7</v>
          </cell>
          <cell r="K1847">
            <v>26</v>
          </cell>
          <cell r="L1847">
            <v>159.08000000000001</v>
          </cell>
          <cell r="M1847">
            <v>3</v>
          </cell>
          <cell r="N1847">
            <v>41.76</v>
          </cell>
          <cell r="O1847">
            <v>11.5</v>
          </cell>
          <cell r="P1847">
            <v>31.6</v>
          </cell>
          <cell r="S1847">
            <v>17.7</v>
          </cell>
          <cell r="T1847">
            <v>36.1</v>
          </cell>
          <cell r="U1847">
            <v>3</v>
          </cell>
        </row>
        <row r="1848">
          <cell r="B1848" t="str">
            <v>Female</v>
          </cell>
          <cell r="F1848">
            <v>10</v>
          </cell>
          <cell r="G1848">
            <v>36.1</v>
          </cell>
          <cell r="H1848">
            <v>8</v>
          </cell>
          <cell r="I1848">
            <v>40.4</v>
          </cell>
          <cell r="J1848">
            <v>4</v>
          </cell>
          <cell r="K1848" t="str">
            <v>16.900000000000002</v>
          </cell>
          <cell r="L1848">
            <v>98.86</v>
          </cell>
          <cell r="M1848">
            <v>7</v>
          </cell>
          <cell r="N1848">
            <v>32.159999999999997</v>
          </cell>
          <cell r="O1848">
            <v>10.199999999999999</v>
          </cell>
          <cell r="P1848">
            <v>25.8</v>
          </cell>
          <cell r="S1848">
            <v>44.6</v>
          </cell>
          <cell r="T1848">
            <v>23.4</v>
          </cell>
          <cell r="U1848">
            <v>3</v>
          </cell>
        </row>
        <row r="1849">
          <cell r="B1849" t="str">
            <v>Male</v>
          </cell>
          <cell r="F1849">
            <v>35</v>
          </cell>
          <cell r="G1849">
            <v>45.3</v>
          </cell>
          <cell r="H1849">
            <v>15.7</v>
          </cell>
          <cell r="I1849">
            <v>33.200000000000003</v>
          </cell>
          <cell r="J1849">
            <v>11</v>
          </cell>
          <cell r="K1849">
            <v>23</v>
          </cell>
          <cell r="L1849">
            <v>73.92</v>
          </cell>
          <cell r="M1849">
            <v>40</v>
          </cell>
          <cell r="O1849">
            <v>5</v>
          </cell>
          <cell r="P1849">
            <v>47.6</v>
          </cell>
          <cell r="S1849">
            <v>68.7</v>
          </cell>
          <cell r="T1849">
            <v>35.1</v>
          </cell>
        </row>
        <row r="1850">
          <cell r="B1850" t="str">
            <v>Female</v>
          </cell>
          <cell r="F1850">
            <v>10</v>
          </cell>
          <cell r="G1850">
            <v>24</v>
          </cell>
          <cell r="H1850">
            <v>7</v>
          </cell>
          <cell r="I1850">
            <v>63.6</v>
          </cell>
          <cell r="J1850">
            <v>5</v>
          </cell>
          <cell r="K1850" t="str">
            <v>11.700000000000001</v>
          </cell>
          <cell r="L1850">
            <v>154.44</v>
          </cell>
          <cell r="M1850">
            <v>1</v>
          </cell>
          <cell r="N1850">
            <v>39.6</v>
          </cell>
          <cell r="O1850">
            <v>4.4000000000000004</v>
          </cell>
          <cell r="P1850">
            <v>12</v>
          </cell>
          <cell r="S1850">
            <v>38.4</v>
          </cell>
          <cell r="T1850">
            <v>19.100000000000001</v>
          </cell>
          <cell r="U1850">
            <v>1</v>
          </cell>
        </row>
        <row r="1851">
          <cell r="B1851" t="str">
            <v>Male</v>
          </cell>
          <cell r="F1851">
            <v>15</v>
          </cell>
          <cell r="G1851">
            <v>37</v>
          </cell>
          <cell r="H1851">
            <v>7.2</v>
          </cell>
          <cell r="I1851">
            <v>61.2</v>
          </cell>
          <cell r="J1851">
            <v>5</v>
          </cell>
          <cell r="K1851">
            <v>14</v>
          </cell>
          <cell r="L1851">
            <v>137.32</v>
          </cell>
          <cell r="M1851">
            <v>80</v>
          </cell>
          <cell r="N1851">
            <v>24.9</v>
          </cell>
          <cell r="O1851">
            <v>15.8</v>
          </cell>
          <cell r="P1851">
            <v>12</v>
          </cell>
          <cell r="S1851">
            <v>25.8</v>
          </cell>
          <cell r="T1851">
            <v>18.3</v>
          </cell>
          <cell r="U1851">
            <v>2</v>
          </cell>
        </row>
        <row r="1852">
          <cell r="B1852" t="str">
            <v>Male</v>
          </cell>
          <cell r="F1852">
            <v>6</v>
          </cell>
          <cell r="I1852">
            <v>69.8</v>
          </cell>
          <cell r="J1852">
            <v>1</v>
          </cell>
          <cell r="K1852">
            <v>7</v>
          </cell>
          <cell r="L1852">
            <v>67.38</v>
          </cell>
          <cell r="M1852">
            <v>2</v>
          </cell>
          <cell r="N1852">
            <v>24.2</v>
          </cell>
          <cell r="O1852">
            <v>5.3</v>
          </cell>
          <cell r="P1852">
            <v>13</v>
          </cell>
          <cell r="S1852">
            <v>9.9</v>
          </cell>
          <cell r="T1852">
            <v>10.5</v>
          </cell>
          <cell r="U1852">
            <v>3</v>
          </cell>
        </row>
        <row r="1853">
          <cell r="B1853" t="str">
            <v>Female</v>
          </cell>
          <cell r="F1853">
            <v>23</v>
          </cell>
          <cell r="G1853">
            <v>40.9</v>
          </cell>
          <cell r="H1853">
            <v>10</v>
          </cell>
          <cell r="I1853">
            <v>61.7</v>
          </cell>
          <cell r="J1853">
            <v>8</v>
          </cell>
          <cell r="K1853">
            <v>14</v>
          </cell>
          <cell r="L1853">
            <v>165.31</v>
          </cell>
          <cell r="M1853">
            <v>42</v>
          </cell>
          <cell r="N1853">
            <v>73.900000000000006</v>
          </cell>
          <cell r="O1853">
            <v>2.6</v>
          </cell>
          <cell r="P1853">
            <v>29.4</v>
          </cell>
          <cell r="T1853">
            <v>25.7</v>
          </cell>
          <cell r="U1853">
            <v>1</v>
          </cell>
        </row>
        <row r="1854">
          <cell r="B1854" t="str">
            <v>Male</v>
          </cell>
          <cell r="F1854">
            <v>9</v>
          </cell>
          <cell r="G1854">
            <v>35.5</v>
          </cell>
          <cell r="H1854">
            <v>5.6</v>
          </cell>
          <cell r="I1854">
            <v>68.7</v>
          </cell>
          <cell r="K1854">
            <v>11</v>
          </cell>
          <cell r="L1854">
            <v>99.37</v>
          </cell>
          <cell r="M1854">
            <v>50</v>
          </cell>
          <cell r="N1854">
            <v>33.1</v>
          </cell>
          <cell r="O1854">
            <v>18.100000000000001</v>
          </cell>
          <cell r="P1854">
            <v>28.8</v>
          </cell>
          <cell r="S1854">
            <v>39.200000000000003</v>
          </cell>
          <cell r="U1854">
            <v>2</v>
          </cell>
        </row>
        <row r="1855">
          <cell r="B1855" t="str">
            <v>Male</v>
          </cell>
          <cell r="F1855">
            <v>14</v>
          </cell>
          <cell r="G1855">
            <v>28.1</v>
          </cell>
          <cell r="H1855">
            <v>13</v>
          </cell>
          <cell r="I1855">
            <v>48</v>
          </cell>
          <cell r="J1855">
            <v>9</v>
          </cell>
          <cell r="K1855">
            <v>26</v>
          </cell>
          <cell r="L1855">
            <v>82.29</v>
          </cell>
          <cell r="M1855">
            <v>20</v>
          </cell>
          <cell r="N1855">
            <v>109.2</v>
          </cell>
          <cell r="O1855">
            <v>14.5</v>
          </cell>
          <cell r="P1855">
            <v>42.5</v>
          </cell>
          <cell r="S1855">
            <v>30.3</v>
          </cell>
          <cell r="T1855">
            <v>29.5</v>
          </cell>
          <cell r="U1855">
            <v>1</v>
          </cell>
        </row>
        <row r="1856">
          <cell r="B1856" t="str">
            <v>Female</v>
          </cell>
          <cell r="F1856">
            <v>33</v>
          </cell>
          <cell r="G1856">
            <v>61.7</v>
          </cell>
          <cell r="H1856">
            <v>19.2</v>
          </cell>
          <cell r="I1856">
            <v>18</v>
          </cell>
          <cell r="J1856">
            <v>16</v>
          </cell>
          <cell r="K1856">
            <v>25</v>
          </cell>
          <cell r="L1856">
            <v>182.25</v>
          </cell>
          <cell r="M1856">
            <v>14</v>
          </cell>
          <cell r="O1856">
            <v>13.7</v>
          </cell>
          <cell r="P1856">
            <v>58.3</v>
          </cell>
          <cell r="T1856">
            <v>45.5</v>
          </cell>
          <cell r="U1856">
            <v>4</v>
          </cell>
        </row>
        <row r="1857">
          <cell r="B1857" t="str">
            <v>Female</v>
          </cell>
          <cell r="F1857">
            <v>10</v>
          </cell>
          <cell r="G1857">
            <v>32.299999999999997</v>
          </cell>
          <cell r="H1857">
            <v>14.2</v>
          </cell>
          <cell r="I1857">
            <v>53.9</v>
          </cell>
          <cell r="J1857">
            <v>4</v>
          </cell>
          <cell r="K1857">
            <v>11</v>
          </cell>
          <cell r="L1857">
            <v>122.38</v>
          </cell>
          <cell r="M1857">
            <v>21</v>
          </cell>
          <cell r="N1857">
            <v>25.5</v>
          </cell>
          <cell r="O1857">
            <v>3.6</v>
          </cell>
          <cell r="P1857">
            <v>19.899999999999999</v>
          </cell>
          <cell r="S1857">
            <v>42.3</v>
          </cell>
          <cell r="T1857">
            <v>25.9</v>
          </cell>
          <cell r="U1857">
            <v>3</v>
          </cell>
        </row>
        <row r="1858">
          <cell r="B1858" t="str">
            <v>Male</v>
          </cell>
          <cell r="F1858">
            <v>11</v>
          </cell>
          <cell r="I1858">
            <v>70.7</v>
          </cell>
          <cell r="J1858">
            <v>1</v>
          </cell>
          <cell r="K1858">
            <v>5</v>
          </cell>
          <cell r="L1858">
            <v>91.61</v>
          </cell>
          <cell r="M1858">
            <v>18</v>
          </cell>
          <cell r="N1858">
            <v>59.4</v>
          </cell>
          <cell r="O1858">
            <v>7.2</v>
          </cell>
          <cell r="P1858">
            <v>0</v>
          </cell>
          <cell r="S1858">
            <v>8.8000000000000007</v>
          </cell>
          <cell r="T1858">
            <v>15.9</v>
          </cell>
          <cell r="U1858">
            <v>2</v>
          </cell>
        </row>
        <row r="1859">
          <cell r="B1859" t="str">
            <v>Female</v>
          </cell>
          <cell r="F1859">
            <v>16</v>
          </cell>
          <cell r="G1859">
            <v>32.799999999999997</v>
          </cell>
          <cell r="H1859">
            <v>13.2</v>
          </cell>
          <cell r="I1859">
            <v>48.8</v>
          </cell>
          <cell r="J1859">
            <v>7</v>
          </cell>
          <cell r="K1859">
            <v>20</v>
          </cell>
          <cell r="L1859">
            <v>153.55000000000001</v>
          </cell>
          <cell r="M1859">
            <v>11</v>
          </cell>
          <cell r="N1859">
            <v>39</v>
          </cell>
          <cell r="O1859">
            <v>6.6</v>
          </cell>
          <cell r="P1859">
            <v>17.8</v>
          </cell>
          <cell r="S1859">
            <v>23.3</v>
          </cell>
          <cell r="T1859">
            <v>18.3</v>
          </cell>
          <cell r="U1859">
            <v>1</v>
          </cell>
        </row>
        <row r="1860">
          <cell r="B1860" t="str">
            <v>Female</v>
          </cell>
          <cell r="F1860">
            <v>21</v>
          </cell>
          <cell r="G1860">
            <v>33.9</v>
          </cell>
          <cell r="H1860">
            <v>15.8</v>
          </cell>
          <cell r="I1860">
            <v>48.1</v>
          </cell>
          <cell r="J1860">
            <v>4</v>
          </cell>
          <cell r="K1860">
            <v>18</v>
          </cell>
          <cell r="L1860">
            <v>111.48</v>
          </cell>
          <cell r="M1860">
            <v>35</v>
          </cell>
          <cell r="N1860">
            <v>65.099999999999994</v>
          </cell>
          <cell r="O1860">
            <v>7.7</v>
          </cell>
          <cell r="P1860">
            <v>13.5</v>
          </cell>
          <cell r="U1860">
            <v>1</v>
          </cell>
        </row>
        <row r="1861">
          <cell r="B1861" t="str">
            <v>Male</v>
          </cell>
          <cell r="F1861">
            <v>17</v>
          </cell>
          <cell r="H1861">
            <v>9.6</v>
          </cell>
          <cell r="I1861">
            <v>62.9</v>
          </cell>
          <cell r="J1861">
            <v>6</v>
          </cell>
          <cell r="K1861">
            <v>17</v>
          </cell>
          <cell r="L1861">
            <v>222.07</v>
          </cell>
          <cell r="M1861">
            <v>53</v>
          </cell>
          <cell r="N1861">
            <v>31.8</v>
          </cell>
          <cell r="O1861">
            <v>2.8</v>
          </cell>
          <cell r="P1861">
            <v>30.3</v>
          </cell>
          <cell r="T1861">
            <v>27.7</v>
          </cell>
          <cell r="U1861">
            <v>3</v>
          </cell>
        </row>
        <row r="1862">
          <cell r="B1862" t="str">
            <v>Male</v>
          </cell>
          <cell r="F1862">
            <v>21</v>
          </cell>
          <cell r="G1862">
            <v>24.9</v>
          </cell>
          <cell r="H1862">
            <v>10</v>
          </cell>
          <cell r="I1862">
            <v>49.7</v>
          </cell>
          <cell r="K1862">
            <v>14</v>
          </cell>
          <cell r="L1862">
            <v>144.61000000000001</v>
          </cell>
          <cell r="M1862">
            <v>98</v>
          </cell>
          <cell r="N1862">
            <v>36</v>
          </cell>
          <cell r="O1862">
            <v>3.3</v>
          </cell>
          <cell r="P1862">
            <v>27.4</v>
          </cell>
          <cell r="S1862">
            <v>41.2</v>
          </cell>
          <cell r="T1862">
            <v>19.399999999999999</v>
          </cell>
          <cell r="U1862">
            <v>3</v>
          </cell>
        </row>
        <row r="1863">
          <cell r="B1863" t="str">
            <v>Female</v>
          </cell>
          <cell r="F1863">
            <v>12</v>
          </cell>
          <cell r="G1863">
            <v>29.7</v>
          </cell>
          <cell r="H1863">
            <v>14.8</v>
          </cell>
          <cell r="I1863">
            <v>66.5</v>
          </cell>
          <cell r="J1863">
            <v>13</v>
          </cell>
          <cell r="K1863">
            <v>14</v>
          </cell>
          <cell r="L1863">
            <v>112.73</v>
          </cell>
          <cell r="M1863">
            <v>24</v>
          </cell>
          <cell r="N1863">
            <v>12.5</v>
          </cell>
          <cell r="P1863">
            <v>25.1</v>
          </cell>
          <cell r="S1863">
            <v>37.700000000000003</v>
          </cell>
          <cell r="T1863">
            <v>28.5</v>
          </cell>
          <cell r="U1863">
            <v>1</v>
          </cell>
        </row>
        <row r="1864">
          <cell r="B1864" t="str">
            <v>Male</v>
          </cell>
          <cell r="F1864">
            <v>24</v>
          </cell>
          <cell r="G1864">
            <v>41.7</v>
          </cell>
          <cell r="H1864">
            <v>11.9</v>
          </cell>
          <cell r="I1864">
            <v>25.9</v>
          </cell>
          <cell r="J1864">
            <v>4</v>
          </cell>
          <cell r="K1864">
            <v>33</v>
          </cell>
          <cell r="L1864">
            <v>186.72</v>
          </cell>
          <cell r="M1864">
            <v>78</v>
          </cell>
          <cell r="N1864">
            <v>71.2</v>
          </cell>
          <cell r="P1864">
            <v>34.799999999999997</v>
          </cell>
          <cell r="S1864">
            <v>70.599999999999994</v>
          </cell>
          <cell r="T1864">
            <v>20.100000000000001</v>
          </cell>
          <cell r="U1864">
            <v>2</v>
          </cell>
        </row>
        <row r="1865">
          <cell r="B1865" t="str">
            <v>Female</v>
          </cell>
          <cell r="F1865">
            <v>29</v>
          </cell>
          <cell r="G1865">
            <v>40.9</v>
          </cell>
          <cell r="H1865">
            <v>10.5</v>
          </cell>
          <cell r="I1865">
            <v>24.1</v>
          </cell>
          <cell r="J1865">
            <v>10</v>
          </cell>
          <cell r="K1865">
            <v>26</v>
          </cell>
          <cell r="L1865">
            <v>120.74</v>
          </cell>
          <cell r="M1865">
            <v>23</v>
          </cell>
          <cell r="O1865">
            <v>3.4</v>
          </cell>
          <cell r="P1865">
            <v>37.9</v>
          </cell>
          <cell r="T1865">
            <v>29.1</v>
          </cell>
          <cell r="U1865">
            <v>2</v>
          </cell>
        </row>
        <row r="1866">
          <cell r="B1866" t="str">
            <v>Male</v>
          </cell>
          <cell r="F1866">
            <v>6</v>
          </cell>
          <cell r="G1866">
            <v>12.7</v>
          </cell>
          <cell r="H1866">
            <v>3.9</v>
          </cell>
          <cell r="I1866">
            <v>74</v>
          </cell>
          <cell r="J1866">
            <v>0</v>
          </cell>
          <cell r="K1866">
            <v>10</v>
          </cell>
          <cell r="L1866">
            <v>60.14</v>
          </cell>
          <cell r="M1866">
            <v>37</v>
          </cell>
          <cell r="N1866">
            <v>18.899999999999999</v>
          </cell>
          <cell r="O1866">
            <v>10.5</v>
          </cell>
          <cell r="S1866">
            <v>13</v>
          </cell>
          <cell r="U1866">
            <v>1</v>
          </cell>
        </row>
        <row r="1867">
          <cell r="B1867" t="str">
            <v>Female</v>
          </cell>
          <cell r="F1867">
            <v>3</v>
          </cell>
          <cell r="I1867">
            <v>67.400000000000006</v>
          </cell>
          <cell r="J1867">
            <v>3</v>
          </cell>
          <cell r="K1867">
            <v>6.5</v>
          </cell>
          <cell r="L1867">
            <v>169.63</v>
          </cell>
          <cell r="M1867">
            <v>33</v>
          </cell>
          <cell r="N1867">
            <v>32.64</v>
          </cell>
          <cell r="O1867">
            <v>1.8</v>
          </cell>
          <cell r="P1867">
            <v>22.7</v>
          </cell>
          <cell r="S1867">
            <v>2.2999999999999998</v>
          </cell>
          <cell r="T1867">
            <v>19</v>
          </cell>
        </row>
        <row r="1868">
          <cell r="B1868" t="str">
            <v>Female</v>
          </cell>
          <cell r="F1868">
            <v>13</v>
          </cell>
          <cell r="G1868">
            <v>29.6</v>
          </cell>
          <cell r="H1868">
            <v>15.3</v>
          </cell>
          <cell r="I1868">
            <v>54.5</v>
          </cell>
          <cell r="J1868">
            <v>7</v>
          </cell>
          <cell r="K1868">
            <v>15</v>
          </cell>
          <cell r="L1868">
            <v>91.15</v>
          </cell>
          <cell r="M1868">
            <v>13</v>
          </cell>
          <cell r="N1868">
            <v>8.6</v>
          </cell>
          <cell r="P1868">
            <v>22.1</v>
          </cell>
          <cell r="S1868">
            <v>66.3</v>
          </cell>
          <cell r="T1868">
            <v>23.5</v>
          </cell>
          <cell r="U1868">
            <v>2</v>
          </cell>
        </row>
        <row r="1869">
          <cell r="B1869" t="str">
            <v>Male</v>
          </cell>
          <cell r="F1869">
            <v>6</v>
          </cell>
          <cell r="G1869">
            <v>18.899999999999999</v>
          </cell>
          <cell r="H1869">
            <v>3.1</v>
          </cell>
          <cell r="I1869">
            <v>76.7</v>
          </cell>
          <cell r="J1869">
            <v>2</v>
          </cell>
          <cell r="K1869">
            <v>10</v>
          </cell>
          <cell r="L1869">
            <v>124.67</v>
          </cell>
          <cell r="N1869">
            <v>62.4</v>
          </cell>
          <cell r="O1869">
            <v>4.9000000000000004</v>
          </cell>
          <cell r="P1869">
            <v>20.7</v>
          </cell>
          <cell r="T1869">
            <v>11.6</v>
          </cell>
          <cell r="U1869">
            <v>3</v>
          </cell>
        </row>
        <row r="1870">
          <cell r="B1870" t="str">
            <v>Male</v>
          </cell>
          <cell r="F1870">
            <v>8</v>
          </cell>
          <cell r="G1870">
            <v>14.5</v>
          </cell>
          <cell r="H1870">
            <v>6.5</v>
          </cell>
          <cell r="I1870">
            <v>67.099999999999994</v>
          </cell>
          <cell r="J1870">
            <v>4</v>
          </cell>
          <cell r="K1870">
            <v>6</v>
          </cell>
          <cell r="L1870">
            <v>143.97</v>
          </cell>
          <cell r="N1870">
            <v>32.200000000000003</v>
          </cell>
          <cell r="O1870">
            <v>1.8</v>
          </cell>
          <cell r="P1870">
            <v>14.9</v>
          </cell>
          <cell r="S1870">
            <v>0</v>
          </cell>
          <cell r="T1870">
            <v>8.9</v>
          </cell>
          <cell r="U1870">
            <v>2</v>
          </cell>
        </row>
        <row r="1871">
          <cell r="B1871" t="str">
            <v>Female</v>
          </cell>
          <cell r="F1871">
            <v>5</v>
          </cell>
          <cell r="G1871">
            <v>23.6</v>
          </cell>
          <cell r="H1871">
            <v>7.9</v>
          </cell>
          <cell r="I1871">
            <v>49.7</v>
          </cell>
          <cell r="K1871">
            <v>11</v>
          </cell>
          <cell r="L1871">
            <v>175.49</v>
          </cell>
          <cell r="M1871">
            <v>39</v>
          </cell>
          <cell r="N1871">
            <v>19.100000000000001</v>
          </cell>
          <cell r="O1871">
            <v>3.6</v>
          </cell>
          <cell r="S1871">
            <v>40.799999999999997</v>
          </cell>
          <cell r="T1871">
            <v>19.8</v>
          </cell>
          <cell r="U1871">
            <v>1</v>
          </cell>
        </row>
        <row r="1872">
          <cell r="B1872" t="str">
            <v>Male</v>
          </cell>
          <cell r="F1872">
            <v>2</v>
          </cell>
          <cell r="G1872">
            <v>11.1</v>
          </cell>
          <cell r="H1872">
            <v>8.9</v>
          </cell>
          <cell r="I1872">
            <v>67.8</v>
          </cell>
          <cell r="J1872">
            <v>5</v>
          </cell>
          <cell r="K1872">
            <v>6</v>
          </cell>
          <cell r="L1872">
            <v>101.01</v>
          </cell>
          <cell r="M1872">
            <v>41</v>
          </cell>
          <cell r="N1872">
            <v>34</v>
          </cell>
          <cell r="O1872">
            <v>4.7</v>
          </cell>
          <cell r="S1872">
            <v>4.4000000000000004</v>
          </cell>
          <cell r="T1872">
            <v>15.1</v>
          </cell>
          <cell r="U1872">
            <v>1</v>
          </cell>
        </row>
        <row r="1873">
          <cell r="B1873" t="str">
            <v>Female</v>
          </cell>
          <cell r="F1873">
            <v>19</v>
          </cell>
          <cell r="G1873">
            <v>17.2</v>
          </cell>
          <cell r="H1873">
            <v>6.3</v>
          </cell>
          <cell r="I1873">
            <v>61.6</v>
          </cell>
          <cell r="J1873">
            <v>5</v>
          </cell>
          <cell r="K1873">
            <v>14</v>
          </cell>
          <cell r="L1873">
            <v>174.98</v>
          </cell>
          <cell r="M1873">
            <v>10</v>
          </cell>
          <cell r="N1873">
            <v>44.8</v>
          </cell>
          <cell r="O1873">
            <v>4.2</v>
          </cell>
          <cell r="P1873">
            <v>34.1</v>
          </cell>
          <cell r="S1873">
            <v>25.7</v>
          </cell>
          <cell r="T1873">
            <v>19.600000000000001</v>
          </cell>
          <cell r="U1873">
            <v>3</v>
          </cell>
        </row>
        <row r="1874">
          <cell r="B1874" t="str">
            <v>Female</v>
          </cell>
          <cell r="F1874">
            <v>18</v>
          </cell>
          <cell r="G1874">
            <v>28.9</v>
          </cell>
          <cell r="H1874">
            <v>13.1</v>
          </cell>
          <cell r="I1874">
            <v>52.9</v>
          </cell>
          <cell r="J1874">
            <v>6</v>
          </cell>
          <cell r="K1874">
            <v>13</v>
          </cell>
          <cell r="L1874">
            <v>90.92</v>
          </cell>
          <cell r="M1874">
            <v>49</v>
          </cell>
          <cell r="N1874">
            <v>42.7</v>
          </cell>
          <cell r="O1874">
            <v>7</v>
          </cell>
          <cell r="P1874">
            <v>32</v>
          </cell>
          <cell r="S1874">
            <v>49.6</v>
          </cell>
          <cell r="T1874">
            <v>17.899999999999999</v>
          </cell>
          <cell r="U1874">
            <v>3</v>
          </cell>
        </row>
        <row r="1875">
          <cell r="B1875" t="str">
            <v>Female</v>
          </cell>
          <cell r="F1875">
            <v>0</v>
          </cell>
          <cell r="G1875">
            <v>9.9</v>
          </cell>
          <cell r="I1875">
            <v>76.3</v>
          </cell>
          <cell r="J1875">
            <v>0</v>
          </cell>
          <cell r="K1875">
            <v>16</v>
          </cell>
          <cell r="L1875">
            <v>132.91</v>
          </cell>
          <cell r="N1875">
            <v>25</v>
          </cell>
          <cell r="O1875">
            <v>9.4</v>
          </cell>
          <cell r="P1875">
            <v>0</v>
          </cell>
          <cell r="S1875">
            <v>0</v>
          </cell>
          <cell r="T1875">
            <v>4.9000000000000004</v>
          </cell>
          <cell r="U1875">
            <v>3</v>
          </cell>
        </row>
        <row r="1876">
          <cell r="B1876" t="str">
            <v>Male</v>
          </cell>
          <cell r="F1876">
            <v>14</v>
          </cell>
          <cell r="G1876">
            <v>22.5</v>
          </cell>
          <cell r="H1876">
            <v>6.2</v>
          </cell>
          <cell r="I1876">
            <v>60.7</v>
          </cell>
          <cell r="J1876">
            <v>5</v>
          </cell>
          <cell r="K1876">
            <v>13</v>
          </cell>
          <cell r="L1876">
            <v>148.49</v>
          </cell>
          <cell r="M1876">
            <v>50</v>
          </cell>
          <cell r="N1876">
            <v>66.5</v>
          </cell>
          <cell r="O1876">
            <v>12.7</v>
          </cell>
          <cell r="P1876">
            <v>8.6999999999999993</v>
          </cell>
          <cell r="S1876">
            <v>7.1</v>
          </cell>
          <cell r="T1876">
            <v>15.6</v>
          </cell>
          <cell r="U1876">
            <v>2</v>
          </cell>
        </row>
        <row r="1877">
          <cell r="B1877" t="str">
            <v>Male</v>
          </cell>
          <cell r="F1877">
            <v>19</v>
          </cell>
          <cell r="G1877">
            <v>33.799999999999997</v>
          </cell>
          <cell r="H1877">
            <v>12.3</v>
          </cell>
          <cell r="I1877">
            <v>30.1</v>
          </cell>
          <cell r="J1877">
            <v>9</v>
          </cell>
          <cell r="K1877">
            <v>19.5</v>
          </cell>
          <cell r="L1877">
            <v>67.98</v>
          </cell>
          <cell r="M1877">
            <v>61</v>
          </cell>
          <cell r="N1877">
            <v>9</v>
          </cell>
          <cell r="O1877">
            <v>17</v>
          </cell>
          <cell r="P1877">
            <v>11.1</v>
          </cell>
          <cell r="S1877">
            <v>53.8</v>
          </cell>
          <cell r="T1877">
            <v>26.7</v>
          </cell>
          <cell r="U1877">
            <v>2</v>
          </cell>
        </row>
        <row r="1878">
          <cell r="B1878" t="str">
            <v>Male</v>
          </cell>
          <cell r="F1878">
            <v>8</v>
          </cell>
          <cell r="G1878">
            <v>20.9</v>
          </cell>
          <cell r="H1878">
            <v>5.2</v>
          </cell>
          <cell r="I1878">
            <v>79.2</v>
          </cell>
          <cell r="J1878">
            <v>1</v>
          </cell>
          <cell r="K1878">
            <v>7</v>
          </cell>
          <cell r="L1878">
            <v>126.16</v>
          </cell>
          <cell r="N1878">
            <v>37</v>
          </cell>
          <cell r="P1878">
            <v>1.9</v>
          </cell>
          <cell r="S1878">
            <v>0</v>
          </cell>
          <cell r="T1878">
            <v>4.4000000000000004</v>
          </cell>
          <cell r="U1878">
            <v>4</v>
          </cell>
        </row>
        <row r="1879">
          <cell r="B1879" t="str">
            <v>Male</v>
          </cell>
          <cell r="F1879">
            <v>13</v>
          </cell>
          <cell r="G1879">
            <v>17.399999999999999</v>
          </cell>
          <cell r="H1879">
            <v>11.3</v>
          </cell>
          <cell r="I1879">
            <v>74.2</v>
          </cell>
          <cell r="J1879">
            <v>1</v>
          </cell>
          <cell r="K1879">
            <v>14</v>
          </cell>
          <cell r="L1879">
            <v>103.75</v>
          </cell>
          <cell r="M1879">
            <v>3</v>
          </cell>
          <cell r="N1879">
            <v>9.6</v>
          </cell>
          <cell r="O1879">
            <v>13.4</v>
          </cell>
          <cell r="P1879">
            <v>19.7</v>
          </cell>
          <cell r="S1879">
            <v>6.4</v>
          </cell>
          <cell r="U1879">
            <v>1</v>
          </cell>
        </row>
        <row r="1880">
          <cell r="B1880" t="str">
            <v>Female</v>
          </cell>
          <cell r="F1880">
            <v>15</v>
          </cell>
          <cell r="H1880">
            <v>11.5</v>
          </cell>
          <cell r="I1880">
            <v>66.5</v>
          </cell>
          <cell r="K1880">
            <v>12</v>
          </cell>
          <cell r="L1880">
            <v>134.78</v>
          </cell>
          <cell r="M1880">
            <v>39</v>
          </cell>
          <cell r="N1880">
            <v>69.2</v>
          </cell>
          <cell r="O1880">
            <v>19.2</v>
          </cell>
          <cell r="P1880">
            <v>31.1</v>
          </cell>
          <cell r="S1880">
            <v>29.2</v>
          </cell>
          <cell r="T1880">
            <v>18.8</v>
          </cell>
          <cell r="U1880">
            <v>3</v>
          </cell>
        </row>
        <row r="1881">
          <cell r="B1881" t="str">
            <v>Female</v>
          </cell>
          <cell r="F1881">
            <v>6</v>
          </cell>
          <cell r="G1881">
            <v>27.4</v>
          </cell>
          <cell r="H1881">
            <v>4.9000000000000004</v>
          </cell>
          <cell r="I1881">
            <v>51.2</v>
          </cell>
          <cell r="J1881">
            <v>3</v>
          </cell>
          <cell r="K1881">
            <v>7</v>
          </cell>
          <cell r="L1881">
            <v>73.67</v>
          </cell>
          <cell r="M1881">
            <v>3</v>
          </cell>
          <cell r="P1881">
            <v>38.5</v>
          </cell>
          <cell r="S1881">
            <v>11.9</v>
          </cell>
          <cell r="T1881">
            <v>12.8</v>
          </cell>
          <cell r="U1881">
            <v>1</v>
          </cell>
        </row>
        <row r="1882">
          <cell r="B1882" t="str">
            <v>Male</v>
          </cell>
          <cell r="F1882">
            <v>0</v>
          </cell>
          <cell r="G1882">
            <v>14.2</v>
          </cell>
          <cell r="H1882">
            <v>1.5</v>
          </cell>
          <cell r="I1882">
            <v>87.7</v>
          </cell>
          <cell r="J1882">
            <v>2</v>
          </cell>
          <cell r="K1882" t="str">
            <v>3.9000000000000004</v>
          </cell>
          <cell r="L1882">
            <v>163.53</v>
          </cell>
          <cell r="M1882">
            <v>14</v>
          </cell>
          <cell r="N1882">
            <v>91.8</v>
          </cell>
          <cell r="O1882">
            <v>9</v>
          </cell>
          <cell r="P1882">
            <v>11.1</v>
          </cell>
          <cell r="S1882">
            <v>0</v>
          </cell>
          <cell r="T1882">
            <v>5.3</v>
          </cell>
          <cell r="U1882">
            <v>3</v>
          </cell>
        </row>
        <row r="1883">
          <cell r="B1883" t="str">
            <v>Male</v>
          </cell>
          <cell r="F1883">
            <v>28</v>
          </cell>
          <cell r="G1883">
            <v>39.700000000000003</v>
          </cell>
          <cell r="H1883">
            <v>13.8</v>
          </cell>
          <cell r="I1883">
            <v>53.2</v>
          </cell>
          <cell r="J1883">
            <v>8</v>
          </cell>
          <cell r="K1883">
            <v>18.2</v>
          </cell>
          <cell r="L1883">
            <v>105.19</v>
          </cell>
          <cell r="M1883">
            <v>23</v>
          </cell>
          <cell r="N1883">
            <v>36.36</v>
          </cell>
          <cell r="O1883">
            <v>3.2</v>
          </cell>
          <cell r="P1883">
            <v>31.4</v>
          </cell>
          <cell r="S1883">
            <v>41.2</v>
          </cell>
          <cell r="T1883">
            <v>28</v>
          </cell>
          <cell r="U1883">
            <v>2</v>
          </cell>
        </row>
        <row r="1884">
          <cell r="B1884" t="str">
            <v>Female</v>
          </cell>
          <cell r="F1884">
            <v>12</v>
          </cell>
          <cell r="G1884">
            <v>39.799999999999997</v>
          </cell>
          <cell r="H1884">
            <v>9.4</v>
          </cell>
          <cell r="I1884">
            <v>42.3</v>
          </cell>
          <cell r="J1884">
            <v>5</v>
          </cell>
          <cell r="K1884">
            <v>19</v>
          </cell>
          <cell r="L1884">
            <v>149.74</v>
          </cell>
          <cell r="M1884">
            <v>28</v>
          </cell>
          <cell r="N1884">
            <v>9.1999999999999993</v>
          </cell>
          <cell r="O1884">
            <v>4.5</v>
          </cell>
          <cell r="P1884">
            <v>31.7</v>
          </cell>
          <cell r="T1884">
            <v>20</v>
          </cell>
          <cell r="U1884">
            <v>1</v>
          </cell>
        </row>
        <row r="1885">
          <cell r="B1885" t="str">
            <v>Female</v>
          </cell>
          <cell r="F1885">
            <v>17</v>
          </cell>
          <cell r="G1885">
            <v>36.700000000000003</v>
          </cell>
          <cell r="H1885">
            <v>14.9</v>
          </cell>
          <cell r="I1885">
            <v>65</v>
          </cell>
          <cell r="J1885">
            <v>7</v>
          </cell>
          <cell r="K1885">
            <v>22.1</v>
          </cell>
          <cell r="L1885">
            <v>119.18</v>
          </cell>
          <cell r="M1885">
            <v>53</v>
          </cell>
          <cell r="N1885">
            <v>52.68</v>
          </cell>
          <cell r="O1885">
            <v>8.3000000000000007</v>
          </cell>
          <cell r="P1885">
            <v>19.5</v>
          </cell>
          <cell r="S1885">
            <v>41.3</v>
          </cell>
          <cell r="T1885">
            <v>29.9</v>
          </cell>
          <cell r="U1885">
            <v>1</v>
          </cell>
        </row>
        <row r="1886">
          <cell r="B1886" t="str">
            <v>Female</v>
          </cell>
          <cell r="F1886">
            <v>9</v>
          </cell>
          <cell r="G1886">
            <v>31</v>
          </cell>
          <cell r="H1886">
            <v>9.1999999999999993</v>
          </cell>
          <cell r="I1886">
            <v>55.8</v>
          </cell>
          <cell r="J1886">
            <v>3</v>
          </cell>
          <cell r="K1886">
            <v>10</v>
          </cell>
          <cell r="L1886">
            <v>110.84</v>
          </cell>
          <cell r="M1886">
            <v>16</v>
          </cell>
          <cell r="N1886">
            <v>6.9</v>
          </cell>
          <cell r="O1886">
            <v>10.9</v>
          </cell>
          <cell r="P1886">
            <v>21.7</v>
          </cell>
          <cell r="S1886">
            <v>40.299999999999997</v>
          </cell>
          <cell r="T1886">
            <v>24.7</v>
          </cell>
          <cell r="U1886">
            <v>1</v>
          </cell>
        </row>
        <row r="1887">
          <cell r="B1887" t="str">
            <v>Male</v>
          </cell>
          <cell r="F1887">
            <v>13</v>
          </cell>
          <cell r="G1887">
            <v>37.299999999999997</v>
          </cell>
          <cell r="H1887">
            <v>15.4</v>
          </cell>
          <cell r="I1887">
            <v>57.2</v>
          </cell>
          <cell r="J1887">
            <v>11</v>
          </cell>
          <cell r="K1887">
            <v>16</v>
          </cell>
          <cell r="L1887">
            <v>100.12</v>
          </cell>
          <cell r="M1887">
            <v>3</v>
          </cell>
          <cell r="N1887">
            <v>60.9</v>
          </cell>
          <cell r="O1887">
            <v>12.4</v>
          </cell>
          <cell r="P1887">
            <v>30.3</v>
          </cell>
          <cell r="T1887">
            <v>32</v>
          </cell>
          <cell r="U1887">
            <v>2</v>
          </cell>
        </row>
        <row r="1888">
          <cell r="B1888" t="str">
            <v>Female</v>
          </cell>
          <cell r="F1888">
            <v>15</v>
          </cell>
          <cell r="G1888">
            <v>23.3</v>
          </cell>
          <cell r="I1888">
            <v>74.7</v>
          </cell>
          <cell r="J1888">
            <v>3</v>
          </cell>
          <cell r="K1888">
            <v>12</v>
          </cell>
          <cell r="L1888">
            <v>148.44</v>
          </cell>
          <cell r="M1888">
            <v>30</v>
          </cell>
          <cell r="N1888">
            <v>24.5</v>
          </cell>
          <cell r="O1888">
            <v>1.9</v>
          </cell>
          <cell r="P1888">
            <v>9.4</v>
          </cell>
          <cell r="S1888">
            <v>44.7</v>
          </cell>
          <cell r="T1888">
            <v>18.3</v>
          </cell>
          <cell r="U1888">
            <v>2</v>
          </cell>
        </row>
        <row r="1889">
          <cell r="B1889" t="str">
            <v>Female</v>
          </cell>
          <cell r="F1889">
            <v>15</v>
          </cell>
          <cell r="G1889">
            <v>38</v>
          </cell>
          <cell r="H1889">
            <v>16.7</v>
          </cell>
          <cell r="I1889">
            <v>37.4</v>
          </cell>
          <cell r="J1889">
            <v>6</v>
          </cell>
          <cell r="K1889">
            <v>15</v>
          </cell>
          <cell r="L1889">
            <v>110.07</v>
          </cell>
          <cell r="M1889">
            <v>3</v>
          </cell>
          <cell r="N1889">
            <v>31.7</v>
          </cell>
          <cell r="O1889">
            <v>4.3</v>
          </cell>
          <cell r="P1889">
            <v>23.7</v>
          </cell>
          <cell r="S1889">
            <v>13.5</v>
          </cell>
          <cell r="T1889">
            <v>24.8</v>
          </cell>
          <cell r="U1889">
            <v>3</v>
          </cell>
        </row>
        <row r="1890">
          <cell r="B1890" t="str">
            <v>Male</v>
          </cell>
          <cell r="F1890">
            <v>21</v>
          </cell>
          <cell r="G1890">
            <v>22.2</v>
          </cell>
          <cell r="H1890">
            <v>11.6</v>
          </cell>
          <cell r="I1890">
            <v>36.200000000000003</v>
          </cell>
          <cell r="J1890">
            <v>4</v>
          </cell>
          <cell r="K1890">
            <v>14</v>
          </cell>
          <cell r="L1890">
            <v>81.260000000000005</v>
          </cell>
          <cell r="M1890">
            <v>168</v>
          </cell>
          <cell r="N1890">
            <v>62.5</v>
          </cell>
          <cell r="O1890">
            <v>1.9</v>
          </cell>
          <cell r="P1890">
            <v>33.9</v>
          </cell>
          <cell r="S1890">
            <v>42.7</v>
          </cell>
          <cell r="T1890">
            <v>22.9</v>
          </cell>
          <cell r="U1890">
            <v>1</v>
          </cell>
        </row>
        <row r="1891">
          <cell r="B1891" t="str">
            <v>Male</v>
          </cell>
          <cell r="F1891">
            <v>9</v>
          </cell>
          <cell r="G1891">
            <v>36.5</v>
          </cell>
          <cell r="H1891">
            <v>8.6999999999999993</v>
          </cell>
          <cell r="I1891">
            <v>51.7</v>
          </cell>
          <cell r="J1891">
            <v>9</v>
          </cell>
          <cell r="K1891">
            <v>14</v>
          </cell>
          <cell r="L1891">
            <v>95.85</v>
          </cell>
          <cell r="M1891">
            <v>12</v>
          </cell>
          <cell r="N1891">
            <v>74.099999999999994</v>
          </cell>
          <cell r="O1891">
            <v>3.8</v>
          </cell>
          <cell r="S1891">
            <v>13.1</v>
          </cell>
          <cell r="T1891">
            <v>22</v>
          </cell>
          <cell r="U1891">
            <v>2</v>
          </cell>
        </row>
        <row r="1892">
          <cell r="B1892" t="str">
            <v>Male</v>
          </cell>
          <cell r="F1892">
            <v>5</v>
          </cell>
          <cell r="G1892">
            <v>16.7</v>
          </cell>
          <cell r="H1892">
            <v>7.4</v>
          </cell>
          <cell r="I1892">
            <v>74.599999999999994</v>
          </cell>
          <cell r="J1892">
            <v>3</v>
          </cell>
          <cell r="K1892">
            <v>8</v>
          </cell>
          <cell r="L1892">
            <v>142.94999999999999</v>
          </cell>
          <cell r="M1892">
            <v>49</v>
          </cell>
          <cell r="N1892">
            <v>16.899999999999999</v>
          </cell>
          <cell r="O1892">
            <v>2.2999999999999998</v>
          </cell>
          <cell r="S1892">
            <v>0</v>
          </cell>
          <cell r="T1892">
            <v>6.8</v>
          </cell>
          <cell r="U1892">
            <v>3</v>
          </cell>
        </row>
        <row r="1893">
          <cell r="B1893" t="str">
            <v>Female</v>
          </cell>
          <cell r="F1893">
            <v>1</v>
          </cell>
          <cell r="G1893">
            <v>13.6</v>
          </cell>
          <cell r="H1893">
            <v>4.8</v>
          </cell>
          <cell r="I1893" t="str">
            <v>107.6396500523955</v>
          </cell>
          <cell r="J1893">
            <v>0</v>
          </cell>
          <cell r="K1893">
            <v>8</v>
          </cell>
          <cell r="L1893">
            <v>109.09</v>
          </cell>
          <cell r="M1893">
            <v>10</v>
          </cell>
          <cell r="N1893">
            <v>15.5</v>
          </cell>
          <cell r="O1893">
            <v>3.4</v>
          </cell>
          <cell r="P1893">
            <v>0</v>
          </cell>
          <cell r="S1893">
            <v>45.7</v>
          </cell>
          <cell r="T1893">
            <v>0</v>
          </cell>
          <cell r="U1893">
            <v>2</v>
          </cell>
        </row>
        <row r="1894">
          <cell r="B1894" t="str">
            <v>Female</v>
          </cell>
          <cell r="F1894">
            <v>13</v>
          </cell>
          <cell r="G1894">
            <v>18.100000000000001</v>
          </cell>
          <cell r="H1894">
            <v>10.6</v>
          </cell>
          <cell r="I1894">
            <v>80.2</v>
          </cell>
          <cell r="J1894">
            <v>2</v>
          </cell>
          <cell r="K1894">
            <v>7</v>
          </cell>
          <cell r="L1894">
            <v>170.73</v>
          </cell>
          <cell r="M1894">
            <v>10</v>
          </cell>
          <cell r="N1894">
            <v>11.4</v>
          </cell>
          <cell r="P1894">
            <v>14.8</v>
          </cell>
          <cell r="S1894">
            <v>21.4</v>
          </cell>
          <cell r="T1894">
            <v>14.7</v>
          </cell>
          <cell r="U1894">
            <v>2</v>
          </cell>
        </row>
        <row r="1895">
          <cell r="B1895" t="str">
            <v>Male</v>
          </cell>
          <cell r="F1895">
            <v>8</v>
          </cell>
          <cell r="G1895">
            <v>14.4</v>
          </cell>
          <cell r="H1895">
            <v>3.2</v>
          </cell>
          <cell r="I1895">
            <v>67.099999999999994</v>
          </cell>
          <cell r="J1895">
            <v>1</v>
          </cell>
          <cell r="K1895">
            <v>6.5</v>
          </cell>
          <cell r="L1895">
            <v>59.66</v>
          </cell>
          <cell r="M1895">
            <v>110</v>
          </cell>
          <cell r="O1895">
            <v>7.3</v>
          </cell>
          <cell r="P1895">
            <v>1.6</v>
          </cell>
          <cell r="T1895">
            <v>18.8</v>
          </cell>
          <cell r="U1895">
            <v>1</v>
          </cell>
        </row>
        <row r="1896">
          <cell r="B1896" t="str">
            <v>Other</v>
          </cell>
          <cell r="F1896">
            <v>12</v>
          </cell>
          <cell r="G1896">
            <v>12.4</v>
          </cell>
          <cell r="H1896">
            <v>9.1</v>
          </cell>
          <cell r="I1896">
            <v>51.7</v>
          </cell>
          <cell r="J1896">
            <v>1</v>
          </cell>
          <cell r="K1896">
            <v>10</v>
          </cell>
          <cell r="L1896">
            <v>187.77</v>
          </cell>
          <cell r="M1896">
            <v>26</v>
          </cell>
          <cell r="O1896">
            <v>5.5</v>
          </cell>
          <cell r="P1896">
            <v>15</v>
          </cell>
          <cell r="S1896">
            <v>19.899999999999999</v>
          </cell>
          <cell r="T1896">
            <v>25.3</v>
          </cell>
          <cell r="U1896">
            <v>1</v>
          </cell>
        </row>
        <row r="1897">
          <cell r="B1897" t="str">
            <v>Male</v>
          </cell>
          <cell r="F1897">
            <v>10</v>
          </cell>
          <cell r="G1897">
            <v>21.2</v>
          </cell>
          <cell r="H1897">
            <v>6.7</v>
          </cell>
          <cell r="I1897">
            <v>82.8</v>
          </cell>
          <cell r="J1897">
            <v>1</v>
          </cell>
          <cell r="K1897">
            <v>14.3</v>
          </cell>
          <cell r="L1897">
            <v>107.05</v>
          </cell>
          <cell r="M1897">
            <v>14</v>
          </cell>
          <cell r="N1897">
            <v>57.48</v>
          </cell>
          <cell r="O1897">
            <v>10.5</v>
          </cell>
          <cell r="P1897">
            <v>8.5</v>
          </cell>
          <cell r="S1897">
            <v>0</v>
          </cell>
          <cell r="T1897">
            <v>29.2</v>
          </cell>
          <cell r="U1897">
            <v>4</v>
          </cell>
        </row>
        <row r="1898">
          <cell r="B1898" t="str">
            <v>Male</v>
          </cell>
          <cell r="F1898">
            <v>34</v>
          </cell>
          <cell r="G1898">
            <v>37.9</v>
          </cell>
          <cell r="I1898">
            <v>34.299999999999997</v>
          </cell>
          <cell r="J1898">
            <v>9</v>
          </cell>
          <cell r="K1898">
            <v>27</v>
          </cell>
          <cell r="L1898">
            <v>67.040000000000006</v>
          </cell>
          <cell r="M1898">
            <v>6</v>
          </cell>
          <cell r="N1898">
            <v>60.3</v>
          </cell>
          <cell r="O1898">
            <v>4.2</v>
          </cell>
          <cell r="P1898">
            <v>43.1</v>
          </cell>
          <cell r="S1898">
            <v>47.2</v>
          </cell>
          <cell r="T1898">
            <v>39.9</v>
          </cell>
          <cell r="U1898">
            <v>3</v>
          </cell>
        </row>
        <row r="1899">
          <cell r="B1899" t="str">
            <v>Female</v>
          </cell>
          <cell r="F1899">
            <v>15</v>
          </cell>
          <cell r="G1899">
            <v>31.9</v>
          </cell>
          <cell r="H1899">
            <v>7.1</v>
          </cell>
          <cell r="I1899">
            <v>68.900000000000006</v>
          </cell>
          <cell r="J1899">
            <v>4</v>
          </cell>
          <cell r="K1899">
            <v>14</v>
          </cell>
          <cell r="L1899">
            <v>61.66</v>
          </cell>
          <cell r="M1899">
            <v>3</v>
          </cell>
          <cell r="O1899">
            <v>11.2</v>
          </cell>
          <cell r="P1899">
            <v>28.1</v>
          </cell>
          <cell r="S1899">
            <v>51.4</v>
          </cell>
          <cell r="T1899">
            <v>27.8</v>
          </cell>
          <cell r="U1899">
            <v>2</v>
          </cell>
        </row>
        <row r="1900">
          <cell r="B1900" t="str">
            <v>Male</v>
          </cell>
          <cell r="F1900">
            <v>21</v>
          </cell>
          <cell r="G1900">
            <v>49.8</v>
          </cell>
          <cell r="I1900">
            <v>45.6</v>
          </cell>
          <cell r="J1900">
            <v>7</v>
          </cell>
          <cell r="K1900">
            <v>28.6</v>
          </cell>
          <cell r="L1900">
            <v>54.35</v>
          </cell>
          <cell r="M1900">
            <v>18</v>
          </cell>
          <cell r="N1900" t="str">
            <v>29.639999999999997</v>
          </cell>
          <cell r="P1900">
            <v>24.8</v>
          </cell>
          <cell r="S1900">
            <v>84.1</v>
          </cell>
          <cell r="T1900">
            <v>34.200000000000003</v>
          </cell>
          <cell r="U1900">
            <v>1</v>
          </cell>
        </row>
        <row r="1901">
          <cell r="B1901" t="str">
            <v>Female</v>
          </cell>
          <cell r="F1901">
            <v>0</v>
          </cell>
          <cell r="G1901">
            <v>15</v>
          </cell>
          <cell r="H1901">
            <v>4.5</v>
          </cell>
          <cell r="I1901">
            <v>50.7</v>
          </cell>
          <cell r="J1901">
            <v>3</v>
          </cell>
          <cell r="K1901">
            <v>5</v>
          </cell>
          <cell r="L1901">
            <v>82.46</v>
          </cell>
          <cell r="M1901">
            <v>62</v>
          </cell>
          <cell r="N1901">
            <v>22.3</v>
          </cell>
          <cell r="O1901">
            <v>1.3</v>
          </cell>
          <cell r="P1901">
            <v>3.9</v>
          </cell>
          <cell r="S1901">
            <v>1</v>
          </cell>
          <cell r="T1901">
            <v>4.2</v>
          </cell>
          <cell r="U1901">
            <v>3</v>
          </cell>
        </row>
        <row r="1902">
          <cell r="B1902" t="str">
            <v>Female</v>
          </cell>
          <cell r="F1902">
            <v>1</v>
          </cell>
          <cell r="G1902">
            <v>6.9</v>
          </cell>
          <cell r="H1902">
            <v>1</v>
          </cell>
          <cell r="I1902">
            <v>57.2</v>
          </cell>
          <cell r="J1902">
            <v>2</v>
          </cell>
          <cell r="K1902">
            <v>4</v>
          </cell>
          <cell r="L1902">
            <v>91.49</v>
          </cell>
          <cell r="M1902">
            <v>7</v>
          </cell>
          <cell r="N1902">
            <v>15.9</v>
          </cell>
          <cell r="O1902">
            <v>0.3</v>
          </cell>
          <cell r="P1902">
            <v>0</v>
          </cell>
          <cell r="S1902">
            <v>0</v>
          </cell>
          <cell r="T1902">
            <v>2</v>
          </cell>
          <cell r="U1902">
            <v>1</v>
          </cell>
        </row>
        <row r="1903">
          <cell r="B1903" t="str">
            <v>Female</v>
          </cell>
          <cell r="F1903">
            <v>17</v>
          </cell>
          <cell r="G1903">
            <v>29.4</v>
          </cell>
          <cell r="H1903">
            <v>10</v>
          </cell>
          <cell r="I1903">
            <v>80.400000000000006</v>
          </cell>
          <cell r="J1903">
            <v>5</v>
          </cell>
          <cell r="K1903">
            <v>10</v>
          </cell>
          <cell r="L1903">
            <v>130.9</v>
          </cell>
          <cell r="M1903">
            <v>10</v>
          </cell>
          <cell r="N1903">
            <v>14.1</v>
          </cell>
          <cell r="O1903">
            <v>0.9</v>
          </cell>
          <cell r="P1903">
            <v>9.9</v>
          </cell>
          <cell r="S1903">
            <v>45.1</v>
          </cell>
          <cell r="T1903">
            <v>16.899999999999999</v>
          </cell>
          <cell r="U1903">
            <v>5</v>
          </cell>
        </row>
        <row r="1904">
          <cell r="B1904" t="str">
            <v>Male</v>
          </cell>
          <cell r="F1904">
            <v>34</v>
          </cell>
          <cell r="G1904">
            <v>41.2</v>
          </cell>
          <cell r="H1904">
            <v>10.6</v>
          </cell>
          <cell r="I1904">
            <v>27.2</v>
          </cell>
          <cell r="J1904">
            <v>9</v>
          </cell>
          <cell r="K1904">
            <v>22</v>
          </cell>
          <cell r="L1904">
            <v>77.41</v>
          </cell>
          <cell r="M1904">
            <v>68</v>
          </cell>
          <cell r="N1904">
            <v>48.4</v>
          </cell>
          <cell r="O1904">
            <v>5.6</v>
          </cell>
          <cell r="P1904">
            <v>50.7</v>
          </cell>
          <cell r="U1904">
            <v>3</v>
          </cell>
        </row>
        <row r="1905">
          <cell r="B1905" t="str">
            <v>Female</v>
          </cell>
          <cell r="F1905">
            <v>0</v>
          </cell>
          <cell r="G1905">
            <v>18.100000000000001</v>
          </cell>
          <cell r="H1905">
            <v>4.4000000000000004</v>
          </cell>
          <cell r="I1905">
            <v>87.8</v>
          </cell>
          <cell r="J1905">
            <v>2</v>
          </cell>
          <cell r="K1905">
            <v>7</v>
          </cell>
          <cell r="L1905">
            <v>116.79</v>
          </cell>
          <cell r="M1905">
            <v>2</v>
          </cell>
          <cell r="N1905">
            <v>31.1</v>
          </cell>
          <cell r="O1905">
            <v>6.8</v>
          </cell>
          <cell r="P1905">
            <v>13.2</v>
          </cell>
          <cell r="S1905">
            <v>38.6</v>
          </cell>
          <cell r="T1905">
            <v>9</v>
          </cell>
          <cell r="U1905">
            <v>1</v>
          </cell>
        </row>
        <row r="1906">
          <cell r="B1906" t="str">
            <v>Male</v>
          </cell>
          <cell r="F1906">
            <v>15</v>
          </cell>
          <cell r="G1906">
            <v>24</v>
          </cell>
          <cell r="H1906">
            <v>8.6999999999999993</v>
          </cell>
          <cell r="I1906">
            <v>80</v>
          </cell>
          <cell r="J1906">
            <v>4</v>
          </cell>
          <cell r="K1906">
            <v>10.4</v>
          </cell>
          <cell r="L1906">
            <v>78.400000000000006</v>
          </cell>
          <cell r="M1906">
            <v>22</v>
          </cell>
          <cell r="N1906">
            <v>26.16</v>
          </cell>
          <cell r="O1906">
            <v>7.4</v>
          </cell>
          <cell r="P1906">
            <v>8.9</v>
          </cell>
          <cell r="S1906">
            <v>8.8000000000000007</v>
          </cell>
          <cell r="T1906">
            <v>13.1</v>
          </cell>
          <cell r="U1906">
            <v>3</v>
          </cell>
        </row>
        <row r="1907">
          <cell r="B1907" t="str">
            <v>Male</v>
          </cell>
          <cell r="F1907">
            <v>5</v>
          </cell>
          <cell r="G1907">
            <v>34.299999999999997</v>
          </cell>
          <cell r="H1907">
            <v>6.1</v>
          </cell>
          <cell r="I1907">
            <v>56.3</v>
          </cell>
          <cell r="J1907">
            <v>4</v>
          </cell>
          <cell r="K1907">
            <v>8</v>
          </cell>
          <cell r="L1907">
            <v>86.5</v>
          </cell>
          <cell r="M1907">
            <v>4</v>
          </cell>
          <cell r="N1907">
            <v>67.2</v>
          </cell>
          <cell r="O1907">
            <v>10.9</v>
          </cell>
          <cell r="P1907">
            <v>7.4</v>
          </cell>
          <cell r="S1907">
            <v>27.5</v>
          </cell>
          <cell r="U1907">
            <v>2</v>
          </cell>
        </row>
        <row r="1908">
          <cell r="B1908" t="str">
            <v>Female</v>
          </cell>
          <cell r="F1908">
            <v>16</v>
          </cell>
          <cell r="G1908">
            <v>24.2</v>
          </cell>
          <cell r="I1908">
            <v>64.5</v>
          </cell>
          <cell r="J1908">
            <v>6</v>
          </cell>
          <cell r="K1908">
            <v>16</v>
          </cell>
          <cell r="L1908">
            <v>116.64</v>
          </cell>
          <cell r="M1908">
            <v>35</v>
          </cell>
          <cell r="N1908">
            <v>25.6</v>
          </cell>
          <cell r="O1908">
            <v>8.3000000000000007</v>
          </cell>
          <cell r="P1908">
            <v>21</v>
          </cell>
          <cell r="S1908">
            <v>34.799999999999997</v>
          </cell>
          <cell r="T1908">
            <v>24.8</v>
          </cell>
          <cell r="U1908">
            <v>3</v>
          </cell>
        </row>
        <row r="1909">
          <cell r="B1909" t="str">
            <v>Male</v>
          </cell>
          <cell r="F1909">
            <v>9</v>
          </cell>
          <cell r="G1909">
            <v>25.6</v>
          </cell>
          <cell r="H1909">
            <v>7.3</v>
          </cell>
          <cell r="I1909">
            <v>52.1</v>
          </cell>
          <cell r="J1909">
            <v>5</v>
          </cell>
          <cell r="K1909">
            <v>9</v>
          </cell>
          <cell r="L1909">
            <v>229.03</v>
          </cell>
          <cell r="M1909">
            <v>17</v>
          </cell>
          <cell r="N1909">
            <v>63.5</v>
          </cell>
          <cell r="O1909">
            <v>12.5</v>
          </cell>
          <cell r="P1909">
            <v>34.700000000000003</v>
          </cell>
          <cell r="S1909">
            <v>22.3</v>
          </cell>
          <cell r="T1909">
            <v>22.9</v>
          </cell>
          <cell r="U1909">
            <v>2</v>
          </cell>
        </row>
        <row r="1910">
          <cell r="B1910" t="str">
            <v>Female</v>
          </cell>
          <cell r="F1910">
            <v>16</v>
          </cell>
          <cell r="G1910">
            <v>36.4</v>
          </cell>
          <cell r="H1910">
            <v>10.3</v>
          </cell>
          <cell r="I1910">
            <v>29.6</v>
          </cell>
          <cell r="J1910">
            <v>5</v>
          </cell>
          <cell r="K1910">
            <v>13</v>
          </cell>
          <cell r="L1910">
            <v>98.4</v>
          </cell>
          <cell r="M1910">
            <v>9</v>
          </cell>
          <cell r="N1910">
            <v>26.3</v>
          </cell>
          <cell r="O1910">
            <v>2</v>
          </cell>
          <cell r="P1910">
            <v>15.2</v>
          </cell>
          <cell r="S1910">
            <v>38</v>
          </cell>
          <cell r="T1910">
            <v>26.3</v>
          </cell>
          <cell r="U1910">
            <v>3</v>
          </cell>
        </row>
        <row r="1911">
          <cell r="B1911" t="str">
            <v>Male</v>
          </cell>
          <cell r="F1911">
            <v>18</v>
          </cell>
          <cell r="G1911">
            <v>35.4</v>
          </cell>
          <cell r="H1911">
            <v>11.9</v>
          </cell>
          <cell r="I1911">
            <v>35.5</v>
          </cell>
          <cell r="J1911">
            <v>10</v>
          </cell>
          <cell r="K1911">
            <v>19</v>
          </cell>
          <cell r="L1911">
            <v>262.16000000000003</v>
          </cell>
          <cell r="M1911">
            <v>11</v>
          </cell>
          <cell r="N1911">
            <v>11.6</v>
          </cell>
          <cell r="O1911">
            <v>3</v>
          </cell>
          <cell r="P1911">
            <v>18.100000000000001</v>
          </cell>
          <cell r="S1911">
            <v>26.4</v>
          </cell>
          <cell r="U1911">
            <v>4</v>
          </cell>
        </row>
        <row r="1912">
          <cell r="B1912" t="str">
            <v>Female</v>
          </cell>
          <cell r="F1912">
            <v>9</v>
          </cell>
          <cell r="G1912">
            <v>31.7</v>
          </cell>
          <cell r="H1912">
            <v>7.1</v>
          </cell>
          <cell r="I1912">
            <v>88.9</v>
          </cell>
          <cell r="J1912">
            <v>3</v>
          </cell>
          <cell r="K1912" t="str">
            <v>7.800000000000001</v>
          </cell>
          <cell r="L1912">
            <v>118.42</v>
          </cell>
          <cell r="M1912">
            <v>0</v>
          </cell>
          <cell r="O1912">
            <v>6</v>
          </cell>
          <cell r="P1912">
            <v>32.200000000000003</v>
          </cell>
          <cell r="S1912">
            <v>17.8</v>
          </cell>
          <cell r="T1912">
            <v>13.2</v>
          </cell>
          <cell r="U1912">
            <v>2</v>
          </cell>
        </row>
        <row r="1913">
          <cell r="B1913" t="str">
            <v>Male</v>
          </cell>
          <cell r="F1913">
            <v>1</v>
          </cell>
          <cell r="G1913">
            <v>13.6</v>
          </cell>
          <cell r="H1913">
            <v>5</v>
          </cell>
          <cell r="I1913">
            <v>69.900000000000006</v>
          </cell>
          <cell r="J1913">
            <v>0</v>
          </cell>
          <cell r="K1913">
            <v>11</v>
          </cell>
          <cell r="L1913">
            <v>98.96</v>
          </cell>
          <cell r="M1913">
            <v>10</v>
          </cell>
          <cell r="N1913">
            <v>38.799999999999997</v>
          </cell>
          <cell r="O1913">
            <v>3.8</v>
          </cell>
          <cell r="P1913">
            <v>0.4</v>
          </cell>
          <cell r="S1913">
            <v>9.9</v>
          </cell>
          <cell r="T1913">
            <v>1.8</v>
          </cell>
          <cell r="U1913">
            <v>2</v>
          </cell>
        </row>
        <row r="1914">
          <cell r="B1914" t="str">
            <v>Male</v>
          </cell>
          <cell r="F1914">
            <v>0</v>
          </cell>
          <cell r="G1914">
            <v>26.5</v>
          </cell>
          <cell r="H1914">
            <v>10.7</v>
          </cell>
          <cell r="I1914">
            <v>65.5</v>
          </cell>
          <cell r="J1914">
            <v>5</v>
          </cell>
          <cell r="K1914">
            <v>8</v>
          </cell>
          <cell r="L1914">
            <v>143.35</v>
          </cell>
          <cell r="M1914">
            <v>27</v>
          </cell>
          <cell r="N1914">
            <v>57.1</v>
          </cell>
          <cell r="O1914">
            <v>10</v>
          </cell>
          <cell r="P1914">
            <v>25</v>
          </cell>
          <cell r="S1914">
            <v>46.5</v>
          </cell>
          <cell r="T1914">
            <v>15</v>
          </cell>
          <cell r="U1914">
            <v>2</v>
          </cell>
        </row>
        <row r="1915">
          <cell r="B1915" t="str">
            <v>Other</v>
          </cell>
          <cell r="F1915">
            <v>7</v>
          </cell>
          <cell r="H1915">
            <v>6.7</v>
          </cell>
          <cell r="I1915">
            <v>61.1</v>
          </cell>
          <cell r="J1915">
            <v>6</v>
          </cell>
          <cell r="K1915">
            <v>8</v>
          </cell>
          <cell r="L1915">
            <v>103.47</v>
          </cell>
          <cell r="M1915">
            <v>5</v>
          </cell>
          <cell r="N1915">
            <v>64.400000000000006</v>
          </cell>
          <cell r="O1915">
            <v>8.1</v>
          </cell>
          <cell r="P1915">
            <v>18.899999999999999</v>
          </cell>
          <cell r="S1915">
            <v>43.6</v>
          </cell>
          <cell r="T1915">
            <v>21.6</v>
          </cell>
          <cell r="U1915">
            <v>3</v>
          </cell>
        </row>
        <row r="1916">
          <cell r="B1916" t="str">
            <v>Male</v>
          </cell>
          <cell r="F1916">
            <v>6</v>
          </cell>
          <cell r="G1916">
            <v>29.9</v>
          </cell>
          <cell r="H1916">
            <v>15</v>
          </cell>
          <cell r="I1916">
            <v>28.5</v>
          </cell>
          <cell r="J1916">
            <v>8</v>
          </cell>
          <cell r="K1916">
            <v>14</v>
          </cell>
          <cell r="L1916">
            <v>224.42</v>
          </cell>
          <cell r="M1916">
            <v>33</v>
          </cell>
          <cell r="P1916">
            <v>12.1</v>
          </cell>
          <cell r="S1916">
            <v>36.700000000000003</v>
          </cell>
          <cell r="T1916">
            <v>20.2</v>
          </cell>
          <cell r="U1916">
            <v>2</v>
          </cell>
        </row>
        <row r="1917">
          <cell r="B1917" t="str">
            <v>Male</v>
          </cell>
          <cell r="F1917">
            <v>13</v>
          </cell>
          <cell r="G1917">
            <v>29.5</v>
          </cell>
          <cell r="H1917">
            <v>8.8000000000000007</v>
          </cell>
          <cell r="I1917">
            <v>52.4</v>
          </cell>
          <cell r="J1917">
            <v>6</v>
          </cell>
          <cell r="K1917">
            <v>14.3</v>
          </cell>
          <cell r="L1917">
            <v>84.71</v>
          </cell>
          <cell r="M1917">
            <v>22</v>
          </cell>
          <cell r="O1917">
            <v>2.5</v>
          </cell>
          <cell r="P1917">
            <v>20.3</v>
          </cell>
          <cell r="S1917">
            <v>19.8</v>
          </cell>
          <cell r="T1917">
            <v>26.6</v>
          </cell>
          <cell r="U1917">
            <v>4</v>
          </cell>
        </row>
        <row r="1918">
          <cell r="B1918" t="str">
            <v>Male</v>
          </cell>
          <cell r="F1918">
            <v>9</v>
          </cell>
          <cell r="G1918">
            <v>22.4</v>
          </cell>
          <cell r="H1918">
            <v>9.6</v>
          </cell>
          <cell r="I1918">
            <v>60.7</v>
          </cell>
          <cell r="J1918">
            <v>2</v>
          </cell>
          <cell r="K1918">
            <v>9</v>
          </cell>
          <cell r="L1918">
            <v>226.42</v>
          </cell>
          <cell r="M1918">
            <v>39</v>
          </cell>
          <cell r="N1918">
            <v>56.7</v>
          </cell>
          <cell r="O1918">
            <v>11.3</v>
          </cell>
          <cell r="P1918">
            <v>26.5</v>
          </cell>
          <cell r="S1918">
            <v>23.4</v>
          </cell>
          <cell r="T1918">
            <v>22.5</v>
          </cell>
          <cell r="U1918">
            <v>2</v>
          </cell>
        </row>
        <row r="1919">
          <cell r="B1919" t="str">
            <v>Other</v>
          </cell>
          <cell r="F1919">
            <v>1</v>
          </cell>
          <cell r="G1919">
            <v>15.6</v>
          </cell>
          <cell r="H1919">
            <v>4.8</v>
          </cell>
          <cell r="I1919">
            <v>72.8</v>
          </cell>
          <cell r="J1919">
            <v>1</v>
          </cell>
          <cell r="K1919">
            <v>7</v>
          </cell>
          <cell r="L1919">
            <v>72.790000000000006</v>
          </cell>
          <cell r="M1919">
            <v>78</v>
          </cell>
          <cell r="N1919">
            <v>88.6</v>
          </cell>
          <cell r="O1919">
            <v>8.9</v>
          </cell>
          <cell r="P1919">
            <v>1.7</v>
          </cell>
          <cell r="S1919">
            <v>22.2</v>
          </cell>
          <cell r="T1919">
            <v>16.5</v>
          </cell>
          <cell r="U1919">
            <v>2</v>
          </cell>
        </row>
        <row r="1920">
          <cell r="B1920" t="str">
            <v>Male</v>
          </cell>
          <cell r="F1920">
            <v>3</v>
          </cell>
          <cell r="G1920">
            <v>31</v>
          </cell>
          <cell r="H1920">
            <v>10.5</v>
          </cell>
          <cell r="I1920">
            <v>55.1</v>
          </cell>
          <cell r="J1920">
            <v>1</v>
          </cell>
          <cell r="K1920">
            <v>14.3</v>
          </cell>
          <cell r="L1920">
            <v>115.4</v>
          </cell>
          <cell r="M1920">
            <v>58</v>
          </cell>
          <cell r="N1920">
            <v>69.959999999999994</v>
          </cell>
          <cell r="O1920">
            <v>12</v>
          </cell>
          <cell r="P1920">
            <v>21.8</v>
          </cell>
          <cell r="S1920">
            <v>28.9</v>
          </cell>
          <cell r="T1920">
            <v>26.9</v>
          </cell>
          <cell r="U1920">
            <v>1</v>
          </cell>
        </row>
        <row r="1921">
          <cell r="B1921" t="str">
            <v>Female</v>
          </cell>
          <cell r="F1921">
            <v>21</v>
          </cell>
          <cell r="G1921">
            <v>43.1</v>
          </cell>
          <cell r="H1921">
            <v>15.2</v>
          </cell>
          <cell r="I1921">
            <v>33.4</v>
          </cell>
          <cell r="J1921">
            <v>6</v>
          </cell>
          <cell r="K1921">
            <v>16</v>
          </cell>
          <cell r="L1921">
            <v>89.01</v>
          </cell>
          <cell r="M1921">
            <v>47</v>
          </cell>
          <cell r="N1921">
            <v>25.5</v>
          </cell>
          <cell r="P1921">
            <v>29.4</v>
          </cell>
          <cell r="S1921">
            <v>30.9</v>
          </cell>
          <cell r="T1921">
            <v>27.1</v>
          </cell>
          <cell r="U1921">
            <v>1</v>
          </cell>
        </row>
        <row r="1922">
          <cell r="B1922" t="str">
            <v>Male</v>
          </cell>
          <cell r="F1922">
            <v>18</v>
          </cell>
          <cell r="G1922">
            <v>52.5</v>
          </cell>
          <cell r="H1922">
            <v>11.8</v>
          </cell>
          <cell r="I1922">
            <v>31.4</v>
          </cell>
          <cell r="J1922">
            <v>12</v>
          </cell>
          <cell r="K1922">
            <v>18</v>
          </cell>
          <cell r="L1922">
            <v>106.94</v>
          </cell>
          <cell r="M1922">
            <v>23</v>
          </cell>
          <cell r="N1922">
            <v>36.1</v>
          </cell>
          <cell r="O1922">
            <v>16.2</v>
          </cell>
          <cell r="P1922">
            <v>34.700000000000003</v>
          </cell>
          <cell r="S1922">
            <v>56.9</v>
          </cell>
          <cell r="T1922">
            <v>31.2</v>
          </cell>
          <cell r="U1922">
            <v>1</v>
          </cell>
        </row>
        <row r="1923">
          <cell r="B1923" t="str">
            <v>Male</v>
          </cell>
          <cell r="F1923">
            <v>9</v>
          </cell>
          <cell r="G1923">
            <v>13.2</v>
          </cell>
          <cell r="H1923">
            <v>7.9</v>
          </cell>
          <cell r="I1923">
            <v>64</v>
          </cell>
          <cell r="J1923">
            <v>2</v>
          </cell>
          <cell r="K1923">
            <v>7</v>
          </cell>
          <cell r="L1923">
            <v>128.61000000000001</v>
          </cell>
          <cell r="M1923">
            <v>3</v>
          </cell>
          <cell r="N1923">
            <v>10.9</v>
          </cell>
          <cell r="O1923">
            <v>4.7</v>
          </cell>
          <cell r="P1923">
            <v>9.4</v>
          </cell>
          <cell r="T1923">
            <v>9.6999999999999993</v>
          </cell>
          <cell r="U1923">
            <v>2</v>
          </cell>
        </row>
        <row r="1924">
          <cell r="B1924" t="str">
            <v>Male</v>
          </cell>
          <cell r="F1924">
            <v>1</v>
          </cell>
          <cell r="G1924">
            <v>17.899999999999999</v>
          </cell>
          <cell r="H1924">
            <v>4.8</v>
          </cell>
          <cell r="I1924">
            <v>69.900000000000006</v>
          </cell>
          <cell r="J1924">
            <v>3</v>
          </cell>
          <cell r="K1924">
            <v>4</v>
          </cell>
          <cell r="L1924">
            <v>102.19</v>
          </cell>
          <cell r="M1924">
            <v>1</v>
          </cell>
          <cell r="N1924">
            <v>86.8</v>
          </cell>
          <cell r="O1924">
            <v>7.4</v>
          </cell>
          <cell r="P1924">
            <v>10.3</v>
          </cell>
          <cell r="S1924">
            <v>0</v>
          </cell>
          <cell r="T1924">
            <v>1.5</v>
          </cell>
          <cell r="U1924">
            <v>1</v>
          </cell>
        </row>
        <row r="1925">
          <cell r="B1925" t="str">
            <v>Female</v>
          </cell>
          <cell r="F1925">
            <v>29</v>
          </cell>
          <cell r="G1925">
            <v>49.4</v>
          </cell>
          <cell r="H1925">
            <v>15.3</v>
          </cell>
          <cell r="I1925">
            <v>25.4</v>
          </cell>
          <cell r="J1925">
            <v>11</v>
          </cell>
          <cell r="K1925" t="str">
            <v>29.900000000000002</v>
          </cell>
          <cell r="L1925">
            <v>126.47</v>
          </cell>
          <cell r="M1925">
            <v>24</v>
          </cell>
          <cell r="N1925" t="str">
            <v>28.679999999999996</v>
          </cell>
          <cell r="O1925">
            <v>13.3</v>
          </cell>
          <cell r="P1925">
            <v>60.3</v>
          </cell>
          <cell r="S1925">
            <v>45.5</v>
          </cell>
          <cell r="T1925">
            <v>37.1</v>
          </cell>
          <cell r="U1925">
            <v>2</v>
          </cell>
        </row>
        <row r="1926">
          <cell r="B1926" t="str">
            <v>Female</v>
          </cell>
          <cell r="F1926">
            <v>11</v>
          </cell>
          <cell r="G1926">
            <v>35.200000000000003</v>
          </cell>
          <cell r="H1926">
            <v>6.3</v>
          </cell>
          <cell r="I1926">
            <v>47</v>
          </cell>
          <cell r="J1926">
            <v>6</v>
          </cell>
          <cell r="K1926">
            <v>11</v>
          </cell>
          <cell r="L1926">
            <v>110.83</v>
          </cell>
          <cell r="M1926">
            <v>8</v>
          </cell>
          <cell r="N1926">
            <v>24.7</v>
          </cell>
          <cell r="O1926">
            <v>5.2</v>
          </cell>
          <cell r="P1926">
            <v>7.2</v>
          </cell>
          <cell r="T1926">
            <v>16.8</v>
          </cell>
          <cell r="U1926">
            <v>2</v>
          </cell>
        </row>
        <row r="1927">
          <cell r="B1927" t="str">
            <v>Female</v>
          </cell>
          <cell r="F1927">
            <v>6</v>
          </cell>
          <cell r="G1927">
            <v>27.4</v>
          </cell>
          <cell r="H1927">
            <v>5.4</v>
          </cell>
          <cell r="I1927">
            <v>60.6</v>
          </cell>
          <cell r="J1927">
            <v>5</v>
          </cell>
          <cell r="K1927">
            <v>7</v>
          </cell>
          <cell r="L1927">
            <v>117.07</v>
          </cell>
          <cell r="M1927">
            <v>19</v>
          </cell>
          <cell r="N1927">
            <v>55.6</v>
          </cell>
          <cell r="O1927">
            <v>18.5</v>
          </cell>
          <cell r="P1927">
            <v>22.3</v>
          </cell>
          <cell r="S1927">
            <v>7.6</v>
          </cell>
          <cell r="U1927">
            <v>3</v>
          </cell>
        </row>
        <row r="1928">
          <cell r="B1928" t="str">
            <v>Female</v>
          </cell>
          <cell r="F1928">
            <v>15</v>
          </cell>
          <cell r="H1928">
            <v>6.8</v>
          </cell>
          <cell r="I1928">
            <v>67.3</v>
          </cell>
          <cell r="J1928">
            <v>5</v>
          </cell>
          <cell r="K1928">
            <v>12</v>
          </cell>
          <cell r="L1928">
            <v>105.71</v>
          </cell>
          <cell r="M1928">
            <v>21</v>
          </cell>
          <cell r="N1928">
            <v>44.4</v>
          </cell>
          <cell r="O1928">
            <v>4.3</v>
          </cell>
          <cell r="P1928">
            <v>0</v>
          </cell>
          <cell r="S1928">
            <v>0</v>
          </cell>
          <cell r="U1928">
            <v>3</v>
          </cell>
        </row>
        <row r="1929">
          <cell r="B1929" t="str">
            <v>Female</v>
          </cell>
          <cell r="F1929">
            <v>15</v>
          </cell>
          <cell r="G1929">
            <v>34.5</v>
          </cell>
          <cell r="H1929">
            <v>10.8</v>
          </cell>
          <cell r="I1929">
            <v>47.5</v>
          </cell>
          <cell r="J1929">
            <v>7</v>
          </cell>
          <cell r="K1929">
            <v>12</v>
          </cell>
          <cell r="L1929">
            <v>172.06</v>
          </cell>
          <cell r="M1929">
            <v>7</v>
          </cell>
          <cell r="N1929">
            <v>65.099999999999994</v>
          </cell>
          <cell r="O1929">
            <v>4.5999999999999996</v>
          </cell>
          <cell r="P1929">
            <v>30.7</v>
          </cell>
          <cell r="S1929">
            <v>49.3</v>
          </cell>
          <cell r="T1929">
            <v>29.7</v>
          </cell>
          <cell r="U1929">
            <v>4</v>
          </cell>
        </row>
        <row r="1930">
          <cell r="B1930" t="str">
            <v>Male</v>
          </cell>
          <cell r="F1930">
            <v>7</v>
          </cell>
          <cell r="H1930">
            <v>3.7</v>
          </cell>
          <cell r="I1930">
            <v>77.900000000000006</v>
          </cell>
          <cell r="J1930">
            <v>4</v>
          </cell>
          <cell r="K1930">
            <v>8</v>
          </cell>
          <cell r="L1930">
            <v>97.82</v>
          </cell>
          <cell r="M1930">
            <v>6</v>
          </cell>
          <cell r="N1930">
            <v>26.4</v>
          </cell>
          <cell r="O1930">
            <v>9.4</v>
          </cell>
          <cell r="T1930">
            <v>7.7</v>
          </cell>
          <cell r="U1930">
            <v>1</v>
          </cell>
        </row>
        <row r="1931">
          <cell r="B1931" t="str">
            <v>Female</v>
          </cell>
          <cell r="F1931">
            <v>2</v>
          </cell>
          <cell r="G1931">
            <v>25.8</v>
          </cell>
          <cell r="H1931">
            <v>2.2999999999999998</v>
          </cell>
          <cell r="I1931">
            <v>57.7</v>
          </cell>
          <cell r="J1931">
            <v>2</v>
          </cell>
          <cell r="K1931">
            <v>10</v>
          </cell>
          <cell r="L1931">
            <v>48.49</v>
          </cell>
          <cell r="M1931">
            <v>21</v>
          </cell>
          <cell r="N1931">
            <v>47.9</v>
          </cell>
          <cell r="O1931">
            <v>10</v>
          </cell>
          <cell r="S1931">
            <v>19.5</v>
          </cell>
          <cell r="T1931">
            <v>12.8</v>
          </cell>
          <cell r="U1931">
            <v>1</v>
          </cell>
        </row>
        <row r="1932">
          <cell r="B1932" t="str">
            <v>Male</v>
          </cell>
          <cell r="F1932">
            <v>17</v>
          </cell>
          <cell r="G1932">
            <v>37</v>
          </cell>
          <cell r="H1932">
            <v>10.7</v>
          </cell>
          <cell r="I1932">
            <v>42.5</v>
          </cell>
          <cell r="K1932">
            <v>21</v>
          </cell>
          <cell r="L1932">
            <v>80.709999999999994</v>
          </cell>
          <cell r="M1932">
            <v>38</v>
          </cell>
          <cell r="N1932">
            <v>40</v>
          </cell>
          <cell r="O1932">
            <v>3.5</v>
          </cell>
          <cell r="P1932">
            <v>36</v>
          </cell>
          <cell r="S1932">
            <v>12.4</v>
          </cell>
          <cell r="T1932">
            <v>21.1</v>
          </cell>
          <cell r="U1932">
            <v>4</v>
          </cell>
        </row>
        <row r="1933">
          <cell r="B1933" t="str">
            <v>Female</v>
          </cell>
          <cell r="F1933">
            <v>9</v>
          </cell>
          <cell r="G1933">
            <v>33.299999999999997</v>
          </cell>
          <cell r="H1933">
            <v>7.7</v>
          </cell>
          <cell r="I1933">
            <v>69.7</v>
          </cell>
          <cell r="J1933">
            <v>7</v>
          </cell>
          <cell r="K1933" t="str">
            <v>15.600000000000001</v>
          </cell>
          <cell r="L1933">
            <v>121</v>
          </cell>
          <cell r="M1933">
            <v>8</v>
          </cell>
          <cell r="N1933">
            <v>38.159999999999997</v>
          </cell>
          <cell r="O1933">
            <v>3.3</v>
          </cell>
          <cell r="P1933">
            <v>32.700000000000003</v>
          </cell>
          <cell r="S1933">
            <v>22.8</v>
          </cell>
          <cell r="T1933">
            <v>11.8</v>
          </cell>
          <cell r="U1933">
            <v>2</v>
          </cell>
        </row>
        <row r="1934">
          <cell r="B1934" t="str">
            <v>Male</v>
          </cell>
          <cell r="F1934">
            <v>12</v>
          </cell>
          <cell r="G1934">
            <v>21</v>
          </cell>
          <cell r="H1934">
            <v>6.3</v>
          </cell>
          <cell r="I1934">
            <v>62.9</v>
          </cell>
          <cell r="J1934">
            <v>1</v>
          </cell>
          <cell r="K1934">
            <v>9</v>
          </cell>
          <cell r="L1934">
            <v>114.59</v>
          </cell>
          <cell r="M1934">
            <v>70</v>
          </cell>
          <cell r="N1934">
            <v>28.2</v>
          </cell>
          <cell r="O1934">
            <v>7.4</v>
          </cell>
          <cell r="P1934">
            <v>4.3</v>
          </cell>
          <cell r="S1934">
            <v>0</v>
          </cell>
          <cell r="T1934">
            <v>6.8</v>
          </cell>
          <cell r="U1934">
            <v>3</v>
          </cell>
        </row>
        <row r="1935">
          <cell r="B1935" t="str">
            <v>Female</v>
          </cell>
          <cell r="F1935">
            <v>8</v>
          </cell>
          <cell r="G1935">
            <v>13.7</v>
          </cell>
          <cell r="H1935">
            <v>7.9</v>
          </cell>
          <cell r="I1935">
            <v>62.3</v>
          </cell>
          <cell r="J1935">
            <v>4</v>
          </cell>
          <cell r="K1935">
            <v>8</v>
          </cell>
          <cell r="L1935">
            <v>245.68</v>
          </cell>
          <cell r="M1935">
            <v>59</v>
          </cell>
          <cell r="N1935">
            <v>23.1</v>
          </cell>
          <cell r="P1935">
            <v>6.3</v>
          </cell>
          <cell r="S1935">
            <v>42.8</v>
          </cell>
          <cell r="T1935">
            <v>11.6</v>
          </cell>
          <cell r="U1935">
            <v>4</v>
          </cell>
        </row>
        <row r="1936">
          <cell r="B1936" t="str">
            <v>Male</v>
          </cell>
          <cell r="F1936">
            <v>10</v>
          </cell>
          <cell r="G1936">
            <v>35.5</v>
          </cell>
          <cell r="H1936">
            <v>11.8</v>
          </cell>
          <cell r="I1936">
            <v>34.4</v>
          </cell>
          <cell r="J1936">
            <v>10</v>
          </cell>
          <cell r="K1936">
            <v>19</v>
          </cell>
          <cell r="L1936">
            <v>67.58</v>
          </cell>
          <cell r="M1936">
            <v>16</v>
          </cell>
          <cell r="N1936">
            <v>33</v>
          </cell>
          <cell r="O1936">
            <v>4.7</v>
          </cell>
          <cell r="P1936">
            <v>13.2</v>
          </cell>
          <cell r="S1936">
            <v>51.4</v>
          </cell>
          <cell r="T1936">
            <v>24.8</v>
          </cell>
          <cell r="U1936">
            <v>1</v>
          </cell>
        </row>
        <row r="1937">
          <cell r="B1937" t="str">
            <v>Female</v>
          </cell>
          <cell r="F1937">
            <v>13</v>
          </cell>
          <cell r="G1937">
            <v>35.6</v>
          </cell>
          <cell r="H1937">
            <v>10.9</v>
          </cell>
          <cell r="I1937">
            <v>48.4</v>
          </cell>
          <cell r="J1937">
            <v>7</v>
          </cell>
          <cell r="K1937">
            <v>12</v>
          </cell>
          <cell r="L1937">
            <v>110.5</v>
          </cell>
          <cell r="M1937">
            <v>159</v>
          </cell>
          <cell r="N1937">
            <v>11</v>
          </cell>
          <cell r="O1937">
            <v>2.4</v>
          </cell>
          <cell r="P1937">
            <v>41.3</v>
          </cell>
          <cell r="S1937">
            <v>65.900000000000006</v>
          </cell>
          <cell r="T1937">
            <v>19.3</v>
          </cell>
          <cell r="U1937">
            <v>1</v>
          </cell>
        </row>
        <row r="1938">
          <cell r="B1938" t="str">
            <v>Male</v>
          </cell>
          <cell r="F1938">
            <v>19</v>
          </cell>
          <cell r="G1938">
            <v>33.700000000000003</v>
          </cell>
          <cell r="H1938">
            <v>13.5</v>
          </cell>
          <cell r="I1938">
            <v>25.4</v>
          </cell>
          <cell r="J1938">
            <v>14</v>
          </cell>
          <cell r="K1938">
            <v>22.1</v>
          </cell>
          <cell r="L1938">
            <v>129.58000000000001</v>
          </cell>
          <cell r="M1938">
            <v>7</v>
          </cell>
          <cell r="N1938">
            <v>47.76</v>
          </cell>
          <cell r="O1938">
            <v>2.2999999999999998</v>
          </cell>
          <cell r="P1938">
            <v>24.1</v>
          </cell>
          <cell r="S1938">
            <v>34.4</v>
          </cell>
          <cell r="T1938">
            <v>32.4</v>
          </cell>
          <cell r="U1938">
            <v>2</v>
          </cell>
        </row>
        <row r="1939">
          <cell r="B1939" t="str">
            <v>Female</v>
          </cell>
          <cell r="F1939">
            <v>21</v>
          </cell>
          <cell r="H1939">
            <v>7.3</v>
          </cell>
          <cell r="I1939">
            <v>71.8</v>
          </cell>
          <cell r="J1939">
            <v>4</v>
          </cell>
          <cell r="K1939">
            <v>13</v>
          </cell>
          <cell r="L1939">
            <v>167.15</v>
          </cell>
          <cell r="M1939">
            <v>14</v>
          </cell>
          <cell r="N1939" t="str">
            <v>46.559999999999995</v>
          </cell>
          <cell r="O1939">
            <v>5.8</v>
          </cell>
          <cell r="P1939">
            <v>22.3</v>
          </cell>
          <cell r="S1939">
            <v>0</v>
          </cell>
          <cell r="T1939">
            <v>17.7</v>
          </cell>
          <cell r="U1939">
            <v>3</v>
          </cell>
        </row>
        <row r="1940">
          <cell r="B1940" t="str">
            <v>Male</v>
          </cell>
          <cell r="F1940">
            <v>15</v>
          </cell>
          <cell r="G1940">
            <v>30</v>
          </cell>
          <cell r="H1940">
            <v>7.7</v>
          </cell>
          <cell r="I1940">
            <v>64.900000000000006</v>
          </cell>
          <cell r="J1940">
            <v>6</v>
          </cell>
          <cell r="K1940">
            <v>16</v>
          </cell>
          <cell r="L1940">
            <v>113.68</v>
          </cell>
          <cell r="M1940">
            <v>4</v>
          </cell>
          <cell r="N1940">
            <v>51.7</v>
          </cell>
          <cell r="O1940">
            <v>15</v>
          </cell>
          <cell r="P1940">
            <v>13.9</v>
          </cell>
          <cell r="S1940">
            <v>8.1</v>
          </cell>
          <cell r="U1940">
            <v>2</v>
          </cell>
        </row>
        <row r="1941">
          <cell r="B1941" t="str">
            <v>Male</v>
          </cell>
          <cell r="F1941">
            <v>17</v>
          </cell>
          <cell r="G1941">
            <v>27.5</v>
          </cell>
          <cell r="H1941">
            <v>8.5</v>
          </cell>
          <cell r="I1941">
            <v>47.3</v>
          </cell>
          <cell r="J1941">
            <v>5</v>
          </cell>
          <cell r="K1941">
            <v>14</v>
          </cell>
          <cell r="L1941">
            <v>69.87</v>
          </cell>
          <cell r="M1941">
            <v>51</v>
          </cell>
          <cell r="N1941">
            <v>55.7</v>
          </cell>
          <cell r="O1941">
            <v>4.5</v>
          </cell>
          <cell r="P1941">
            <v>13</v>
          </cell>
          <cell r="S1941">
            <v>31.1</v>
          </cell>
          <cell r="T1941">
            <v>27</v>
          </cell>
          <cell r="U1941">
            <v>2</v>
          </cell>
        </row>
        <row r="1942">
          <cell r="B1942" t="str">
            <v>Female</v>
          </cell>
          <cell r="F1942">
            <v>5</v>
          </cell>
          <cell r="G1942">
            <v>16</v>
          </cell>
          <cell r="H1942">
            <v>10</v>
          </cell>
          <cell r="I1942">
            <v>58.6</v>
          </cell>
          <cell r="J1942">
            <v>2</v>
          </cell>
          <cell r="K1942">
            <v>10</v>
          </cell>
          <cell r="L1942">
            <v>45.27</v>
          </cell>
          <cell r="M1942">
            <v>43</v>
          </cell>
          <cell r="N1942">
            <v>23.4</v>
          </cell>
          <cell r="O1942">
            <v>5.9</v>
          </cell>
          <cell r="P1942">
            <v>18.8</v>
          </cell>
          <cell r="S1942">
            <v>43.7</v>
          </cell>
          <cell r="T1942">
            <v>8.6</v>
          </cell>
          <cell r="U1942">
            <v>1</v>
          </cell>
        </row>
        <row r="1943">
          <cell r="B1943" t="str">
            <v>Male</v>
          </cell>
          <cell r="F1943">
            <v>0</v>
          </cell>
          <cell r="G1943">
            <v>20.5</v>
          </cell>
          <cell r="H1943">
            <v>4.0999999999999996</v>
          </cell>
          <cell r="I1943">
            <v>58.9</v>
          </cell>
          <cell r="J1943">
            <v>1</v>
          </cell>
          <cell r="K1943">
            <v>12</v>
          </cell>
          <cell r="L1943">
            <v>94.34</v>
          </cell>
          <cell r="M1943">
            <v>86</v>
          </cell>
          <cell r="N1943">
            <v>4.7</v>
          </cell>
          <cell r="O1943">
            <v>6.1</v>
          </cell>
          <cell r="P1943">
            <v>18.600000000000001</v>
          </cell>
          <cell r="T1943">
            <v>16.399999999999999</v>
          </cell>
          <cell r="U1943">
            <v>2</v>
          </cell>
        </row>
        <row r="1944">
          <cell r="B1944" t="str">
            <v>Female</v>
          </cell>
          <cell r="F1944">
            <v>4</v>
          </cell>
          <cell r="G1944">
            <v>26.6</v>
          </cell>
          <cell r="H1944">
            <v>6</v>
          </cell>
          <cell r="I1944">
            <v>71.599999999999994</v>
          </cell>
          <cell r="K1944">
            <v>10</v>
          </cell>
          <cell r="L1944">
            <v>130.46</v>
          </cell>
          <cell r="M1944">
            <v>1</v>
          </cell>
          <cell r="N1944">
            <v>14.4</v>
          </cell>
          <cell r="O1944">
            <v>8.1</v>
          </cell>
          <cell r="P1944">
            <v>6.1</v>
          </cell>
          <cell r="S1944">
            <v>38.5</v>
          </cell>
          <cell r="T1944">
            <v>12</v>
          </cell>
          <cell r="U1944">
            <v>4</v>
          </cell>
        </row>
        <row r="1945">
          <cell r="B1945" t="str">
            <v>Male</v>
          </cell>
          <cell r="F1945">
            <v>7</v>
          </cell>
          <cell r="G1945">
            <v>19.3</v>
          </cell>
          <cell r="H1945">
            <v>4.5999999999999996</v>
          </cell>
          <cell r="I1945">
            <v>85.4</v>
          </cell>
          <cell r="J1945">
            <v>4</v>
          </cell>
          <cell r="K1945">
            <v>9.1</v>
          </cell>
          <cell r="L1945">
            <v>97.45</v>
          </cell>
          <cell r="M1945">
            <v>11</v>
          </cell>
          <cell r="N1945">
            <v>13.44</v>
          </cell>
          <cell r="O1945">
            <v>4.5999999999999996</v>
          </cell>
          <cell r="P1945">
            <v>25.5</v>
          </cell>
          <cell r="S1945">
            <v>18.8</v>
          </cell>
          <cell r="T1945">
            <v>10.3</v>
          </cell>
          <cell r="U1945">
            <v>1</v>
          </cell>
        </row>
        <row r="1946">
          <cell r="B1946" t="str">
            <v>Female</v>
          </cell>
          <cell r="F1946">
            <v>17</v>
          </cell>
          <cell r="G1946">
            <v>25.2</v>
          </cell>
          <cell r="H1946">
            <v>9.4</v>
          </cell>
          <cell r="I1946">
            <v>40.1</v>
          </cell>
          <cell r="J1946">
            <v>8</v>
          </cell>
          <cell r="K1946">
            <v>26</v>
          </cell>
          <cell r="L1946">
            <v>95.54</v>
          </cell>
          <cell r="M1946">
            <v>7</v>
          </cell>
          <cell r="N1946" t="str">
            <v>64.55999999999999</v>
          </cell>
          <cell r="O1946">
            <v>2.8</v>
          </cell>
          <cell r="P1946">
            <v>38.299999999999997</v>
          </cell>
          <cell r="S1946">
            <v>35.299999999999997</v>
          </cell>
          <cell r="T1946">
            <v>26.7</v>
          </cell>
          <cell r="U1946">
            <v>2</v>
          </cell>
        </row>
        <row r="1947">
          <cell r="B1947" t="str">
            <v>Male</v>
          </cell>
          <cell r="F1947">
            <v>14</v>
          </cell>
          <cell r="G1947">
            <v>23.9</v>
          </cell>
          <cell r="H1947">
            <v>10.6</v>
          </cell>
          <cell r="I1947">
            <v>44.9</v>
          </cell>
          <cell r="J1947">
            <v>2</v>
          </cell>
          <cell r="K1947">
            <v>14</v>
          </cell>
          <cell r="L1947">
            <v>153.37</v>
          </cell>
          <cell r="M1947">
            <v>11</v>
          </cell>
          <cell r="O1947">
            <v>3.7</v>
          </cell>
          <cell r="P1947">
            <v>25.4</v>
          </cell>
          <cell r="S1947">
            <v>33.299999999999997</v>
          </cell>
          <cell r="T1947">
            <v>22</v>
          </cell>
          <cell r="U1947">
            <v>1</v>
          </cell>
        </row>
        <row r="1948">
          <cell r="B1948" t="str">
            <v>Female</v>
          </cell>
          <cell r="F1948">
            <v>3</v>
          </cell>
          <cell r="G1948">
            <v>17.2</v>
          </cell>
          <cell r="H1948">
            <v>6.7</v>
          </cell>
          <cell r="I1948">
            <v>71.7</v>
          </cell>
          <cell r="J1948">
            <v>1</v>
          </cell>
          <cell r="K1948">
            <v>6.5</v>
          </cell>
          <cell r="L1948">
            <v>92.53</v>
          </cell>
          <cell r="M1948">
            <v>27</v>
          </cell>
          <cell r="N1948" t="str">
            <v>63.35999999999999</v>
          </cell>
          <cell r="O1948">
            <v>2.1</v>
          </cell>
          <cell r="P1948">
            <v>22.3</v>
          </cell>
          <cell r="S1948">
            <v>20.6</v>
          </cell>
          <cell r="U1948">
            <v>1</v>
          </cell>
        </row>
        <row r="1949">
          <cell r="B1949" t="str">
            <v>Male</v>
          </cell>
          <cell r="F1949">
            <v>5</v>
          </cell>
          <cell r="G1949">
            <v>15.4</v>
          </cell>
          <cell r="H1949">
            <v>6.9</v>
          </cell>
          <cell r="I1949">
            <v>77</v>
          </cell>
          <cell r="J1949">
            <v>4</v>
          </cell>
          <cell r="K1949">
            <v>6.5</v>
          </cell>
          <cell r="L1949">
            <v>94.28</v>
          </cell>
          <cell r="M1949">
            <v>25</v>
          </cell>
          <cell r="N1949">
            <v>5.64</v>
          </cell>
          <cell r="O1949">
            <v>5.9</v>
          </cell>
          <cell r="P1949">
            <v>8.6</v>
          </cell>
          <cell r="S1949">
            <v>29.6</v>
          </cell>
          <cell r="T1949">
            <v>24.3</v>
          </cell>
          <cell r="U1949">
            <v>3</v>
          </cell>
        </row>
        <row r="1950">
          <cell r="B1950" t="str">
            <v>Male</v>
          </cell>
          <cell r="F1950">
            <v>0</v>
          </cell>
          <cell r="G1950">
            <v>20.5</v>
          </cell>
          <cell r="H1950">
            <v>6.8</v>
          </cell>
          <cell r="I1950">
            <v>83.9</v>
          </cell>
          <cell r="J1950">
            <v>0</v>
          </cell>
          <cell r="K1950">
            <v>1</v>
          </cell>
          <cell r="L1950">
            <v>178.57</v>
          </cell>
          <cell r="M1950">
            <v>23</v>
          </cell>
          <cell r="N1950">
            <v>25.8</v>
          </cell>
          <cell r="O1950">
            <v>1.8</v>
          </cell>
          <cell r="P1950">
            <v>24.9</v>
          </cell>
          <cell r="T1950">
            <v>13.3</v>
          </cell>
          <cell r="U1950">
            <v>3</v>
          </cell>
        </row>
        <row r="1951">
          <cell r="B1951" t="str">
            <v>Male</v>
          </cell>
          <cell r="F1951">
            <v>0</v>
          </cell>
          <cell r="G1951">
            <v>34.9</v>
          </cell>
          <cell r="H1951">
            <v>5.6</v>
          </cell>
          <cell r="I1951">
            <v>48.2</v>
          </cell>
          <cell r="J1951">
            <v>3</v>
          </cell>
          <cell r="K1951">
            <v>10</v>
          </cell>
          <cell r="L1951">
            <v>102.07</v>
          </cell>
          <cell r="N1951">
            <v>48.5</v>
          </cell>
          <cell r="O1951">
            <v>14.2</v>
          </cell>
          <cell r="P1951">
            <v>19.3</v>
          </cell>
          <cell r="S1951">
            <v>16.600000000000001</v>
          </cell>
          <cell r="T1951">
            <v>22.9</v>
          </cell>
          <cell r="U1951">
            <v>2</v>
          </cell>
        </row>
        <row r="1952">
          <cell r="B1952" t="str">
            <v>Male</v>
          </cell>
          <cell r="F1952">
            <v>2</v>
          </cell>
          <cell r="G1952">
            <v>17.3</v>
          </cell>
          <cell r="H1952">
            <v>3.9</v>
          </cell>
          <cell r="I1952">
            <v>88.8</v>
          </cell>
          <cell r="J1952">
            <v>1</v>
          </cell>
          <cell r="K1952" t="str">
            <v>7.800000000000001</v>
          </cell>
          <cell r="L1952">
            <v>63.06</v>
          </cell>
          <cell r="M1952">
            <v>11</v>
          </cell>
          <cell r="N1952" t="str">
            <v>77.88000000000001</v>
          </cell>
          <cell r="S1952">
            <v>3.4</v>
          </cell>
          <cell r="T1952">
            <v>11.1</v>
          </cell>
          <cell r="U1952">
            <v>2</v>
          </cell>
        </row>
        <row r="1953">
          <cell r="B1953" t="str">
            <v>Female</v>
          </cell>
          <cell r="F1953">
            <v>4</v>
          </cell>
          <cell r="G1953">
            <v>20.7</v>
          </cell>
          <cell r="H1953">
            <v>6.7</v>
          </cell>
          <cell r="I1953">
            <v>73.400000000000006</v>
          </cell>
          <cell r="J1953">
            <v>1</v>
          </cell>
          <cell r="K1953">
            <v>6</v>
          </cell>
          <cell r="L1953">
            <v>116.96</v>
          </cell>
          <cell r="M1953">
            <v>70</v>
          </cell>
          <cell r="N1953">
            <v>65.3</v>
          </cell>
          <cell r="O1953">
            <v>2</v>
          </cell>
          <cell r="P1953">
            <v>10.5</v>
          </cell>
          <cell r="S1953">
            <v>2.2999999999999998</v>
          </cell>
          <cell r="U1953">
            <v>3</v>
          </cell>
        </row>
        <row r="1954">
          <cell r="B1954" t="str">
            <v>Female</v>
          </cell>
          <cell r="F1954">
            <v>8</v>
          </cell>
          <cell r="H1954">
            <v>7.3</v>
          </cell>
          <cell r="I1954">
            <v>74.7</v>
          </cell>
          <cell r="J1954">
            <v>1</v>
          </cell>
          <cell r="K1954">
            <v>6</v>
          </cell>
          <cell r="L1954">
            <v>54.79</v>
          </cell>
          <cell r="M1954">
            <v>37</v>
          </cell>
          <cell r="N1954">
            <v>67.900000000000006</v>
          </cell>
          <cell r="O1954">
            <v>5.2</v>
          </cell>
          <cell r="S1954">
            <v>12.6</v>
          </cell>
          <cell r="T1954">
            <v>11</v>
          </cell>
          <cell r="U1954">
            <v>2</v>
          </cell>
        </row>
        <row r="1955">
          <cell r="B1955" t="str">
            <v>Other</v>
          </cell>
          <cell r="F1955">
            <v>21</v>
          </cell>
          <cell r="G1955">
            <v>44.4</v>
          </cell>
          <cell r="H1955">
            <v>13.3</v>
          </cell>
          <cell r="I1955">
            <v>57</v>
          </cell>
          <cell r="J1955">
            <v>5</v>
          </cell>
          <cell r="K1955">
            <v>14</v>
          </cell>
          <cell r="L1955">
            <v>275.02</v>
          </cell>
          <cell r="M1955">
            <v>19</v>
          </cell>
          <cell r="N1955">
            <v>32.799999999999997</v>
          </cell>
          <cell r="O1955">
            <v>1.9</v>
          </cell>
          <cell r="P1955">
            <v>38</v>
          </cell>
          <cell r="S1955">
            <v>38.299999999999997</v>
          </cell>
          <cell r="T1955">
            <v>22.1</v>
          </cell>
          <cell r="U1955">
            <v>1</v>
          </cell>
        </row>
        <row r="1956">
          <cell r="B1956" t="str">
            <v>Male</v>
          </cell>
          <cell r="F1956">
            <v>0</v>
          </cell>
          <cell r="G1956">
            <v>20.7</v>
          </cell>
          <cell r="H1956">
            <v>7.7</v>
          </cell>
          <cell r="I1956">
            <v>84.6</v>
          </cell>
          <cell r="J1956">
            <v>0</v>
          </cell>
          <cell r="K1956">
            <v>1</v>
          </cell>
          <cell r="L1956">
            <v>92.02</v>
          </cell>
          <cell r="M1956">
            <v>2</v>
          </cell>
          <cell r="N1956">
            <v>14.2</v>
          </cell>
          <cell r="O1956">
            <v>3.3</v>
          </cell>
          <cell r="P1956">
            <v>0</v>
          </cell>
          <cell r="S1956">
            <v>0</v>
          </cell>
          <cell r="T1956">
            <v>8.9</v>
          </cell>
          <cell r="U1956">
            <v>3</v>
          </cell>
        </row>
        <row r="1957">
          <cell r="B1957" t="str">
            <v>Female</v>
          </cell>
          <cell r="F1957">
            <v>25</v>
          </cell>
          <cell r="G1957">
            <v>37.299999999999997</v>
          </cell>
          <cell r="H1957">
            <v>12.9</v>
          </cell>
          <cell r="I1957">
            <v>39.200000000000003</v>
          </cell>
          <cell r="J1957">
            <v>6</v>
          </cell>
          <cell r="K1957">
            <v>18</v>
          </cell>
          <cell r="L1957">
            <v>134.1</v>
          </cell>
          <cell r="M1957">
            <v>1</v>
          </cell>
          <cell r="N1957">
            <v>48.5</v>
          </cell>
          <cell r="O1957">
            <v>4.8</v>
          </cell>
          <cell r="P1957">
            <v>35.5</v>
          </cell>
          <cell r="S1957">
            <v>66.7</v>
          </cell>
          <cell r="T1957">
            <v>19</v>
          </cell>
          <cell r="U1957">
            <v>3</v>
          </cell>
        </row>
        <row r="1958">
          <cell r="B1958" t="str">
            <v>Female</v>
          </cell>
          <cell r="F1958">
            <v>14</v>
          </cell>
          <cell r="G1958">
            <v>30.2</v>
          </cell>
          <cell r="H1958">
            <v>9.1999999999999993</v>
          </cell>
          <cell r="I1958">
            <v>35.5</v>
          </cell>
          <cell r="K1958">
            <v>20</v>
          </cell>
          <cell r="L1958">
            <v>51.93</v>
          </cell>
          <cell r="M1958">
            <v>43</v>
          </cell>
          <cell r="N1958">
            <v>48.1</v>
          </cell>
          <cell r="O1958">
            <v>1.8</v>
          </cell>
          <cell r="P1958">
            <v>27.3</v>
          </cell>
          <cell r="S1958">
            <v>59.3</v>
          </cell>
          <cell r="T1958">
            <v>22.3</v>
          </cell>
          <cell r="U1958">
            <v>3</v>
          </cell>
        </row>
        <row r="1959">
          <cell r="B1959" t="str">
            <v>Male</v>
          </cell>
          <cell r="F1959">
            <v>16</v>
          </cell>
          <cell r="G1959">
            <v>31.4</v>
          </cell>
          <cell r="H1959">
            <v>7.9</v>
          </cell>
          <cell r="I1959">
            <v>45</v>
          </cell>
          <cell r="J1959">
            <v>5</v>
          </cell>
          <cell r="K1959">
            <v>16</v>
          </cell>
          <cell r="L1959">
            <v>61</v>
          </cell>
          <cell r="M1959">
            <v>34</v>
          </cell>
          <cell r="N1959">
            <v>12.6</v>
          </cell>
          <cell r="O1959">
            <v>7.8</v>
          </cell>
          <cell r="P1959">
            <v>15.6</v>
          </cell>
          <cell r="S1959">
            <v>11.4</v>
          </cell>
          <cell r="T1959">
            <v>13.9</v>
          </cell>
          <cell r="U1959">
            <v>3</v>
          </cell>
        </row>
        <row r="1960">
          <cell r="B1960" t="str">
            <v>Male</v>
          </cell>
          <cell r="F1960">
            <v>8</v>
          </cell>
          <cell r="G1960">
            <v>14.3</v>
          </cell>
          <cell r="H1960">
            <v>5.7</v>
          </cell>
          <cell r="I1960">
            <v>73.7</v>
          </cell>
          <cell r="K1960">
            <v>2</v>
          </cell>
          <cell r="L1960">
            <v>94.65</v>
          </cell>
          <cell r="M1960">
            <v>1</v>
          </cell>
          <cell r="N1960">
            <v>57.4</v>
          </cell>
          <cell r="O1960">
            <v>11.5</v>
          </cell>
          <cell r="P1960">
            <v>0</v>
          </cell>
          <cell r="T1960">
            <v>4.9000000000000004</v>
          </cell>
          <cell r="U1960">
            <v>5</v>
          </cell>
        </row>
        <row r="1961">
          <cell r="B1961" t="str">
            <v>Male</v>
          </cell>
          <cell r="F1961">
            <v>14</v>
          </cell>
          <cell r="G1961">
            <v>40.4</v>
          </cell>
          <cell r="H1961">
            <v>13</v>
          </cell>
          <cell r="I1961">
            <v>52.5</v>
          </cell>
          <cell r="J1961">
            <v>5</v>
          </cell>
          <cell r="K1961">
            <v>20</v>
          </cell>
          <cell r="L1961">
            <v>141.44</v>
          </cell>
          <cell r="M1961">
            <v>20</v>
          </cell>
          <cell r="N1961">
            <v>5.9</v>
          </cell>
          <cell r="O1961">
            <v>3.3</v>
          </cell>
          <cell r="P1961">
            <v>44.2</v>
          </cell>
          <cell r="S1961">
            <v>63.3</v>
          </cell>
          <cell r="U1961">
            <v>3</v>
          </cell>
        </row>
        <row r="1962">
          <cell r="B1962" t="str">
            <v>Female</v>
          </cell>
          <cell r="F1962">
            <v>3</v>
          </cell>
          <cell r="G1962">
            <v>15.3</v>
          </cell>
          <cell r="H1962">
            <v>5.8</v>
          </cell>
          <cell r="I1962">
            <v>71.099999999999994</v>
          </cell>
          <cell r="J1962">
            <v>0</v>
          </cell>
          <cell r="K1962">
            <v>4</v>
          </cell>
          <cell r="L1962">
            <v>94.8</v>
          </cell>
          <cell r="M1962">
            <v>4</v>
          </cell>
          <cell r="N1962">
            <v>46.8</v>
          </cell>
          <cell r="O1962">
            <v>3.6</v>
          </cell>
          <cell r="P1962">
            <v>8.6</v>
          </cell>
          <cell r="S1962">
            <v>0</v>
          </cell>
          <cell r="T1962">
            <v>9</v>
          </cell>
          <cell r="U1962">
            <v>4</v>
          </cell>
        </row>
        <row r="1963">
          <cell r="B1963" t="str">
            <v>Female</v>
          </cell>
          <cell r="F1963">
            <v>12</v>
          </cell>
          <cell r="G1963">
            <v>40.799999999999997</v>
          </cell>
          <cell r="H1963">
            <v>15.3</v>
          </cell>
          <cell r="I1963">
            <v>47.4</v>
          </cell>
          <cell r="J1963">
            <v>7</v>
          </cell>
          <cell r="K1963">
            <v>18</v>
          </cell>
          <cell r="L1963">
            <v>144.94</v>
          </cell>
          <cell r="M1963">
            <v>10</v>
          </cell>
          <cell r="N1963">
            <v>18.8</v>
          </cell>
          <cell r="O1963">
            <v>4.5999999999999996</v>
          </cell>
          <cell r="P1963">
            <v>34.9</v>
          </cell>
          <cell r="T1963">
            <v>34.200000000000003</v>
          </cell>
          <cell r="U1963">
            <v>2</v>
          </cell>
        </row>
        <row r="1964">
          <cell r="B1964" t="str">
            <v>Female</v>
          </cell>
          <cell r="F1964">
            <v>11</v>
          </cell>
          <cell r="G1964">
            <v>18.5</v>
          </cell>
          <cell r="H1964">
            <v>7.8</v>
          </cell>
          <cell r="I1964">
            <v>54.5</v>
          </cell>
          <cell r="J1964">
            <v>2</v>
          </cell>
          <cell r="K1964">
            <v>12</v>
          </cell>
          <cell r="L1964">
            <v>61.38</v>
          </cell>
          <cell r="M1964">
            <v>28</v>
          </cell>
          <cell r="N1964">
            <v>59.7</v>
          </cell>
          <cell r="O1964">
            <v>1.2</v>
          </cell>
          <cell r="P1964">
            <v>4.5</v>
          </cell>
          <cell r="S1964">
            <v>35.799999999999997</v>
          </cell>
          <cell r="T1964">
            <v>14.1</v>
          </cell>
        </row>
        <row r="1965">
          <cell r="B1965" t="str">
            <v>Male</v>
          </cell>
          <cell r="F1965">
            <v>15</v>
          </cell>
          <cell r="G1965">
            <v>25.9</v>
          </cell>
          <cell r="H1965">
            <v>9.6</v>
          </cell>
          <cell r="I1965">
            <v>59.3</v>
          </cell>
          <cell r="J1965">
            <v>8</v>
          </cell>
          <cell r="K1965">
            <v>11</v>
          </cell>
          <cell r="L1965">
            <v>122.38</v>
          </cell>
          <cell r="M1965">
            <v>25</v>
          </cell>
          <cell r="N1965">
            <v>54</v>
          </cell>
          <cell r="O1965">
            <v>1.1000000000000001</v>
          </cell>
          <cell r="P1965">
            <v>37.200000000000003</v>
          </cell>
          <cell r="S1965">
            <v>59.2</v>
          </cell>
          <cell r="T1965">
            <v>23.9</v>
          </cell>
          <cell r="U1965">
            <v>3</v>
          </cell>
        </row>
        <row r="1966">
          <cell r="B1966" t="str">
            <v>Male</v>
          </cell>
          <cell r="F1966">
            <v>5</v>
          </cell>
          <cell r="G1966">
            <v>14.8</v>
          </cell>
          <cell r="H1966">
            <v>2</v>
          </cell>
          <cell r="I1966">
            <v>57.7</v>
          </cell>
          <cell r="J1966">
            <v>8</v>
          </cell>
          <cell r="K1966">
            <v>12</v>
          </cell>
          <cell r="L1966">
            <v>198.62</v>
          </cell>
          <cell r="M1966">
            <v>14</v>
          </cell>
          <cell r="N1966">
            <v>33.700000000000003</v>
          </cell>
          <cell r="O1966">
            <v>0.2</v>
          </cell>
          <cell r="P1966">
            <v>13.1</v>
          </cell>
          <cell r="S1966">
            <v>34.4</v>
          </cell>
          <cell r="T1966">
            <v>10.6</v>
          </cell>
        </row>
        <row r="1967">
          <cell r="B1967" t="str">
            <v>Male</v>
          </cell>
          <cell r="F1967">
            <v>0</v>
          </cell>
          <cell r="G1967">
            <v>9.1</v>
          </cell>
          <cell r="H1967">
            <v>3.2</v>
          </cell>
          <cell r="I1967">
            <v>64.8</v>
          </cell>
          <cell r="J1967">
            <v>0</v>
          </cell>
          <cell r="K1967">
            <v>3</v>
          </cell>
          <cell r="L1967">
            <v>100.32</v>
          </cell>
          <cell r="M1967">
            <v>28</v>
          </cell>
          <cell r="N1967">
            <v>6</v>
          </cell>
          <cell r="O1967">
            <v>3.9</v>
          </cell>
          <cell r="P1967">
            <v>3.8</v>
          </cell>
          <cell r="S1967">
            <v>0</v>
          </cell>
          <cell r="T1967">
            <v>5.3</v>
          </cell>
          <cell r="U1967">
            <v>3</v>
          </cell>
        </row>
        <row r="1968">
          <cell r="B1968" t="str">
            <v>Male</v>
          </cell>
          <cell r="F1968">
            <v>5</v>
          </cell>
          <cell r="G1968">
            <v>16.600000000000001</v>
          </cell>
          <cell r="H1968">
            <v>1</v>
          </cell>
          <cell r="I1968">
            <v>65.099999999999994</v>
          </cell>
          <cell r="J1968">
            <v>1</v>
          </cell>
          <cell r="K1968">
            <v>10</v>
          </cell>
          <cell r="L1968">
            <v>113.02</v>
          </cell>
          <cell r="M1968">
            <v>30</v>
          </cell>
          <cell r="N1968">
            <v>68.2</v>
          </cell>
          <cell r="O1968">
            <v>6.8</v>
          </cell>
          <cell r="P1968">
            <v>13.6</v>
          </cell>
          <cell r="S1968">
            <v>11.1</v>
          </cell>
          <cell r="T1968">
            <v>13.5</v>
          </cell>
          <cell r="U1968">
            <v>4</v>
          </cell>
        </row>
        <row r="1969">
          <cell r="B1969" t="str">
            <v>Male</v>
          </cell>
          <cell r="F1969">
            <v>0</v>
          </cell>
          <cell r="H1969">
            <v>1</v>
          </cell>
          <cell r="I1969">
            <v>78.400000000000006</v>
          </cell>
          <cell r="J1969">
            <v>1</v>
          </cell>
          <cell r="K1969" t="str">
            <v>3.9000000000000004</v>
          </cell>
          <cell r="L1969">
            <v>136.41999999999999</v>
          </cell>
          <cell r="M1969">
            <v>56</v>
          </cell>
          <cell r="N1969">
            <v>36.72</v>
          </cell>
          <cell r="O1969">
            <v>8.8000000000000007</v>
          </cell>
          <cell r="P1969">
            <v>0</v>
          </cell>
          <cell r="S1969">
            <v>0</v>
          </cell>
          <cell r="T1969">
            <v>0</v>
          </cell>
          <cell r="U1969">
            <v>1</v>
          </cell>
        </row>
        <row r="1970">
          <cell r="B1970" t="str">
            <v>Male</v>
          </cell>
          <cell r="F1970">
            <v>14</v>
          </cell>
          <cell r="G1970">
            <v>35.6</v>
          </cell>
          <cell r="H1970">
            <v>12.1</v>
          </cell>
          <cell r="I1970">
            <v>44.8</v>
          </cell>
          <cell r="J1970">
            <v>8</v>
          </cell>
          <cell r="K1970">
            <v>17</v>
          </cell>
          <cell r="L1970">
            <v>101.09</v>
          </cell>
          <cell r="M1970">
            <v>22</v>
          </cell>
          <cell r="N1970">
            <v>30.8</v>
          </cell>
          <cell r="O1970">
            <v>3.8</v>
          </cell>
          <cell r="P1970">
            <v>55.4</v>
          </cell>
          <cell r="S1970">
            <v>52.7</v>
          </cell>
          <cell r="T1970">
            <v>26.6</v>
          </cell>
          <cell r="U1970">
            <v>4</v>
          </cell>
        </row>
        <row r="1971">
          <cell r="B1971" t="str">
            <v>Female</v>
          </cell>
          <cell r="F1971">
            <v>10</v>
          </cell>
          <cell r="G1971">
            <v>21.9</v>
          </cell>
          <cell r="H1971">
            <v>7.8</v>
          </cell>
          <cell r="I1971">
            <v>66.400000000000006</v>
          </cell>
          <cell r="J1971">
            <v>2</v>
          </cell>
          <cell r="K1971">
            <v>7</v>
          </cell>
          <cell r="L1971">
            <v>123.17</v>
          </cell>
          <cell r="M1971">
            <v>11</v>
          </cell>
          <cell r="N1971">
            <v>58.8</v>
          </cell>
          <cell r="O1971">
            <v>6.9</v>
          </cell>
          <cell r="P1971">
            <v>0</v>
          </cell>
          <cell r="S1971">
            <v>25.8</v>
          </cell>
          <cell r="T1971">
            <v>10.7</v>
          </cell>
          <cell r="U1971">
            <v>4</v>
          </cell>
        </row>
        <row r="1972">
          <cell r="B1972" t="str">
            <v>Female</v>
          </cell>
          <cell r="F1972">
            <v>21</v>
          </cell>
          <cell r="G1972">
            <v>35.700000000000003</v>
          </cell>
          <cell r="H1972">
            <v>8.1999999999999993</v>
          </cell>
          <cell r="I1972">
            <v>57.7</v>
          </cell>
          <cell r="J1972">
            <v>6</v>
          </cell>
          <cell r="K1972" t="str">
            <v>29.900000000000002</v>
          </cell>
          <cell r="L1972">
            <v>96.5</v>
          </cell>
          <cell r="M1972">
            <v>45</v>
          </cell>
          <cell r="N1972">
            <v>54.6</v>
          </cell>
          <cell r="O1972">
            <v>0.4</v>
          </cell>
          <cell r="P1972">
            <v>18.7</v>
          </cell>
          <cell r="S1972">
            <v>19.7</v>
          </cell>
          <cell r="T1972">
            <v>20.7</v>
          </cell>
          <cell r="U1972">
            <v>3</v>
          </cell>
        </row>
        <row r="1973">
          <cell r="B1973" t="str">
            <v>Male</v>
          </cell>
          <cell r="F1973">
            <v>9</v>
          </cell>
          <cell r="G1973">
            <v>23.7</v>
          </cell>
          <cell r="H1973">
            <v>6.6</v>
          </cell>
          <cell r="I1973">
            <v>64.400000000000006</v>
          </cell>
          <cell r="J1973">
            <v>3</v>
          </cell>
          <cell r="K1973">
            <v>9</v>
          </cell>
          <cell r="L1973">
            <v>117.98</v>
          </cell>
          <cell r="M1973">
            <v>5</v>
          </cell>
          <cell r="N1973">
            <v>14</v>
          </cell>
          <cell r="O1973">
            <v>8</v>
          </cell>
          <cell r="P1973">
            <v>6.4</v>
          </cell>
          <cell r="T1973">
            <v>18.8</v>
          </cell>
          <cell r="U1973">
            <v>2</v>
          </cell>
        </row>
        <row r="1974">
          <cell r="B1974" t="str">
            <v>Male</v>
          </cell>
          <cell r="F1974">
            <v>4</v>
          </cell>
          <cell r="G1974">
            <v>25.2</v>
          </cell>
          <cell r="H1974">
            <v>7.5</v>
          </cell>
          <cell r="I1974">
            <v>66.3</v>
          </cell>
          <cell r="J1974">
            <v>2</v>
          </cell>
          <cell r="K1974">
            <v>7</v>
          </cell>
          <cell r="L1974">
            <v>92.16</v>
          </cell>
          <cell r="M1974">
            <v>23</v>
          </cell>
          <cell r="N1974">
            <v>53.1</v>
          </cell>
          <cell r="O1974">
            <v>9</v>
          </cell>
          <cell r="P1974">
            <v>0</v>
          </cell>
          <cell r="S1974">
            <v>26.7</v>
          </cell>
          <cell r="T1974">
            <v>18.600000000000001</v>
          </cell>
          <cell r="U1974">
            <v>1</v>
          </cell>
        </row>
        <row r="1975">
          <cell r="B1975" t="str">
            <v>Female</v>
          </cell>
          <cell r="F1975">
            <v>5</v>
          </cell>
          <cell r="G1975">
            <v>26.3</v>
          </cell>
          <cell r="I1975">
            <v>45.4</v>
          </cell>
          <cell r="K1975">
            <v>8</v>
          </cell>
          <cell r="L1975">
            <v>116.57</v>
          </cell>
          <cell r="M1975">
            <v>54</v>
          </cell>
          <cell r="N1975">
            <v>9.3000000000000007</v>
          </cell>
          <cell r="O1975">
            <v>8.4</v>
          </cell>
          <cell r="P1975">
            <v>14.7</v>
          </cell>
          <cell r="S1975">
            <v>17.8</v>
          </cell>
          <cell r="T1975">
            <v>31.9</v>
          </cell>
          <cell r="U1975">
            <v>2</v>
          </cell>
        </row>
        <row r="1976">
          <cell r="B1976" t="str">
            <v>Female</v>
          </cell>
          <cell r="F1976">
            <v>0</v>
          </cell>
          <cell r="G1976">
            <v>19.100000000000001</v>
          </cell>
          <cell r="I1976">
            <v>91.8</v>
          </cell>
          <cell r="J1976">
            <v>2</v>
          </cell>
          <cell r="K1976">
            <v>9</v>
          </cell>
          <cell r="L1976">
            <v>94.27</v>
          </cell>
          <cell r="M1976">
            <v>14</v>
          </cell>
          <cell r="N1976">
            <v>58</v>
          </cell>
          <cell r="O1976">
            <v>9.5</v>
          </cell>
          <cell r="S1976">
            <v>0</v>
          </cell>
          <cell r="T1976">
            <v>14.1</v>
          </cell>
          <cell r="U1976">
            <v>2</v>
          </cell>
        </row>
        <row r="1977">
          <cell r="B1977" t="str">
            <v>Male</v>
          </cell>
          <cell r="F1977">
            <v>19</v>
          </cell>
          <cell r="G1977">
            <v>23.6</v>
          </cell>
          <cell r="H1977">
            <v>8.8000000000000007</v>
          </cell>
          <cell r="I1977">
            <v>35.9</v>
          </cell>
          <cell r="J1977">
            <v>4</v>
          </cell>
          <cell r="K1977" t="str">
            <v>11.700000000000001</v>
          </cell>
          <cell r="L1977">
            <v>108.63</v>
          </cell>
          <cell r="M1977">
            <v>18</v>
          </cell>
          <cell r="N1977" t="str">
            <v>39.959999999999994</v>
          </cell>
          <cell r="O1977">
            <v>3.9</v>
          </cell>
          <cell r="P1977">
            <v>8.5</v>
          </cell>
          <cell r="S1977">
            <v>57.2</v>
          </cell>
          <cell r="U1977">
            <v>2</v>
          </cell>
        </row>
        <row r="1978">
          <cell r="B1978" t="str">
            <v>Male</v>
          </cell>
          <cell r="F1978">
            <v>35</v>
          </cell>
          <cell r="G1978">
            <v>45.9</v>
          </cell>
          <cell r="H1978">
            <v>19.899999999999999</v>
          </cell>
          <cell r="I1978">
            <v>30.7</v>
          </cell>
          <cell r="J1978">
            <v>5</v>
          </cell>
          <cell r="K1978">
            <v>28</v>
          </cell>
          <cell r="L1978">
            <v>127.36</v>
          </cell>
          <cell r="M1978">
            <v>60</v>
          </cell>
          <cell r="N1978">
            <v>31.1</v>
          </cell>
          <cell r="O1978">
            <v>6.4</v>
          </cell>
          <cell r="P1978">
            <v>48.3</v>
          </cell>
          <cell r="U1978">
            <v>1</v>
          </cell>
        </row>
        <row r="1979">
          <cell r="B1979" t="str">
            <v>Female</v>
          </cell>
          <cell r="F1979">
            <v>0</v>
          </cell>
          <cell r="G1979">
            <v>13.5</v>
          </cell>
          <cell r="H1979">
            <v>4.4000000000000004</v>
          </cell>
          <cell r="I1979">
            <v>68.8</v>
          </cell>
          <cell r="J1979">
            <v>0</v>
          </cell>
          <cell r="K1979" t="str">
            <v>7.800000000000001</v>
          </cell>
          <cell r="L1979">
            <v>74.739999999999995</v>
          </cell>
          <cell r="M1979">
            <v>56</v>
          </cell>
          <cell r="N1979">
            <v>66.239999999999995</v>
          </cell>
          <cell r="O1979">
            <v>9.5</v>
          </cell>
          <cell r="S1979">
            <v>4.8</v>
          </cell>
          <cell r="U1979">
            <v>3</v>
          </cell>
        </row>
        <row r="1980">
          <cell r="B1980" t="str">
            <v>Other</v>
          </cell>
          <cell r="F1980">
            <v>9</v>
          </cell>
          <cell r="G1980">
            <v>33.5</v>
          </cell>
          <cell r="H1980">
            <v>6.8</v>
          </cell>
          <cell r="I1980">
            <v>43.3</v>
          </cell>
          <cell r="J1980">
            <v>1</v>
          </cell>
          <cell r="K1980">
            <v>10</v>
          </cell>
          <cell r="L1980">
            <v>108.37</v>
          </cell>
          <cell r="M1980">
            <v>40</v>
          </cell>
          <cell r="N1980">
            <v>16.7</v>
          </cell>
          <cell r="O1980">
            <v>5.4</v>
          </cell>
          <cell r="P1980">
            <v>6.6</v>
          </cell>
          <cell r="S1980">
            <v>22.1</v>
          </cell>
          <cell r="T1980">
            <v>12.2</v>
          </cell>
          <cell r="U1980">
            <v>2</v>
          </cell>
        </row>
        <row r="1981">
          <cell r="B1981" t="str">
            <v>Male</v>
          </cell>
          <cell r="F1981">
            <v>26</v>
          </cell>
          <cell r="G1981">
            <v>54.1</v>
          </cell>
          <cell r="H1981">
            <v>18.600000000000001</v>
          </cell>
          <cell r="I1981">
            <v>1.6</v>
          </cell>
          <cell r="K1981">
            <v>22</v>
          </cell>
          <cell r="L1981">
            <v>207.25</v>
          </cell>
          <cell r="M1981">
            <v>7</v>
          </cell>
          <cell r="O1981">
            <v>4.2</v>
          </cell>
          <cell r="P1981">
            <v>42.5</v>
          </cell>
          <cell r="S1981">
            <v>63.1</v>
          </cell>
          <cell r="U1981">
            <v>2</v>
          </cell>
        </row>
        <row r="1982">
          <cell r="B1982" t="str">
            <v>Male</v>
          </cell>
          <cell r="F1982">
            <v>3</v>
          </cell>
          <cell r="H1982">
            <v>5.0999999999999996</v>
          </cell>
          <cell r="I1982">
            <v>74.599999999999994</v>
          </cell>
          <cell r="J1982">
            <v>2</v>
          </cell>
          <cell r="K1982">
            <v>8</v>
          </cell>
          <cell r="L1982">
            <v>155.32</v>
          </cell>
          <cell r="M1982">
            <v>26</v>
          </cell>
          <cell r="N1982">
            <v>50.6</v>
          </cell>
          <cell r="O1982">
            <v>11.4</v>
          </cell>
          <cell r="P1982">
            <v>25</v>
          </cell>
          <cell r="S1982">
            <v>24.5</v>
          </cell>
          <cell r="T1982">
            <v>9.6999999999999993</v>
          </cell>
          <cell r="U1982">
            <v>1</v>
          </cell>
        </row>
        <row r="1983">
          <cell r="B1983" t="str">
            <v>Male</v>
          </cell>
          <cell r="F1983">
            <v>0</v>
          </cell>
          <cell r="H1983">
            <v>7.8</v>
          </cell>
          <cell r="I1983">
            <v>79.3</v>
          </cell>
          <cell r="J1983">
            <v>1</v>
          </cell>
          <cell r="K1983">
            <v>10</v>
          </cell>
          <cell r="L1983">
            <v>91.69</v>
          </cell>
          <cell r="M1983">
            <v>29</v>
          </cell>
          <cell r="O1983">
            <v>4.2</v>
          </cell>
          <cell r="P1983">
            <v>6.8</v>
          </cell>
          <cell r="T1983">
            <v>8.4</v>
          </cell>
          <cell r="U1983">
            <v>1</v>
          </cell>
        </row>
        <row r="1984">
          <cell r="B1984" t="str">
            <v>Male</v>
          </cell>
          <cell r="F1984">
            <v>11</v>
          </cell>
          <cell r="G1984">
            <v>31.9</v>
          </cell>
          <cell r="H1984">
            <v>7.3</v>
          </cell>
          <cell r="I1984">
            <v>62.9</v>
          </cell>
          <cell r="J1984">
            <v>3</v>
          </cell>
          <cell r="K1984">
            <v>10.4</v>
          </cell>
          <cell r="L1984">
            <v>51.88</v>
          </cell>
          <cell r="M1984">
            <v>20</v>
          </cell>
          <cell r="N1984">
            <v>23.4</v>
          </cell>
          <cell r="O1984">
            <v>7</v>
          </cell>
          <cell r="P1984">
            <v>20.5</v>
          </cell>
          <cell r="T1984">
            <v>13.6</v>
          </cell>
          <cell r="U1984">
            <v>4</v>
          </cell>
        </row>
        <row r="1985">
          <cell r="B1985" t="str">
            <v>Female</v>
          </cell>
          <cell r="F1985">
            <v>7</v>
          </cell>
          <cell r="G1985">
            <v>20.9</v>
          </cell>
          <cell r="H1985">
            <v>8.1</v>
          </cell>
          <cell r="I1985">
            <v>61</v>
          </cell>
          <cell r="J1985">
            <v>2</v>
          </cell>
          <cell r="K1985">
            <v>13</v>
          </cell>
          <cell r="L1985">
            <v>123.76</v>
          </cell>
          <cell r="M1985">
            <v>38</v>
          </cell>
          <cell r="N1985">
            <v>56.3</v>
          </cell>
          <cell r="O1985">
            <v>14.6</v>
          </cell>
          <cell r="P1985">
            <v>23.4</v>
          </cell>
          <cell r="S1985">
            <v>2.9</v>
          </cell>
          <cell r="U1985">
            <v>2</v>
          </cell>
        </row>
        <row r="1986">
          <cell r="B1986" t="str">
            <v>Male</v>
          </cell>
          <cell r="F1986">
            <v>28</v>
          </cell>
          <cell r="G1986">
            <v>56</v>
          </cell>
          <cell r="H1986">
            <v>17.7</v>
          </cell>
          <cell r="I1986">
            <v>26.8</v>
          </cell>
          <cell r="J1986">
            <v>5</v>
          </cell>
          <cell r="K1986">
            <v>24</v>
          </cell>
          <cell r="L1986">
            <v>88.89</v>
          </cell>
          <cell r="M1986">
            <v>16</v>
          </cell>
          <cell r="N1986">
            <v>50.7</v>
          </cell>
          <cell r="O1986">
            <v>8.3000000000000007</v>
          </cell>
          <cell r="P1986">
            <v>62.8</v>
          </cell>
          <cell r="S1986">
            <v>92.7</v>
          </cell>
          <cell r="T1986">
            <v>34</v>
          </cell>
          <cell r="U1986">
            <v>1</v>
          </cell>
        </row>
        <row r="1987">
          <cell r="B1987" t="str">
            <v>Male</v>
          </cell>
          <cell r="F1987">
            <v>0</v>
          </cell>
          <cell r="G1987">
            <v>20.7</v>
          </cell>
          <cell r="H1987">
            <v>4.5999999999999996</v>
          </cell>
          <cell r="I1987">
            <v>65.7</v>
          </cell>
          <cell r="J1987">
            <v>1</v>
          </cell>
          <cell r="K1987">
            <v>14</v>
          </cell>
          <cell r="L1987">
            <v>57.77</v>
          </cell>
          <cell r="M1987">
            <v>23</v>
          </cell>
          <cell r="N1987">
            <v>33.200000000000003</v>
          </cell>
          <cell r="O1987">
            <v>2.5</v>
          </cell>
          <cell r="P1987">
            <v>10.4</v>
          </cell>
          <cell r="S1987">
            <v>6.5</v>
          </cell>
          <cell r="T1987">
            <v>7.6</v>
          </cell>
          <cell r="U1987">
            <v>3</v>
          </cell>
        </row>
        <row r="1988">
          <cell r="B1988" t="str">
            <v>Male</v>
          </cell>
          <cell r="F1988">
            <v>4</v>
          </cell>
          <cell r="G1988">
            <v>22.1</v>
          </cell>
          <cell r="I1988">
            <v>52.5</v>
          </cell>
          <cell r="J1988">
            <v>4</v>
          </cell>
          <cell r="K1988">
            <v>7</v>
          </cell>
          <cell r="L1988">
            <v>137.43</v>
          </cell>
          <cell r="M1988">
            <v>101</v>
          </cell>
          <cell r="N1988">
            <v>38.299999999999997</v>
          </cell>
          <cell r="O1988">
            <v>3.2</v>
          </cell>
          <cell r="P1988">
            <v>3.1</v>
          </cell>
          <cell r="S1988">
            <v>10</v>
          </cell>
          <cell r="T1988">
            <v>22.8</v>
          </cell>
          <cell r="U1988">
            <v>1</v>
          </cell>
        </row>
        <row r="1989">
          <cell r="B1989" t="str">
            <v>Female</v>
          </cell>
          <cell r="F1989">
            <v>21</v>
          </cell>
          <cell r="G1989">
            <v>22.8</v>
          </cell>
          <cell r="H1989">
            <v>6.8</v>
          </cell>
          <cell r="I1989">
            <v>56.7</v>
          </cell>
          <cell r="J1989">
            <v>1</v>
          </cell>
          <cell r="K1989">
            <v>11</v>
          </cell>
          <cell r="L1989">
            <v>144.63999999999999</v>
          </cell>
          <cell r="M1989">
            <v>6</v>
          </cell>
          <cell r="N1989">
            <v>20.2</v>
          </cell>
          <cell r="O1989">
            <v>6.9</v>
          </cell>
          <cell r="P1989">
            <v>19.8</v>
          </cell>
          <cell r="S1989">
            <v>0.7</v>
          </cell>
          <cell r="T1989">
            <v>18</v>
          </cell>
          <cell r="U1989">
            <v>3</v>
          </cell>
        </row>
        <row r="1990">
          <cell r="B1990" t="str">
            <v>Female</v>
          </cell>
          <cell r="F1990">
            <v>2</v>
          </cell>
          <cell r="H1990">
            <v>6.4</v>
          </cell>
          <cell r="I1990">
            <v>63.9</v>
          </cell>
          <cell r="J1990">
            <v>3</v>
          </cell>
          <cell r="K1990">
            <v>6</v>
          </cell>
          <cell r="L1990">
            <v>102.17</v>
          </cell>
          <cell r="M1990">
            <v>3</v>
          </cell>
          <cell r="N1990">
            <v>34.200000000000003</v>
          </cell>
          <cell r="O1990">
            <v>5.3</v>
          </cell>
          <cell r="P1990">
            <v>8.6</v>
          </cell>
          <cell r="S1990">
            <v>13.6</v>
          </cell>
          <cell r="T1990">
            <v>18.899999999999999</v>
          </cell>
          <cell r="U1990">
            <v>2</v>
          </cell>
        </row>
        <row r="1991">
          <cell r="B1991" t="str">
            <v>Male</v>
          </cell>
          <cell r="F1991">
            <v>20</v>
          </cell>
          <cell r="G1991">
            <v>43.9</v>
          </cell>
          <cell r="H1991">
            <v>9.1999999999999993</v>
          </cell>
          <cell r="I1991">
            <v>39.700000000000003</v>
          </cell>
          <cell r="J1991">
            <v>9</v>
          </cell>
          <cell r="K1991">
            <v>16</v>
          </cell>
          <cell r="L1991">
            <v>282.79000000000002</v>
          </cell>
          <cell r="N1991">
            <v>68.5</v>
          </cell>
          <cell r="P1991">
            <v>45.2</v>
          </cell>
          <cell r="S1991">
            <v>38.9</v>
          </cell>
          <cell r="T1991">
            <v>30</v>
          </cell>
          <cell r="U1991">
            <v>2</v>
          </cell>
        </row>
        <row r="1992">
          <cell r="B1992" t="str">
            <v>Female</v>
          </cell>
          <cell r="F1992">
            <v>4</v>
          </cell>
          <cell r="G1992">
            <v>15.6</v>
          </cell>
          <cell r="H1992">
            <v>7.6</v>
          </cell>
          <cell r="I1992">
            <v>70.8</v>
          </cell>
          <cell r="J1992">
            <v>0</v>
          </cell>
          <cell r="K1992">
            <v>3</v>
          </cell>
          <cell r="L1992">
            <v>26.87</v>
          </cell>
          <cell r="N1992">
            <v>47.4</v>
          </cell>
          <cell r="O1992">
            <v>3.6</v>
          </cell>
          <cell r="P1992">
            <v>6.6</v>
          </cell>
          <cell r="S1992">
            <v>15.2</v>
          </cell>
          <cell r="T1992">
            <v>7.4</v>
          </cell>
          <cell r="U1992">
            <v>1</v>
          </cell>
        </row>
        <row r="1993">
          <cell r="B1993" t="str">
            <v>Male</v>
          </cell>
          <cell r="F1993">
            <v>12</v>
          </cell>
          <cell r="G1993">
            <v>39.299999999999997</v>
          </cell>
          <cell r="H1993">
            <v>7</v>
          </cell>
          <cell r="I1993">
            <v>70.8</v>
          </cell>
          <cell r="J1993">
            <v>2</v>
          </cell>
          <cell r="K1993">
            <v>12</v>
          </cell>
          <cell r="L1993">
            <v>220.44</v>
          </cell>
          <cell r="M1993">
            <v>33</v>
          </cell>
          <cell r="P1993">
            <v>7</v>
          </cell>
          <cell r="S1993">
            <v>24.6</v>
          </cell>
          <cell r="T1993">
            <v>15.7</v>
          </cell>
          <cell r="U1993">
            <v>3</v>
          </cell>
        </row>
        <row r="1994">
          <cell r="B1994" t="str">
            <v>Female</v>
          </cell>
          <cell r="F1994">
            <v>5</v>
          </cell>
          <cell r="G1994">
            <v>6.2</v>
          </cell>
          <cell r="H1994">
            <v>7.7</v>
          </cell>
          <cell r="I1994">
            <v>86.8</v>
          </cell>
          <cell r="J1994">
            <v>2</v>
          </cell>
          <cell r="K1994">
            <v>5</v>
          </cell>
          <cell r="L1994">
            <v>76.48</v>
          </cell>
          <cell r="M1994">
            <v>2</v>
          </cell>
          <cell r="N1994">
            <v>40.4</v>
          </cell>
          <cell r="O1994">
            <v>4.7</v>
          </cell>
          <cell r="P1994">
            <v>4.8</v>
          </cell>
          <cell r="S1994">
            <v>13.5</v>
          </cell>
          <cell r="T1994">
            <v>22.1</v>
          </cell>
          <cell r="U1994">
            <v>1</v>
          </cell>
        </row>
        <row r="1995">
          <cell r="B1995" t="str">
            <v>Male</v>
          </cell>
          <cell r="F1995">
            <v>9</v>
          </cell>
          <cell r="G1995">
            <v>20.6</v>
          </cell>
          <cell r="H1995">
            <v>5.8</v>
          </cell>
          <cell r="I1995">
            <v>78.2</v>
          </cell>
          <cell r="J1995">
            <v>1</v>
          </cell>
          <cell r="K1995">
            <v>11</v>
          </cell>
          <cell r="L1995">
            <v>105.35</v>
          </cell>
          <cell r="M1995">
            <v>17</v>
          </cell>
          <cell r="N1995">
            <v>15.7</v>
          </cell>
          <cell r="O1995">
            <v>5.3</v>
          </cell>
          <cell r="P1995">
            <v>0</v>
          </cell>
          <cell r="T1995">
            <v>12.7</v>
          </cell>
          <cell r="U1995">
            <v>2</v>
          </cell>
        </row>
        <row r="1996">
          <cell r="B1996" t="str">
            <v>Male</v>
          </cell>
          <cell r="F1996">
            <v>0</v>
          </cell>
          <cell r="G1996">
            <v>27.7</v>
          </cell>
          <cell r="H1996">
            <v>9.6</v>
          </cell>
          <cell r="I1996">
            <v>78.8</v>
          </cell>
          <cell r="J1996">
            <v>0</v>
          </cell>
          <cell r="K1996">
            <v>10</v>
          </cell>
          <cell r="L1996">
            <v>170.34</v>
          </cell>
          <cell r="M1996">
            <v>43</v>
          </cell>
          <cell r="N1996">
            <v>20.8</v>
          </cell>
          <cell r="P1996">
            <v>12.2</v>
          </cell>
          <cell r="S1996">
            <v>38.1</v>
          </cell>
          <cell r="T1996">
            <v>8.5</v>
          </cell>
          <cell r="U1996">
            <v>2</v>
          </cell>
        </row>
        <row r="1997">
          <cell r="B1997" t="str">
            <v>Female</v>
          </cell>
          <cell r="F1997">
            <v>11</v>
          </cell>
          <cell r="G1997">
            <v>32.299999999999997</v>
          </cell>
          <cell r="I1997">
            <v>50.3</v>
          </cell>
          <cell r="J1997">
            <v>6</v>
          </cell>
          <cell r="K1997">
            <v>18</v>
          </cell>
          <cell r="L1997">
            <v>122.66</v>
          </cell>
          <cell r="M1997">
            <v>122</v>
          </cell>
          <cell r="N1997">
            <v>67.7</v>
          </cell>
          <cell r="O1997">
            <v>9.1</v>
          </cell>
          <cell r="P1997">
            <v>35.799999999999997</v>
          </cell>
          <cell r="S1997">
            <v>31.5</v>
          </cell>
          <cell r="T1997">
            <v>19.2</v>
          </cell>
          <cell r="U1997">
            <v>3</v>
          </cell>
        </row>
        <row r="1998">
          <cell r="B1998" t="str">
            <v>Male</v>
          </cell>
          <cell r="F1998">
            <v>5</v>
          </cell>
          <cell r="G1998">
            <v>32.1</v>
          </cell>
          <cell r="H1998">
            <v>9.4</v>
          </cell>
          <cell r="I1998">
            <v>56.8</v>
          </cell>
          <cell r="J1998">
            <v>7</v>
          </cell>
          <cell r="K1998">
            <v>13</v>
          </cell>
          <cell r="L1998">
            <v>156.56</v>
          </cell>
          <cell r="M1998">
            <v>66</v>
          </cell>
          <cell r="N1998">
            <v>67.2</v>
          </cell>
          <cell r="O1998">
            <v>8.6</v>
          </cell>
          <cell r="P1998">
            <v>34.200000000000003</v>
          </cell>
          <cell r="S1998">
            <v>25.4</v>
          </cell>
          <cell r="T1998">
            <v>39.4</v>
          </cell>
          <cell r="U1998">
            <v>1</v>
          </cell>
        </row>
        <row r="1999">
          <cell r="B1999" t="str">
            <v>Male</v>
          </cell>
          <cell r="F1999">
            <v>21</v>
          </cell>
          <cell r="G1999">
            <v>36.1</v>
          </cell>
          <cell r="H1999">
            <v>12.9</v>
          </cell>
          <cell r="I1999">
            <v>41.1</v>
          </cell>
          <cell r="J1999">
            <v>7</v>
          </cell>
          <cell r="K1999">
            <v>18</v>
          </cell>
          <cell r="L1999">
            <v>125.24</v>
          </cell>
          <cell r="M1999">
            <v>0</v>
          </cell>
          <cell r="N1999">
            <v>40.4</v>
          </cell>
          <cell r="O1999">
            <v>4.2</v>
          </cell>
          <cell r="P1999">
            <v>38.1</v>
          </cell>
          <cell r="S1999">
            <v>56.4</v>
          </cell>
          <cell r="T1999">
            <v>33.1</v>
          </cell>
          <cell r="U1999">
            <v>2</v>
          </cell>
        </row>
        <row r="2000">
          <cell r="B2000" t="str">
            <v>Other</v>
          </cell>
          <cell r="F2000">
            <v>1</v>
          </cell>
          <cell r="G2000">
            <v>25.4</v>
          </cell>
          <cell r="H2000">
            <v>4.5999999999999996</v>
          </cell>
          <cell r="I2000">
            <v>64.900000000000006</v>
          </cell>
          <cell r="J2000">
            <v>0</v>
          </cell>
          <cell r="K2000">
            <v>7</v>
          </cell>
          <cell r="L2000">
            <v>108.96</v>
          </cell>
          <cell r="M2000">
            <v>54</v>
          </cell>
          <cell r="N2000">
            <v>24.8</v>
          </cell>
          <cell r="O2000">
            <v>6.4</v>
          </cell>
          <cell r="P2000">
            <v>4.8</v>
          </cell>
          <cell r="S2000">
            <v>31.5</v>
          </cell>
          <cell r="T2000">
            <v>3.6</v>
          </cell>
          <cell r="U2000">
            <v>2</v>
          </cell>
        </row>
        <row r="2001">
          <cell r="B2001" t="str">
            <v>Male</v>
          </cell>
          <cell r="F2001">
            <v>11</v>
          </cell>
          <cell r="G2001">
            <v>23.5</v>
          </cell>
          <cell r="H2001">
            <v>5.0999999999999996</v>
          </cell>
          <cell r="I2001">
            <v>66.5</v>
          </cell>
          <cell r="J2001">
            <v>4</v>
          </cell>
          <cell r="K2001">
            <v>8</v>
          </cell>
          <cell r="L2001">
            <v>129.46</v>
          </cell>
          <cell r="M2001">
            <v>3</v>
          </cell>
          <cell r="N2001">
            <v>46</v>
          </cell>
          <cell r="O2001">
            <v>14.1</v>
          </cell>
          <cell r="P2001">
            <v>26.8</v>
          </cell>
          <cell r="S2001">
            <v>3.7</v>
          </cell>
          <cell r="T2001">
            <v>15.7</v>
          </cell>
          <cell r="U2001">
            <v>2</v>
          </cell>
        </row>
        <row r="2002">
          <cell r="B2002" t="str">
            <v>Male</v>
          </cell>
          <cell r="F2002">
            <v>15</v>
          </cell>
          <cell r="G2002">
            <v>39.5</v>
          </cell>
          <cell r="H2002">
            <v>8.8000000000000007</v>
          </cell>
          <cell r="I2002">
            <v>50.3</v>
          </cell>
          <cell r="J2002">
            <v>2</v>
          </cell>
          <cell r="K2002">
            <v>12</v>
          </cell>
          <cell r="L2002">
            <v>152.37</v>
          </cell>
          <cell r="M2002">
            <v>0</v>
          </cell>
          <cell r="N2002">
            <v>22.7</v>
          </cell>
          <cell r="O2002">
            <v>3.1</v>
          </cell>
          <cell r="P2002">
            <v>38.9</v>
          </cell>
          <cell r="S2002">
            <v>44.5</v>
          </cell>
          <cell r="T2002">
            <v>32.6</v>
          </cell>
          <cell r="U2002">
            <v>3</v>
          </cell>
        </row>
        <row r="2003">
          <cell r="B2003" t="str">
            <v>Male</v>
          </cell>
          <cell r="F2003">
            <v>11</v>
          </cell>
          <cell r="G2003">
            <v>17</v>
          </cell>
          <cell r="H2003">
            <v>3.7</v>
          </cell>
          <cell r="I2003">
            <v>72.8</v>
          </cell>
          <cell r="J2003">
            <v>1</v>
          </cell>
          <cell r="K2003">
            <v>11</v>
          </cell>
          <cell r="L2003">
            <v>92.56</v>
          </cell>
          <cell r="M2003">
            <v>0</v>
          </cell>
          <cell r="N2003">
            <v>71.599999999999994</v>
          </cell>
          <cell r="O2003">
            <v>5.9</v>
          </cell>
          <cell r="P2003">
            <v>0</v>
          </cell>
          <cell r="S2003">
            <v>24.9</v>
          </cell>
          <cell r="U2003">
            <v>2</v>
          </cell>
        </row>
        <row r="2004">
          <cell r="B2004" t="str">
            <v>Female</v>
          </cell>
          <cell r="F2004">
            <v>11</v>
          </cell>
          <cell r="G2004">
            <v>19.8</v>
          </cell>
          <cell r="H2004">
            <v>5</v>
          </cell>
          <cell r="I2004">
            <v>63.4</v>
          </cell>
          <cell r="J2004">
            <v>7</v>
          </cell>
          <cell r="K2004" t="str">
            <v>15.600000000000001</v>
          </cell>
          <cell r="L2004">
            <v>205.45</v>
          </cell>
          <cell r="M2004">
            <v>17</v>
          </cell>
          <cell r="N2004" t="str">
            <v>38.879999999999995</v>
          </cell>
          <cell r="O2004">
            <v>1.2</v>
          </cell>
          <cell r="P2004">
            <v>18.600000000000001</v>
          </cell>
          <cell r="S2004">
            <v>0.8</v>
          </cell>
          <cell r="T2004">
            <v>8.4</v>
          </cell>
          <cell r="U2004">
            <v>4</v>
          </cell>
        </row>
        <row r="2005">
          <cell r="B2005" t="str">
            <v>Female</v>
          </cell>
          <cell r="F2005">
            <v>14</v>
          </cell>
          <cell r="G2005">
            <v>18.8</v>
          </cell>
          <cell r="H2005">
            <v>12.9</v>
          </cell>
          <cell r="I2005">
            <v>51</v>
          </cell>
          <cell r="K2005">
            <v>11</v>
          </cell>
          <cell r="L2005">
            <v>95.37</v>
          </cell>
          <cell r="M2005">
            <v>3</v>
          </cell>
          <cell r="N2005">
            <v>35.200000000000003</v>
          </cell>
          <cell r="P2005">
            <v>21.7</v>
          </cell>
          <cell r="S2005">
            <v>40</v>
          </cell>
          <cell r="T2005">
            <v>25.9</v>
          </cell>
          <cell r="U2005">
            <v>1</v>
          </cell>
        </row>
        <row r="2006">
          <cell r="B2006" t="str">
            <v>Male</v>
          </cell>
          <cell r="F2006">
            <v>18</v>
          </cell>
          <cell r="G2006">
            <v>35.6</v>
          </cell>
          <cell r="H2006">
            <v>13.2</v>
          </cell>
          <cell r="I2006">
            <v>66</v>
          </cell>
          <cell r="J2006">
            <v>9</v>
          </cell>
          <cell r="K2006">
            <v>28</v>
          </cell>
          <cell r="L2006">
            <v>59.77</v>
          </cell>
          <cell r="M2006">
            <v>31</v>
          </cell>
          <cell r="N2006">
            <v>14.2</v>
          </cell>
          <cell r="P2006">
            <v>34.799999999999997</v>
          </cell>
          <cell r="S2006">
            <v>26.9</v>
          </cell>
          <cell r="T2006">
            <v>23.4</v>
          </cell>
          <cell r="U2006">
            <v>2</v>
          </cell>
        </row>
        <row r="2007">
          <cell r="B2007" t="str">
            <v>Male</v>
          </cell>
          <cell r="F2007">
            <v>0</v>
          </cell>
          <cell r="G2007">
            <v>13.8</v>
          </cell>
          <cell r="H2007">
            <v>2.2999999999999998</v>
          </cell>
          <cell r="I2007">
            <v>71</v>
          </cell>
          <cell r="J2007">
            <v>1</v>
          </cell>
          <cell r="K2007">
            <v>10.4</v>
          </cell>
          <cell r="L2007">
            <v>98.73</v>
          </cell>
          <cell r="M2007">
            <v>2</v>
          </cell>
          <cell r="N2007">
            <v>68.64</v>
          </cell>
          <cell r="O2007">
            <v>11.9</v>
          </cell>
          <cell r="S2007">
            <v>8.8000000000000007</v>
          </cell>
          <cell r="U2007">
            <v>2</v>
          </cell>
        </row>
        <row r="2008">
          <cell r="B2008" t="str">
            <v>Male</v>
          </cell>
          <cell r="F2008">
            <v>16</v>
          </cell>
          <cell r="G2008">
            <v>33.799999999999997</v>
          </cell>
          <cell r="H2008">
            <v>7.7</v>
          </cell>
          <cell r="I2008">
            <v>44</v>
          </cell>
          <cell r="J2008">
            <v>6</v>
          </cell>
          <cell r="K2008">
            <v>26</v>
          </cell>
          <cell r="L2008">
            <v>63.93</v>
          </cell>
          <cell r="M2008">
            <v>29</v>
          </cell>
          <cell r="N2008">
            <v>80.64</v>
          </cell>
          <cell r="O2008">
            <v>11.1</v>
          </cell>
          <cell r="P2008">
            <v>22.9</v>
          </cell>
          <cell r="S2008">
            <v>27.2</v>
          </cell>
          <cell r="T2008">
            <v>35.4</v>
          </cell>
          <cell r="U2008">
            <v>3</v>
          </cell>
        </row>
        <row r="2009">
          <cell r="B2009" t="str">
            <v>Male</v>
          </cell>
          <cell r="F2009">
            <v>11</v>
          </cell>
          <cell r="G2009">
            <v>17.899999999999999</v>
          </cell>
          <cell r="I2009">
            <v>79.8</v>
          </cell>
          <cell r="J2009">
            <v>3</v>
          </cell>
          <cell r="K2009">
            <v>13</v>
          </cell>
          <cell r="L2009">
            <v>73.13</v>
          </cell>
          <cell r="N2009" t="str">
            <v>34.199999999999996</v>
          </cell>
          <cell r="O2009">
            <v>7</v>
          </cell>
          <cell r="P2009">
            <v>6.1</v>
          </cell>
          <cell r="S2009">
            <v>22.3</v>
          </cell>
          <cell r="T2009">
            <v>9.4</v>
          </cell>
          <cell r="U2009">
            <v>1</v>
          </cell>
        </row>
        <row r="2010">
          <cell r="B2010" t="str">
            <v>Other</v>
          </cell>
          <cell r="F2010">
            <v>16</v>
          </cell>
          <cell r="G2010">
            <v>22.7</v>
          </cell>
          <cell r="H2010">
            <v>8.9</v>
          </cell>
          <cell r="I2010">
            <v>45.5</v>
          </cell>
          <cell r="J2010">
            <v>6</v>
          </cell>
          <cell r="K2010">
            <v>21</v>
          </cell>
          <cell r="L2010">
            <v>109.02</v>
          </cell>
          <cell r="M2010">
            <v>36</v>
          </cell>
          <cell r="O2010">
            <v>1.9</v>
          </cell>
          <cell r="P2010">
            <v>9.4</v>
          </cell>
          <cell r="S2010">
            <v>43.9</v>
          </cell>
          <cell r="T2010">
            <v>24.4</v>
          </cell>
          <cell r="U2010">
            <v>1</v>
          </cell>
        </row>
        <row r="2011">
          <cell r="B2011" t="str">
            <v>Female</v>
          </cell>
          <cell r="F2011">
            <v>15</v>
          </cell>
          <cell r="G2011">
            <v>25.5</v>
          </cell>
          <cell r="H2011">
            <v>9</v>
          </cell>
          <cell r="I2011">
            <v>72.900000000000006</v>
          </cell>
          <cell r="J2011">
            <v>1</v>
          </cell>
          <cell r="K2011">
            <v>13</v>
          </cell>
          <cell r="L2011">
            <v>100.94</v>
          </cell>
          <cell r="M2011">
            <v>24</v>
          </cell>
          <cell r="N2011">
            <v>46.5</v>
          </cell>
          <cell r="O2011">
            <v>4</v>
          </cell>
          <cell r="P2011">
            <v>0</v>
          </cell>
          <cell r="S2011">
            <v>47.6</v>
          </cell>
          <cell r="T2011">
            <v>14.1</v>
          </cell>
          <cell r="U2011">
            <v>2</v>
          </cell>
        </row>
        <row r="2012">
          <cell r="B2012" t="str">
            <v>Female</v>
          </cell>
          <cell r="F2012">
            <v>6</v>
          </cell>
          <cell r="G2012">
            <v>19.7</v>
          </cell>
          <cell r="H2012">
            <v>1.4</v>
          </cell>
          <cell r="I2012">
            <v>84.9</v>
          </cell>
          <cell r="J2012">
            <v>3</v>
          </cell>
          <cell r="K2012">
            <v>6</v>
          </cell>
          <cell r="L2012">
            <v>215.86</v>
          </cell>
          <cell r="M2012">
            <v>69</v>
          </cell>
          <cell r="N2012">
            <v>30.1</v>
          </cell>
          <cell r="O2012">
            <v>0.4</v>
          </cell>
          <cell r="P2012">
            <v>18.3</v>
          </cell>
          <cell r="S2012">
            <v>0</v>
          </cell>
          <cell r="T2012">
            <v>9.6999999999999993</v>
          </cell>
          <cell r="U2012">
            <v>4</v>
          </cell>
        </row>
        <row r="2013">
          <cell r="B2013" t="str">
            <v>Female</v>
          </cell>
          <cell r="F2013">
            <v>18</v>
          </cell>
          <cell r="G2013">
            <v>32.700000000000003</v>
          </cell>
          <cell r="H2013">
            <v>11.9</v>
          </cell>
          <cell r="I2013">
            <v>47.5</v>
          </cell>
          <cell r="J2013">
            <v>2</v>
          </cell>
          <cell r="K2013">
            <v>17</v>
          </cell>
          <cell r="L2013">
            <v>115.4</v>
          </cell>
          <cell r="N2013">
            <v>85.7</v>
          </cell>
          <cell r="O2013">
            <v>14.6</v>
          </cell>
          <cell r="P2013">
            <v>3.6</v>
          </cell>
          <cell r="S2013">
            <v>31.6</v>
          </cell>
          <cell r="T2013">
            <v>14.5</v>
          </cell>
          <cell r="U2013">
            <v>2</v>
          </cell>
        </row>
        <row r="2014">
          <cell r="B2014" t="str">
            <v>Female</v>
          </cell>
          <cell r="F2014">
            <v>6</v>
          </cell>
          <cell r="G2014">
            <v>26.3</v>
          </cell>
          <cell r="H2014">
            <v>6.3</v>
          </cell>
          <cell r="I2014">
            <v>53.6</v>
          </cell>
          <cell r="J2014">
            <v>4</v>
          </cell>
          <cell r="K2014">
            <v>9</v>
          </cell>
          <cell r="L2014">
            <v>243.09</v>
          </cell>
          <cell r="N2014">
            <v>36</v>
          </cell>
          <cell r="O2014">
            <v>9</v>
          </cell>
          <cell r="P2014">
            <v>8.9</v>
          </cell>
          <cell r="T2014">
            <v>12.9</v>
          </cell>
          <cell r="U2014">
            <v>3</v>
          </cell>
        </row>
        <row r="2015">
          <cell r="B2015" t="str">
            <v>Female</v>
          </cell>
          <cell r="F2015">
            <v>4</v>
          </cell>
          <cell r="G2015">
            <v>10.8</v>
          </cell>
          <cell r="H2015">
            <v>7.2</v>
          </cell>
          <cell r="I2015">
            <v>86.1</v>
          </cell>
          <cell r="J2015">
            <v>0</v>
          </cell>
          <cell r="K2015">
            <v>2</v>
          </cell>
          <cell r="L2015">
            <v>140.43</v>
          </cell>
          <cell r="M2015">
            <v>50</v>
          </cell>
          <cell r="N2015">
            <v>52.1</v>
          </cell>
          <cell r="O2015">
            <v>2.7</v>
          </cell>
          <cell r="S2015">
            <v>10.7</v>
          </cell>
          <cell r="T2015">
            <v>1.6</v>
          </cell>
          <cell r="U2015">
            <v>2</v>
          </cell>
        </row>
        <row r="2016">
          <cell r="B2016" t="str">
            <v>Female</v>
          </cell>
          <cell r="F2016">
            <v>10</v>
          </cell>
          <cell r="G2016">
            <v>27.4</v>
          </cell>
          <cell r="H2016">
            <v>9.6</v>
          </cell>
          <cell r="I2016">
            <v>50.3</v>
          </cell>
          <cell r="J2016">
            <v>5</v>
          </cell>
          <cell r="K2016">
            <v>15</v>
          </cell>
          <cell r="L2016">
            <v>107.82</v>
          </cell>
          <cell r="M2016">
            <v>14</v>
          </cell>
          <cell r="N2016">
            <v>64.3</v>
          </cell>
          <cell r="O2016">
            <v>4.5999999999999996</v>
          </cell>
          <cell r="P2016">
            <v>21.2</v>
          </cell>
          <cell r="S2016">
            <v>43.9</v>
          </cell>
          <cell r="T2016">
            <v>9.6999999999999993</v>
          </cell>
          <cell r="U2016">
            <v>3</v>
          </cell>
        </row>
        <row r="2017">
          <cell r="B2017" t="str">
            <v>Female</v>
          </cell>
          <cell r="F2017">
            <v>5</v>
          </cell>
          <cell r="G2017">
            <v>19.3</v>
          </cell>
          <cell r="H2017">
            <v>6.7</v>
          </cell>
          <cell r="I2017">
            <v>68.3</v>
          </cell>
          <cell r="J2017">
            <v>2</v>
          </cell>
          <cell r="K2017">
            <v>5</v>
          </cell>
          <cell r="L2017">
            <v>148.41</v>
          </cell>
          <cell r="M2017">
            <v>5</v>
          </cell>
          <cell r="N2017">
            <v>26.7</v>
          </cell>
          <cell r="O2017">
            <v>1.7</v>
          </cell>
          <cell r="P2017">
            <v>18.5</v>
          </cell>
          <cell r="S2017">
            <v>0</v>
          </cell>
          <cell r="U2017">
            <v>3</v>
          </cell>
        </row>
        <row r="2018">
          <cell r="B2018" t="str">
            <v>Female</v>
          </cell>
          <cell r="F2018">
            <v>37</v>
          </cell>
          <cell r="G2018">
            <v>53.4</v>
          </cell>
          <cell r="H2018">
            <v>17.5</v>
          </cell>
          <cell r="I2018">
            <v>24.1</v>
          </cell>
          <cell r="J2018">
            <v>6</v>
          </cell>
          <cell r="K2018">
            <v>32.5</v>
          </cell>
          <cell r="L2018">
            <v>52.92</v>
          </cell>
          <cell r="M2018">
            <v>38</v>
          </cell>
          <cell r="N2018">
            <v>17.04</v>
          </cell>
          <cell r="O2018">
            <v>6.8</v>
          </cell>
          <cell r="P2018">
            <v>56.1</v>
          </cell>
          <cell r="S2018">
            <v>83.8</v>
          </cell>
          <cell r="T2018">
            <v>44.1</v>
          </cell>
          <cell r="U2018">
            <v>3</v>
          </cell>
        </row>
        <row r="2019">
          <cell r="B2019" t="str">
            <v>Female</v>
          </cell>
          <cell r="F2019">
            <v>19</v>
          </cell>
          <cell r="G2019">
            <v>32.700000000000003</v>
          </cell>
          <cell r="I2019">
            <v>52.9</v>
          </cell>
          <cell r="J2019">
            <v>3</v>
          </cell>
          <cell r="K2019">
            <v>18.2</v>
          </cell>
          <cell r="L2019">
            <v>71.42</v>
          </cell>
          <cell r="M2019">
            <v>20</v>
          </cell>
          <cell r="N2019">
            <v>48.24</v>
          </cell>
          <cell r="O2019">
            <v>4.0999999999999996</v>
          </cell>
          <cell r="P2019">
            <v>0</v>
          </cell>
          <cell r="S2019">
            <v>18.5</v>
          </cell>
          <cell r="T2019">
            <v>33.200000000000003</v>
          </cell>
          <cell r="U2019">
            <v>4</v>
          </cell>
        </row>
        <row r="2020">
          <cell r="B2020" t="str">
            <v>Other</v>
          </cell>
          <cell r="F2020">
            <v>1</v>
          </cell>
          <cell r="G2020">
            <v>15.9</v>
          </cell>
          <cell r="I2020">
            <v>68.2</v>
          </cell>
          <cell r="J2020">
            <v>2</v>
          </cell>
          <cell r="K2020">
            <v>9</v>
          </cell>
          <cell r="L2020">
            <v>87.83</v>
          </cell>
          <cell r="M2020">
            <v>7</v>
          </cell>
          <cell r="N2020">
            <v>49.5</v>
          </cell>
          <cell r="O2020">
            <v>1.4</v>
          </cell>
          <cell r="P2020">
            <v>21.8</v>
          </cell>
          <cell r="S2020">
            <v>26.3</v>
          </cell>
          <cell r="T2020">
            <v>25.5</v>
          </cell>
          <cell r="U2020">
            <v>4</v>
          </cell>
        </row>
        <row r="2021">
          <cell r="B2021" t="str">
            <v>Female</v>
          </cell>
          <cell r="F2021">
            <v>7</v>
          </cell>
          <cell r="G2021">
            <v>14.6</v>
          </cell>
          <cell r="H2021">
            <v>4.7</v>
          </cell>
          <cell r="I2021">
            <v>75</v>
          </cell>
          <cell r="J2021">
            <v>2</v>
          </cell>
          <cell r="K2021" t="str">
            <v>16.900000000000002</v>
          </cell>
          <cell r="L2021">
            <v>101.06</v>
          </cell>
          <cell r="M2021">
            <v>43</v>
          </cell>
          <cell r="O2021">
            <v>1.5</v>
          </cell>
          <cell r="P2021">
            <v>17.3</v>
          </cell>
          <cell r="S2021">
            <v>0</v>
          </cell>
          <cell r="T2021">
            <v>8.1999999999999993</v>
          </cell>
          <cell r="U2021">
            <v>2</v>
          </cell>
        </row>
        <row r="2022">
          <cell r="B2022" t="str">
            <v>Male</v>
          </cell>
          <cell r="F2022">
            <v>7</v>
          </cell>
          <cell r="G2022">
            <v>6.5</v>
          </cell>
          <cell r="H2022">
            <v>2.4</v>
          </cell>
          <cell r="I2022">
            <v>93.2</v>
          </cell>
          <cell r="J2022">
            <v>1</v>
          </cell>
          <cell r="K2022">
            <v>6</v>
          </cell>
          <cell r="L2022">
            <v>105.85</v>
          </cell>
          <cell r="M2022">
            <v>43</v>
          </cell>
          <cell r="N2022">
            <v>21.4</v>
          </cell>
          <cell r="O2022">
            <v>11</v>
          </cell>
          <cell r="P2022">
            <v>0</v>
          </cell>
          <cell r="S2022">
            <v>5.4</v>
          </cell>
          <cell r="T2022">
            <v>3.7</v>
          </cell>
          <cell r="U2022">
            <v>2</v>
          </cell>
        </row>
        <row r="2023">
          <cell r="B2023" t="str">
            <v>Male</v>
          </cell>
          <cell r="F2023">
            <v>17</v>
          </cell>
          <cell r="G2023">
            <v>31.6</v>
          </cell>
          <cell r="H2023">
            <v>11.7</v>
          </cell>
          <cell r="I2023">
            <v>57.6</v>
          </cell>
          <cell r="J2023">
            <v>3</v>
          </cell>
          <cell r="K2023">
            <v>16</v>
          </cell>
          <cell r="L2023">
            <v>77.72</v>
          </cell>
          <cell r="M2023">
            <v>70</v>
          </cell>
          <cell r="N2023">
            <v>18.100000000000001</v>
          </cell>
          <cell r="O2023">
            <v>6.7</v>
          </cell>
          <cell r="P2023">
            <v>32.200000000000003</v>
          </cell>
          <cell r="S2023">
            <v>32</v>
          </cell>
          <cell r="T2023">
            <v>23.4</v>
          </cell>
          <cell r="U2023">
            <v>2</v>
          </cell>
        </row>
        <row r="2024">
          <cell r="B2024" t="str">
            <v>Female</v>
          </cell>
          <cell r="F2024">
            <v>12</v>
          </cell>
          <cell r="G2024">
            <v>21.4</v>
          </cell>
          <cell r="H2024">
            <v>6.1</v>
          </cell>
          <cell r="I2024">
            <v>70.8</v>
          </cell>
          <cell r="J2024">
            <v>1</v>
          </cell>
          <cell r="K2024">
            <v>6</v>
          </cell>
          <cell r="L2024">
            <v>130.33000000000001</v>
          </cell>
          <cell r="M2024">
            <v>38</v>
          </cell>
          <cell r="N2024">
            <v>18.7</v>
          </cell>
          <cell r="O2024">
            <v>5.8</v>
          </cell>
          <cell r="P2024">
            <v>5.7</v>
          </cell>
          <cell r="S2024">
            <v>8.4</v>
          </cell>
          <cell r="T2024">
            <v>16.2</v>
          </cell>
          <cell r="U2024">
            <v>2</v>
          </cell>
        </row>
        <row r="2025">
          <cell r="B2025" t="str">
            <v>Male</v>
          </cell>
          <cell r="F2025">
            <v>10</v>
          </cell>
          <cell r="G2025">
            <v>21.3</v>
          </cell>
          <cell r="H2025">
            <v>6.3</v>
          </cell>
          <cell r="I2025">
            <v>70.400000000000006</v>
          </cell>
          <cell r="J2025">
            <v>3</v>
          </cell>
          <cell r="K2025">
            <v>17</v>
          </cell>
          <cell r="L2025">
            <v>110.1</v>
          </cell>
          <cell r="M2025">
            <v>55</v>
          </cell>
          <cell r="N2025">
            <v>55.7</v>
          </cell>
          <cell r="O2025">
            <v>15</v>
          </cell>
          <cell r="P2025">
            <v>13.6</v>
          </cell>
          <cell r="T2025">
            <v>12.7</v>
          </cell>
          <cell r="U2025">
            <v>3</v>
          </cell>
        </row>
        <row r="2026">
          <cell r="B2026" t="str">
            <v>Male</v>
          </cell>
          <cell r="F2026">
            <v>0</v>
          </cell>
          <cell r="G2026">
            <v>10.6</v>
          </cell>
          <cell r="H2026">
            <v>7.1</v>
          </cell>
          <cell r="I2026">
            <v>83.3</v>
          </cell>
          <cell r="J2026">
            <v>1</v>
          </cell>
          <cell r="K2026" t="str">
            <v>16.900000000000002</v>
          </cell>
          <cell r="L2026">
            <v>90.96</v>
          </cell>
          <cell r="M2026">
            <v>13</v>
          </cell>
          <cell r="N2026">
            <v>57.48</v>
          </cell>
          <cell r="O2026">
            <v>3.9</v>
          </cell>
          <cell r="P2026">
            <v>1.2</v>
          </cell>
          <cell r="S2026">
            <v>11.3</v>
          </cell>
          <cell r="T2026">
            <v>10.8</v>
          </cell>
          <cell r="U2026">
            <v>2</v>
          </cell>
        </row>
        <row r="2027">
          <cell r="B2027" t="str">
            <v>Male</v>
          </cell>
          <cell r="F2027">
            <v>7</v>
          </cell>
          <cell r="G2027">
            <v>20.100000000000001</v>
          </cell>
          <cell r="H2027">
            <v>3.5</v>
          </cell>
          <cell r="I2027">
            <v>55.9</v>
          </cell>
          <cell r="J2027">
            <v>1</v>
          </cell>
          <cell r="K2027">
            <v>6.5</v>
          </cell>
          <cell r="L2027">
            <v>77.28</v>
          </cell>
          <cell r="M2027">
            <v>74</v>
          </cell>
          <cell r="N2027">
            <v>88.08</v>
          </cell>
          <cell r="O2027">
            <v>5.4</v>
          </cell>
          <cell r="P2027">
            <v>7.4</v>
          </cell>
          <cell r="S2027">
            <v>26.1</v>
          </cell>
          <cell r="T2027">
            <v>12.6</v>
          </cell>
          <cell r="U2027">
            <v>1</v>
          </cell>
        </row>
        <row r="2028">
          <cell r="B2028" t="str">
            <v>Male</v>
          </cell>
          <cell r="F2028">
            <v>16</v>
          </cell>
          <cell r="I2028">
            <v>62.8</v>
          </cell>
          <cell r="K2028">
            <v>12</v>
          </cell>
          <cell r="L2028">
            <v>85.39</v>
          </cell>
          <cell r="M2028">
            <v>41</v>
          </cell>
          <cell r="N2028">
            <v>19.8</v>
          </cell>
          <cell r="O2028">
            <v>9.6</v>
          </cell>
          <cell r="P2028">
            <v>9.1999999999999993</v>
          </cell>
          <cell r="S2028">
            <v>22.7</v>
          </cell>
          <cell r="T2028">
            <v>18.2</v>
          </cell>
          <cell r="U2028">
            <v>2</v>
          </cell>
        </row>
        <row r="2029">
          <cell r="B2029" t="str">
            <v>Female</v>
          </cell>
          <cell r="F2029">
            <v>7</v>
          </cell>
          <cell r="G2029">
            <v>19.2</v>
          </cell>
          <cell r="H2029">
            <v>2.9</v>
          </cell>
          <cell r="I2029">
            <v>54.6</v>
          </cell>
          <cell r="J2029">
            <v>2</v>
          </cell>
          <cell r="K2029" t="str">
            <v>7.800000000000001</v>
          </cell>
          <cell r="L2029">
            <v>162.87</v>
          </cell>
          <cell r="M2029">
            <v>1</v>
          </cell>
          <cell r="N2029">
            <v>78.48</v>
          </cell>
          <cell r="O2029">
            <v>11.3</v>
          </cell>
          <cell r="P2029">
            <v>0</v>
          </cell>
          <cell r="S2029">
            <v>0</v>
          </cell>
          <cell r="U2029">
            <v>3</v>
          </cell>
        </row>
        <row r="2030">
          <cell r="B2030" t="str">
            <v>Male</v>
          </cell>
          <cell r="F2030">
            <v>2</v>
          </cell>
          <cell r="G2030">
            <v>11.1</v>
          </cell>
          <cell r="H2030">
            <v>7.4</v>
          </cell>
          <cell r="I2030">
            <v>73.400000000000006</v>
          </cell>
          <cell r="J2030">
            <v>4</v>
          </cell>
          <cell r="K2030">
            <v>9.1</v>
          </cell>
          <cell r="L2030">
            <v>115.28</v>
          </cell>
          <cell r="M2030">
            <v>94</v>
          </cell>
          <cell r="N2030">
            <v>42.72</v>
          </cell>
          <cell r="P2030">
            <v>33.700000000000003</v>
          </cell>
          <cell r="T2030">
            <v>18.8</v>
          </cell>
          <cell r="U2030">
            <v>1</v>
          </cell>
        </row>
        <row r="2031">
          <cell r="B2031" t="str">
            <v>Male</v>
          </cell>
          <cell r="F2031">
            <v>3</v>
          </cell>
          <cell r="G2031">
            <v>12</v>
          </cell>
          <cell r="H2031">
            <v>1.5</v>
          </cell>
          <cell r="I2031">
            <v>55.1</v>
          </cell>
          <cell r="J2031">
            <v>0</v>
          </cell>
          <cell r="K2031">
            <v>5</v>
          </cell>
          <cell r="L2031">
            <v>166.75</v>
          </cell>
          <cell r="M2031">
            <v>4</v>
          </cell>
          <cell r="N2031">
            <v>36.1</v>
          </cell>
          <cell r="O2031">
            <v>3.4</v>
          </cell>
          <cell r="P2031">
            <v>0</v>
          </cell>
          <cell r="S2031">
            <v>6.1</v>
          </cell>
          <cell r="T2031">
            <v>10.9</v>
          </cell>
          <cell r="U2031">
            <v>1</v>
          </cell>
        </row>
        <row r="2032">
          <cell r="B2032" t="str">
            <v>Male</v>
          </cell>
          <cell r="F2032">
            <v>0</v>
          </cell>
          <cell r="G2032">
            <v>6.7</v>
          </cell>
          <cell r="H2032">
            <v>1.8</v>
          </cell>
          <cell r="I2032">
            <v>81.5</v>
          </cell>
          <cell r="J2032">
            <v>0</v>
          </cell>
          <cell r="K2032">
            <v>5</v>
          </cell>
          <cell r="L2032">
            <v>56.2</v>
          </cell>
          <cell r="M2032">
            <v>19</v>
          </cell>
          <cell r="N2032">
            <v>51.2</v>
          </cell>
          <cell r="O2032">
            <v>8.6</v>
          </cell>
          <cell r="P2032">
            <v>9.5</v>
          </cell>
          <cell r="S2032">
            <v>3.5</v>
          </cell>
          <cell r="U2032">
            <v>2</v>
          </cell>
        </row>
        <row r="2033">
          <cell r="B2033" t="str">
            <v>Female</v>
          </cell>
          <cell r="F2033">
            <v>24</v>
          </cell>
          <cell r="G2033">
            <v>31.7</v>
          </cell>
          <cell r="H2033">
            <v>9.8000000000000007</v>
          </cell>
          <cell r="I2033">
            <v>58.1</v>
          </cell>
          <cell r="J2033">
            <v>8</v>
          </cell>
          <cell r="K2033">
            <v>17</v>
          </cell>
          <cell r="L2033">
            <v>65.7</v>
          </cell>
          <cell r="M2033">
            <v>128</v>
          </cell>
          <cell r="N2033">
            <v>44.3</v>
          </cell>
          <cell r="O2033">
            <v>8.8000000000000007</v>
          </cell>
          <cell r="P2033">
            <v>38.1</v>
          </cell>
          <cell r="S2033">
            <v>59.2</v>
          </cell>
          <cell r="T2033">
            <v>25</v>
          </cell>
          <cell r="U2033">
            <v>1</v>
          </cell>
        </row>
        <row r="2034">
          <cell r="B2034" t="str">
            <v>Male</v>
          </cell>
          <cell r="F2034">
            <v>10</v>
          </cell>
          <cell r="G2034">
            <v>38</v>
          </cell>
          <cell r="H2034">
            <v>8</v>
          </cell>
          <cell r="I2034">
            <v>64.400000000000006</v>
          </cell>
          <cell r="J2034">
            <v>5</v>
          </cell>
          <cell r="K2034">
            <v>15</v>
          </cell>
          <cell r="L2034">
            <v>154.84</v>
          </cell>
          <cell r="N2034">
            <v>48.4</v>
          </cell>
          <cell r="P2034">
            <v>38.299999999999997</v>
          </cell>
          <cell r="T2034">
            <v>28.6</v>
          </cell>
          <cell r="U2034">
            <v>3</v>
          </cell>
        </row>
        <row r="2035">
          <cell r="B2035" t="str">
            <v>Male</v>
          </cell>
          <cell r="F2035">
            <v>12</v>
          </cell>
          <cell r="G2035">
            <v>23.4</v>
          </cell>
          <cell r="H2035">
            <v>3</v>
          </cell>
          <cell r="I2035">
            <v>73.3</v>
          </cell>
          <cell r="J2035">
            <v>3</v>
          </cell>
          <cell r="K2035">
            <v>6</v>
          </cell>
          <cell r="L2035">
            <v>66.099999999999994</v>
          </cell>
          <cell r="M2035">
            <v>25</v>
          </cell>
          <cell r="N2035">
            <v>67.5</v>
          </cell>
          <cell r="O2035">
            <v>18.100000000000001</v>
          </cell>
          <cell r="P2035">
            <v>14.4</v>
          </cell>
          <cell r="S2035">
            <v>41.8</v>
          </cell>
          <cell r="T2035">
            <v>11.9</v>
          </cell>
          <cell r="U2035">
            <v>5</v>
          </cell>
        </row>
        <row r="2036">
          <cell r="B2036" t="str">
            <v>Female</v>
          </cell>
          <cell r="F2036">
            <v>12</v>
          </cell>
          <cell r="G2036">
            <v>17.7</v>
          </cell>
          <cell r="H2036">
            <v>9.1</v>
          </cell>
          <cell r="I2036">
            <v>58.1</v>
          </cell>
          <cell r="J2036">
            <v>5</v>
          </cell>
          <cell r="K2036">
            <v>9</v>
          </cell>
          <cell r="L2036">
            <v>81.94</v>
          </cell>
          <cell r="N2036">
            <v>15.4</v>
          </cell>
          <cell r="O2036">
            <v>0.2</v>
          </cell>
          <cell r="P2036">
            <v>19.3</v>
          </cell>
          <cell r="S2036">
            <v>15.3</v>
          </cell>
          <cell r="T2036">
            <v>13.1</v>
          </cell>
          <cell r="U2036">
            <v>4</v>
          </cell>
        </row>
        <row r="2037">
          <cell r="B2037" t="str">
            <v>Female</v>
          </cell>
          <cell r="F2037">
            <v>21</v>
          </cell>
          <cell r="G2037">
            <v>39.4</v>
          </cell>
          <cell r="H2037">
            <v>14.7</v>
          </cell>
          <cell r="I2037">
            <v>58.9</v>
          </cell>
          <cell r="J2037">
            <v>14</v>
          </cell>
          <cell r="K2037">
            <v>18</v>
          </cell>
          <cell r="L2037">
            <v>119.89</v>
          </cell>
          <cell r="M2037">
            <v>19</v>
          </cell>
          <cell r="N2037">
            <v>24.3</v>
          </cell>
          <cell r="O2037">
            <v>2</v>
          </cell>
          <cell r="P2037">
            <v>23.5</v>
          </cell>
          <cell r="S2037">
            <v>58.9</v>
          </cell>
          <cell r="T2037">
            <v>25.5</v>
          </cell>
          <cell r="U2037">
            <v>2</v>
          </cell>
        </row>
        <row r="2038">
          <cell r="B2038" t="str">
            <v>Male</v>
          </cell>
          <cell r="F2038">
            <v>9</v>
          </cell>
          <cell r="G2038">
            <v>27.2</v>
          </cell>
          <cell r="H2038">
            <v>9.5</v>
          </cell>
          <cell r="I2038">
            <v>42</v>
          </cell>
          <cell r="J2038">
            <v>5</v>
          </cell>
          <cell r="K2038">
            <v>15</v>
          </cell>
          <cell r="L2038">
            <v>147.56</v>
          </cell>
          <cell r="M2038">
            <v>2</v>
          </cell>
          <cell r="N2038">
            <v>49.9</v>
          </cell>
          <cell r="O2038">
            <v>4.8</v>
          </cell>
          <cell r="P2038">
            <v>29</v>
          </cell>
          <cell r="S2038">
            <v>7.8</v>
          </cell>
          <cell r="T2038">
            <v>19.5</v>
          </cell>
          <cell r="U2038">
            <v>2</v>
          </cell>
        </row>
        <row r="2039">
          <cell r="B2039" t="str">
            <v>Female</v>
          </cell>
          <cell r="F2039">
            <v>12</v>
          </cell>
          <cell r="G2039">
            <v>19.5</v>
          </cell>
          <cell r="H2039">
            <v>7.9</v>
          </cell>
          <cell r="I2039">
            <v>56.2</v>
          </cell>
          <cell r="K2039">
            <v>8</v>
          </cell>
          <cell r="L2039">
            <v>98.42</v>
          </cell>
          <cell r="N2039">
            <v>26.4</v>
          </cell>
          <cell r="O2039">
            <v>11.4</v>
          </cell>
          <cell r="P2039">
            <v>0</v>
          </cell>
          <cell r="S2039">
            <v>31.5</v>
          </cell>
          <cell r="T2039">
            <v>18.2</v>
          </cell>
          <cell r="U2039">
            <v>1</v>
          </cell>
        </row>
        <row r="2040">
          <cell r="B2040" t="str">
            <v>Female</v>
          </cell>
          <cell r="F2040">
            <v>10</v>
          </cell>
          <cell r="G2040">
            <v>14.1</v>
          </cell>
          <cell r="H2040">
            <v>2.2000000000000002</v>
          </cell>
          <cell r="I2040">
            <v>84.7</v>
          </cell>
          <cell r="J2040">
            <v>1</v>
          </cell>
          <cell r="K2040">
            <v>6</v>
          </cell>
          <cell r="L2040">
            <v>95.32</v>
          </cell>
          <cell r="M2040">
            <v>5</v>
          </cell>
          <cell r="N2040">
            <v>9.1999999999999993</v>
          </cell>
          <cell r="O2040">
            <v>1.3</v>
          </cell>
          <cell r="P2040">
            <v>14</v>
          </cell>
          <cell r="S2040">
            <v>0</v>
          </cell>
          <cell r="T2040">
            <v>7.4</v>
          </cell>
          <cell r="U2040">
            <v>1</v>
          </cell>
        </row>
        <row r="2041">
          <cell r="B2041" t="str">
            <v>Male</v>
          </cell>
          <cell r="F2041">
            <v>16</v>
          </cell>
          <cell r="G2041">
            <v>38.1</v>
          </cell>
          <cell r="H2041">
            <v>12.6</v>
          </cell>
          <cell r="I2041">
            <v>40.5</v>
          </cell>
          <cell r="J2041">
            <v>5</v>
          </cell>
          <cell r="K2041">
            <v>16</v>
          </cell>
          <cell r="L2041">
            <v>107.42</v>
          </cell>
          <cell r="M2041">
            <v>1</v>
          </cell>
          <cell r="N2041">
            <v>49.4</v>
          </cell>
          <cell r="O2041">
            <v>17.8</v>
          </cell>
          <cell r="P2041">
            <v>42.9</v>
          </cell>
          <cell r="S2041">
            <v>31.5</v>
          </cell>
          <cell r="T2041">
            <v>24.8</v>
          </cell>
          <cell r="U2041">
            <v>3</v>
          </cell>
        </row>
        <row r="2042">
          <cell r="B2042" t="str">
            <v>Female</v>
          </cell>
          <cell r="F2042">
            <v>19</v>
          </cell>
          <cell r="G2042">
            <v>51.8</v>
          </cell>
          <cell r="H2042">
            <v>13.7</v>
          </cell>
          <cell r="I2042">
            <v>50.6</v>
          </cell>
          <cell r="J2042">
            <v>5</v>
          </cell>
          <cell r="K2042">
            <v>21</v>
          </cell>
          <cell r="L2042">
            <v>115.37</v>
          </cell>
          <cell r="M2042">
            <v>23</v>
          </cell>
          <cell r="N2042">
            <v>27.6</v>
          </cell>
          <cell r="O2042">
            <v>12</v>
          </cell>
          <cell r="P2042">
            <v>47.3</v>
          </cell>
          <cell r="S2042">
            <v>70.5</v>
          </cell>
          <cell r="T2042">
            <v>34.799999999999997</v>
          </cell>
          <cell r="U2042">
            <v>4</v>
          </cell>
        </row>
        <row r="2043">
          <cell r="B2043" t="str">
            <v>Female</v>
          </cell>
          <cell r="F2043">
            <v>0</v>
          </cell>
          <cell r="H2043">
            <v>4.8</v>
          </cell>
          <cell r="I2043">
            <v>68.7</v>
          </cell>
          <cell r="J2043">
            <v>0</v>
          </cell>
          <cell r="K2043">
            <v>2</v>
          </cell>
          <cell r="L2043">
            <v>65.260000000000005</v>
          </cell>
          <cell r="M2043">
            <v>6</v>
          </cell>
          <cell r="N2043">
            <v>9.9</v>
          </cell>
          <cell r="O2043">
            <v>7</v>
          </cell>
          <cell r="P2043">
            <v>10.6</v>
          </cell>
          <cell r="S2043">
            <v>3.1</v>
          </cell>
          <cell r="T2043">
            <v>11.7</v>
          </cell>
          <cell r="U2043">
            <v>1</v>
          </cell>
        </row>
        <row r="2044">
          <cell r="B2044" t="str">
            <v>Male</v>
          </cell>
          <cell r="F2044">
            <v>6</v>
          </cell>
          <cell r="G2044">
            <v>36.299999999999997</v>
          </cell>
          <cell r="H2044">
            <v>7.7</v>
          </cell>
          <cell r="I2044">
            <v>52.8</v>
          </cell>
          <cell r="J2044">
            <v>6</v>
          </cell>
          <cell r="K2044">
            <v>10</v>
          </cell>
          <cell r="L2044">
            <v>153.63999999999999</v>
          </cell>
          <cell r="M2044">
            <v>46</v>
          </cell>
          <cell r="N2044">
            <v>45.4</v>
          </cell>
          <cell r="O2044">
            <v>4.7</v>
          </cell>
          <cell r="P2044">
            <v>13.1</v>
          </cell>
          <cell r="S2044">
            <v>14.8</v>
          </cell>
          <cell r="T2044">
            <v>15.9</v>
          </cell>
          <cell r="U2044">
            <v>2</v>
          </cell>
        </row>
        <row r="2045">
          <cell r="B2045" t="str">
            <v>Male</v>
          </cell>
          <cell r="F2045">
            <v>14</v>
          </cell>
          <cell r="G2045">
            <v>27.6</v>
          </cell>
          <cell r="H2045">
            <v>12.8</v>
          </cell>
          <cell r="I2045">
            <v>54.1</v>
          </cell>
          <cell r="J2045">
            <v>6</v>
          </cell>
          <cell r="K2045">
            <v>19</v>
          </cell>
          <cell r="L2045">
            <v>108.29</v>
          </cell>
          <cell r="N2045">
            <v>18.399999999999999</v>
          </cell>
          <cell r="O2045">
            <v>8</v>
          </cell>
          <cell r="P2045">
            <v>35.799999999999997</v>
          </cell>
          <cell r="S2045">
            <v>32.1</v>
          </cell>
          <cell r="T2045">
            <v>16.899999999999999</v>
          </cell>
          <cell r="U2045">
            <v>2</v>
          </cell>
        </row>
        <row r="2046">
          <cell r="B2046" t="str">
            <v>Male</v>
          </cell>
          <cell r="F2046">
            <v>10</v>
          </cell>
          <cell r="G2046">
            <v>22.5</v>
          </cell>
          <cell r="H2046">
            <v>9.1999999999999993</v>
          </cell>
          <cell r="I2046">
            <v>59.4</v>
          </cell>
          <cell r="J2046">
            <v>5</v>
          </cell>
          <cell r="K2046">
            <v>12</v>
          </cell>
          <cell r="L2046">
            <v>114.85</v>
          </cell>
          <cell r="N2046">
            <v>48.5</v>
          </cell>
          <cell r="O2046">
            <v>8.9</v>
          </cell>
          <cell r="P2046">
            <v>14.4</v>
          </cell>
          <cell r="T2046">
            <v>15.7</v>
          </cell>
          <cell r="U2046">
            <v>1</v>
          </cell>
        </row>
        <row r="2047">
          <cell r="B2047" t="str">
            <v>Male</v>
          </cell>
          <cell r="F2047">
            <v>0</v>
          </cell>
          <cell r="G2047">
            <v>7.5</v>
          </cell>
          <cell r="H2047">
            <v>5</v>
          </cell>
          <cell r="I2047">
            <v>76.400000000000006</v>
          </cell>
          <cell r="J2047">
            <v>0</v>
          </cell>
          <cell r="K2047">
            <v>2</v>
          </cell>
          <cell r="L2047">
            <v>146.47</v>
          </cell>
          <cell r="M2047">
            <v>126</v>
          </cell>
          <cell r="O2047">
            <v>13.1</v>
          </cell>
          <cell r="P2047">
            <v>0</v>
          </cell>
          <cell r="S2047">
            <v>0</v>
          </cell>
          <cell r="T2047">
            <v>4</v>
          </cell>
          <cell r="U2047">
            <v>3</v>
          </cell>
        </row>
        <row r="2048">
          <cell r="B2048" t="str">
            <v>Female</v>
          </cell>
          <cell r="F2048">
            <v>15</v>
          </cell>
          <cell r="G2048">
            <v>19.3</v>
          </cell>
          <cell r="I2048">
            <v>67.900000000000006</v>
          </cell>
          <cell r="J2048">
            <v>1</v>
          </cell>
          <cell r="K2048">
            <v>10</v>
          </cell>
          <cell r="L2048">
            <v>57.71</v>
          </cell>
          <cell r="M2048">
            <v>16</v>
          </cell>
          <cell r="N2048">
            <v>47.3</v>
          </cell>
          <cell r="O2048">
            <v>2.9</v>
          </cell>
          <cell r="P2048">
            <v>26.8</v>
          </cell>
          <cell r="S2048">
            <v>11.2</v>
          </cell>
          <cell r="T2048">
            <v>10.1</v>
          </cell>
          <cell r="U2048">
            <v>4</v>
          </cell>
        </row>
        <row r="2049">
          <cell r="B2049" t="str">
            <v>Male</v>
          </cell>
          <cell r="F2049">
            <v>11</v>
          </cell>
          <cell r="G2049">
            <v>33.299999999999997</v>
          </cell>
          <cell r="H2049">
            <v>12.8</v>
          </cell>
          <cell r="I2049">
            <v>43.8</v>
          </cell>
          <cell r="J2049">
            <v>6</v>
          </cell>
          <cell r="K2049">
            <v>20</v>
          </cell>
          <cell r="L2049">
            <v>170.36</v>
          </cell>
          <cell r="M2049">
            <v>6</v>
          </cell>
          <cell r="N2049">
            <v>26.3</v>
          </cell>
          <cell r="O2049">
            <v>11.1</v>
          </cell>
          <cell r="P2049">
            <v>32.799999999999997</v>
          </cell>
          <cell r="S2049">
            <v>33.4</v>
          </cell>
          <cell r="T2049">
            <v>40.9</v>
          </cell>
          <cell r="U2049">
            <v>3</v>
          </cell>
        </row>
        <row r="2050">
          <cell r="B2050" t="str">
            <v>Female</v>
          </cell>
          <cell r="F2050">
            <v>5</v>
          </cell>
          <cell r="G2050">
            <v>8.6</v>
          </cell>
          <cell r="H2050">
            <v>6.4</v>
          </cell>
          <cell r="I2050">
            <v>66.599999999999994</v>
          </cell>
          <cell r="J2050">
            <v>4</v>
          </cell>
          <cell r="K2050">
            <v>7</v>
          </cell>
          <cell r="L2050">
            <v>124.88</v>
          </cell>
          <cell r="M2050">
            <v>69</v>
          </cell>
          <cell r="N2050">
            <v>80.3</v>
          </cell>
          <cell r="O2050">
            <v>2.9</v>
          </cell>
          <cell r="P2050">
            <v>25.8</v>
          </cell>
          <cell r="S2050">
            <v>0</v>
          </cell>
          <cell r="T2050">
            <v>12.9</v>
          </cell>
          <cell r="U2050">
            <v>1</v>
          </cell>
        </row>
        <row r="2051">
          <cell r="B2051" t="str">
            <v>Male</v>
          </cell>
          <cell r="F2051">
            <v>6</v>
          </cell>
          <cell r="G2051">
            <v>22.8</v>
          </cell>
          <cell r="H2051">
            <v>3.1</v>
          </cell>
          <cell r="I2051">
            <v>55.9</v>
          </cell>
          <cell r="J2051">
            <v>2</v>
          </cell>
          <cell r="K2051">
            <v>9</v>
          </cell>
          <cell r="L2051">
            <v>207.22</v>
          </cell>
          <cell r="M2051">
            <v>33</v>
          </cell>
          <cell r="N2051">
            <v>40.799999999999997</v>
          </cell>
          <cell r="O2051">
            <v>7.8</v>
          </cell>
          <cell r="P2051">
            <v>0</v>
          </cell>
          <cell r="T2051">
            <v>8.4</v>
          </cell>
          <cell r="U2051">
            <v>3</v>
          </cell>
        </row>
        <row r="2052">
          <cell r="B2052" t="str">
            <v>Male</v>
          </cell>
          <cell r="F2052">
            <v>7</v>
          </cell>
          <cell r="G2052">
            <v>39.4</v>
          </cell>
          <cell r="I2052">
            <v>60.7</v>
          </cell>
          <cell r="J2052">
            <v>9</v>
          </cell>
          <cell r="K2052">
            <v>19</v>
          </cell>
          <cell r="L2052">
            <v>64.45</v>
          </cell>
          <cell r="M2052">
            <v>18</v>
          </cell>
          <cell r="N2052">
            <v>74.2</v>
          </cell>
          <cell r="O2052">
            <v>27.2</v>
          </cell>
          <cell r="P2052">
            <v>38.5</v>
          </cell>
          <cell r="S2052">
            <v>45.3</v>
          </cell>
          <cell r="T2052">
            <v>24.1</v>
          </cell>
          <cell r="U2052">
            <v>1</v>
          </cell>
        </row>
        <row r="2053">
          <cell r="B2053" t="str">
            <v>Male</v>
          </cell>
          <cell r="F2053">
            <v>6</v>
          </cell>
          <cell r="G2053">
            <v>37.5</v>
          </cell>
          <cell r="H2053">
            <v>10.9</v>
          </cell>
          <cell r="I2053">
            <v>32.299999999999997</v>
          </cell>
          <cell r="J2053">
            <v>6</v>
          </cell>
          <cell r="K2053">
            <v>12</v>
          </cell>
          <cell r="L2053">
            <v>166.19</v>
          </cell>
          <cell r="M2053">
            <v>25</v>
          </cell>
          <cell r="N2053">
            <v>62.3</v>
          </cell>
          <cell r="O2053">
            <v>8</v>
          </cell>
          <cell r="P2053">
            <v>20.6</v>
          </cell>
          <cell r="S2053">
            <v>44.8</v>
          </cell>
          <cell r="T2053">
            <v>33.700000000000003</v>
          </cell>
          <cell r="U2053">
            <v>3</v>
          </cell>
        </row>
        <row r="2054">
          <cell r="B2054" t="str">
            <v>Male</v>
          </cell>
          <cell r="F2054">
            <v>3</v>
          </cell>
          <cell r="G2054">
            <v>11.8</v>
          </cell>
          <cell r="H2054">
            <v>4</v>
          </cell>
          <cell r="I2054">
            <v>63.5</v>
          </cell>
          <cell r="J2054">
            <v>0</v>
          </cell>
          <cell r="K2054">
            <v>3</v>
          </cell>
          <cell r="L2054">
            <v>251.91</v>
          </cell>
          <cell r="M2054">
            <v>67</v>
          </cell>
          <cell r="N2054">
            <v>19.399999999999999</v>
          </cell>
          <cell r="O2054">
            <v>2.1</v>
          </cell>
          <cell r="P2054">
            <v>1.2</v>
          </cell>
          <cell r="T2054">
            <v>4.4000000000000004</v>
          </cell>
          <cell r="U2054">
            <v>2</v>
          </cell>
        </row>
        <row r="2055">
          <cell r="B2055" t="str">
            <v>Male</v>
          </cell>
          <cell r="F2055">
            <v>25</v>
          </cell>
          <cell r="G2055">
            <v>47.2</v>
          </cell>
          <cell r="H2055">
            <v>10.6</v>
          </cell>
          <cell r="I2055">
            <v>39.299999999999997</v>
          </cell>
          <cell r="J2055">
            <v>8</v>
          </cell>
          <cell r="K2055">
            <v>24.7</v>
          </cell>
          <cell r="L2055">
            <v>87.25</v>
          </cell>
          <cell r="M2055">
            <v>10</v>
          </cell>
          <cell r="N2055">
            <v>103.68</v>
          </cell>
          <cell r="O2055">
            <v>4.5</v>
          </cell>
          <cell r="P2055">
            <v>24.2</v>
          </cell>
          <cell r="S2055">
            <v>44.3</v>
          </cell>
          <cell r="T2055">
            <v>42.1</v>
          </cell>
          <cell r="U2055">
            <v>1</v>
          </cell>
        </row>
        <row r="2056">
          <cell r="B2056" t="str">
            <v>Male</v>
          </cell>
          <cell r="F2056">
            <v>20</v>
          </cell>
          <cell r="G2056">
            <v>36.1</v>
          </cell>
          <cell r="H2056">
            <v>8.1999999999999993</v>
          </cell>
          <cell r="I2056">
            <v>58.4</v>
          </cell>
          <cell r="J2056">
            <v>5</v>
          </cell>
          <cell r="K2056" t="str">
            <v>16.900000000000002</v>
          </cell>
          <cell r="L2056">
            <v>122</v>
          </cell>
          <cell r="M2056">
            <v>37</v>
          </cell>
          <cell r="N2056">
            <v>60.48</v>
          </cell>
          <cell r="O2056">
            <v>16.100000000000001</v>
          </cell>
          <cell r="P2056">
            <v>17.899999999999999</v>
          </cell>
          <cell r="S2056">
            <v>24.5</v>
          </cell>
          <cell r="T2056">
            <v>32.6</v>
          </cell>
          <cell r="U2056">
            <v>2</v>
          </cell>
        </row>
        <row r="2057">
          <cell r="B2057" t="str">
            <v>Female</v>
          </cell>
          <cell r="F2057">
            <v>9</v>
          </cell>
          <cell r="G2057">
            <v>23.4</v>
          </cell>
          <cell r="H2057">
            <v>4.9000000000000004</v>
          </cell>
          <cell r="I2057">
            <v>59.2</v>
          </cell>
          <cell r="J2057">
            <v>1</v>
          </cell>
          <cell r="K2057">
            <v>8</v>
          </cell>
          <cell r="L2057">
            <v>120.14</v>
          </cell>
          <cell r="M2057">
            <v>9</v>
          </cell>
          <cell r="N2057">
            <v>49.3</v>
          </cell>
          <cell r="O2057">
            <v>6.3</v>
          </cell>
          <cell r="S2057">
            <v>7.2</v>
          </cell>
          <cell r="T2057">
            <v>17.5</v>
          </cell>
          <cell r="U2057">
            <v>2</v>
          </cell>
        </row>
        <row r="2058">
          <cell r="B2058" t="str">
            <v>Female</v>
          </cell>
          <cell r="F2058">
            <v>7</v>
          </cell>
          <cell r="G2058">
            <v>26.2</v>
          </cell>
          <cell r="H2058">
            <v>6.9</v>
          </cell>
          <cell r="I2058">
            <v>41.4</v>
          </cell>
          <cell r="K2058">
            <v>11</v>
          </cell>
          <cell r="L2058">
            <v>123.47</v>
          </cell>
          <cell r="M2058">
            <v>28</v>
          </cell>
          <cell r="N2058">
            <v>26.5</v>
          </cell>
          <cell r="O2058">
            <v>7.8</v>
          </cell>
          <cell r="P2058">
            <v>9.4</v>
          </cell>
          <cell r="S2058">
            <v>12.6</v>
          </cell>
          <cell r="T2058">
            <v>13.2</v>
          </cell>
          <cell r="U2058">
            <v>1</v>
          </cell>
        </row>
        <row r="2059">
          <cell r="B2059" t="str">
            <v>Male</v>
          </cell>
          <cell r="F2059">
            <v>14</v>
          </cell>
          <cell r="G2059">
            <v>4.0999999999999996</v>
          </cell>
          <cell r="H2059">
            <v>6.3</v>
          </cell>
          <cell r="I2059">
            <v>84.8</v>
          </cell>
          <cell r="J2059">
            <v>2</v>
          </cell>
          <cell r="K2059">
            <v>7</v>
          </cell>
          <cell r="L2059">
            <v>115.76</v>
          </cell>
          <cell r="M2059">
            <v>105</v>
          </cell>
          <cell r="N2059">
            <v>32.6</v>
          </cell>
          <cell r="O2059">
            <v>4.0999999999999996</v>
          </cell>
          <cell r="P2059">
            <v>0.2</v>
          </cell>
          <cell r="S2059">
            <v>33</v>
          </cell>
          <cell r="T2059">
            <v>14.4</v>
          </cell>
          <cell r="U2059">
            <v>1</v>
          </cell>
        </row>
        <row r="2060">
          <cell r="B2060" t="str">
            <v>Female</v>
          </cell>
          <cell r="F2060">
            <v>31</v>
          </cell>
          <cell r="G2060">
            <v>36.1</v>
          </cell>
          <cell r="H2060">
            <v>11.7</v>
          </cell>
          <cell r="I2060">
            <v>52.5</v>
          </cell>
          <cell r="J2060">
            <v>15</v>
          </cell>
          <cell r="K2060">
            <v>17</v>
          </cell>
          <cell r="L2060">
            <v>131.58000000000001</v>
          </cell>
          <cell r="M2060">
            <v>24</v>
          </cell>
          <cell r="N2060">
            <v>73.3</v>
          </cell>
          <cell r="O2060">
            <v>4.8</v>
          </cell>
          <cell r="P2060">
            <v>33.299999999999997</v>
          </cell>
          <cell r="S2060">
            <v>54.8</v>
          </cell>
          <cell r="T2060">
            <v>21.8</v>
          </cell>
          <cell r="U2060">
            <v>2</v>
          </cell>
        </row>
        <row r="2061">
          <cell r="B2061" t="str">
            <v>Female</v>
          </cell>
          <cell r="F2061">
            <v>25</v>
          </cell>
          <cell r="G2061">
            <v>51.2</v>
          </cell>
          <cell r="H2061">
            <v>14.6</v>
          </cell>
          <cell r="I2061">
            <v>19.8</v>
          </cell>
          <cell r="J2061">
            <v>10</v>
          </cell>
          <cell r="K2061">
            <v>22</v>
          </cell>
          <cell r="L2061">
            <v>55.24</v>
          </cell>
          <cell r="M2061">
            <v>47</v>
          </cell>
          <cell r="N2061">
            <v>42.6</v>
          </cell>
          <cell r="O2061">
            <v>6.6</v>
          </cell>
          <cell r="P2061">
            <v>51.6</v>
          </cell>
          <cell r="S2061">
            <v>65</v>
          </cell>
          <cell r="T2061">
            <v>42</v>
          </cell>
          <cell r="U2061">
            <v>2</v>
          </cell>
        </row>
        <row r="2062">
          <cell r="B2062" t="str">
            <v>Female</v>
          </cell>
          <cell r="F2062">
            <v>21</v>
          </cell>
          <cell r="G2062">
            <v>40.9</v>
          </cell>
          <cell r="H2062">
            <v>13.2</v>
          </cell>
          <cell r="I2062">
            <v>56.5</v>
          </cell>
          <cell r="J2062">
            <v>6</v>
          </cell>
          <cell r="K2062">
            <v>17</v>
          </cell>
          <cell r="L2062">
            <v>100.51</v>
          </cell>
          <cell r="M2062">
            <v>45</v>
          </cell>
          <cell r="N2062">
            <v>61.3</v>
          </cell>
          <cell r="O2062">
            <v>2</v>
          </cell>
          <cell r="P2062">
            <v>44.6</v>
          </cell>
          <cell r="S2062">
            <v>59.3</v>
          </cell>
          <cell r="T2062">
            <v>35.700000000000003</v>
          </cell>
          <cell r="U2062">
            <v>4</v>
          </cell>
        </row>
        <row r="2063">
          <cell r="B2063" t="str">
            <v>Female</v>
          </cell>
          <cell r="F2063">
            <v>6</v>
          </cell>
          <cell r="H2063">
            <v>6.2</v>
          </cell>
          <cell r="I2063">
            <v>71.5</v>
          </cell>
          <cell r="J2063">
            <v>0</v>
          </cell>
          <cell r="K2063">
            <v>9</v>
          </cell>
          <cell r="L2063">
            <v>76.75</v>
          </cell>
          <cell r="M2063">
            <v>42</v>
          </cell>
          <cell r="N2063">
            <v>59.6</v>
          </cell>
          <cell r="O2063">
            <v>2.1</v>
          </cell>
          <cell r="P2063">
            <v>0</v>
          </cell>
          <cell r="S2063">
            <v>21.2</v>
          </cell>
          <cell r="T2063">
            <v>12</v>
          </cell>
        </row>
        <row r="2064">
          <cell r="B2064" t="str">
            <v>Female</v>
          </cell>
          <cell r="F2064">
            <v>0</v>
          </cell>
          <cell r="G2064">
            <v>8.9</v>
          </cell>
          <cell r="H2064">
            <v>3</v>
          </cell>
          <cell r="I2064">
            <v>92.1</v>
          </cell>
          <cell r="J2064">
            <v>0</v>
          </cell>
          <cell r="K2064">
            <v>4</v>
          </cell>
          <cell r="L2064">
            <v>129.97</v>
          </cell>
          <cell r="M2064">
            <v>1</v>
          </cell>
          <cell r="N2064">
            <v>32.200000000000003</v>
          </cell>
          <cell r="P2064">
            <v>3.2</v>
          </cell>
          <cell r="T2064">
            <v>13</v>
          </cell>
          <cell r="U2064">
            <v>2</v>
          </cell>
        </row>
        <row r="2065">
          <cell r="B2065" t="str">
            <v>Male</v>
          </cell>
          <cell r="F2065">
            <v>25</v>
          </cell>
          <cell r="G2065">
            <v>35.6</v>
          </cell>
          <cell r="H2065">
            <v>7.4</v>
          </cell>
          <cell r="I2065">
            <v>44.2</v>
          </cell>
          <cell r="J2065">
            <v>2</v>
          </cell>
          <cell r="K2065">
            <v>14</v>
          </cell>
          <cell r="L2065">
            <v>125.9</v>
          </cell>
          <cell r="M2065">
            <v>12</v>
          </cell>
          <cell r="N2065">
            <v>50.9</v>
          </cell>
          <cell r="O2065">
            <v>11.5</v>
          </cell>
          <cell r="P2065">
            <v>25.9</v>
          </cell>
          <cell r="T2065">
            <v>30.4</v>
          </cell>
          <cell r="U2065">
            <v>1</v>
          </cell>
        </row>
        <row r="2066">
          <cell r="B2066" t="str">
            <v>Male</v>
          </cell>
          <cell r="F2066">
            <v>28</v>
          </cell>
          <cell r="G2066">
            <v>37.200000000000003</v>
          </cell>
          <cell r="H2066">
            <v>16.5</v>
          </cell>
          <cell r="I2066">
            <v>35.200000000000003</v>
          </cell>
          <cell r="J2066">
            <v>7</v>
          </cell>
          <cell r="K2066">
            <v>19</v>
          </cell>
          <cell r="L2066">
            <v>88.35</v>
          </cell>
          <cell r="M2066">
            <v>9</v>
          </cell>
          <cell r="N2066">
            <v>36.4</v>
          </cell>
          <cell r="O2066">
            <v>3.2</v>
          </cell>
          <cell r="P2066">
            <v>56</v>
          </cell>
          <cell r="T2066">
            <v>27</v>
          </cell>
          <cell r="U2066">
            <v>3</v>
          </cell>
        </row>
        <row r="2067">
          <cell r="B2067" t="str">
            <v>Male</v>
          </cell>
          <cell r="F2067">
            <v>23</v>
          </cell>
          <cell r="G2067">
            <v>44.5</v>
          </cell>
          <cell r="H2067">
            <v>14.1</v>
          </cell>
          <cell r="I2067">
            <v>40.1</v>
          </cell>
          <cell r="J2067">
            <v>10</v>
          </cell>
          <cell r="K2067">
            <v>22.1</v>
          </cell>
          <cell r="L2067">
            <v>114.75</v>
          </cell>
          <cell r="M2067">
            <v>186</v>
          </cell>
          <cell r="N2067">
            <v>20.399999999999999</v>
          </cell>
          <cell r="O2067">
            <v>7.7</v>
          </cell>
          <cell r="P2067">
            <v>32.299999999999997</v>
          </cell>
          <cell r="S2067">
            <v>49</v>
          </cell>
          <cell r="U2067">
            <v>3</v>
          </cell>
        </row>
        <row r="2068">
          <cell r="B2068" t="str">
            <v>Female</v>
          </cell>
          <cell r="F2068">
            <v>23</v>
          </cell>
          <cell r="G2068">
            <v>30.2</v>
          </cell>
          <cell r="H2068">
            <v>13.2</v>
          </cell>
          <cell r="I2068">
            <v>30.1</v>
          </cell>
          <cell r="J2068">
            <v>12</v>
          </cell>
          <cell r="K2068">
            <v>25</v>
          </cell>
          <cell r="L2068">
            <v>81.760000000000005</v>
          </cell>
          <cell r="M2068">
            <v>52</v>
          </cell>
          <cell r="N2068">
            <v>28.7</v>
          </cell>
          <cell r="O2068">
            <v>0.3</v>
          </cell>
          <cell r="P2068">
            <v>30.9</v>
          </cell>
          <cell r="S2068">
            <v>49.7</v>
          </cell>
          <cell r="T2068">
            <v>32.9</v>
          </cell>
          <cell r="U2068">
            <v>1</v>
          </cell>
        </row>
        <row r="2069">
          <cell r="B2069" t="str">
            <v>Female</v>
          </cell>
          <cell r="F2069">
            <v>16</v>
          </cell>
          <cell r="G2069">
            <v>30.8</v>
          </cell>
          <cell r="H2069">
            <v>7.7</v>
          </cell>
          <cell r="I2069">
            <v>48.8</v>
          </cell>
          <cell r="J2069">
            <v>3</v>
          </cell>
          <cell r="K2069">
            <v>13</v>
          </cell>
          <cell r="L2069">
            <v>96.04</v>
          </cell>
          <cell r="M2069">
            <v>11</v>
          </cell>
          <cell r="N2069">
            <v>35.799999999999997</v>
          </cell>
          <cell r="O2069">
            <v>10.1</v>
          </cell>
          <cell r="P2069">
            <v>23.6</v>
          </cell>
          <cell r="S2069">
            <v>33.299999999999997</v>
          </cell>
          <cell r="T2069">
            <v>17.3</v>
          </cell>
          <cell r="U2069">
            <v>1</v>
          </cell>
        </row>
        <row r="2070">
          <cell r="B2070" t="str">
            <v>Female</v>
          </cell>
          <cell r="F2070">
            <v>3</v>
          </cell>
          <cell r="G2070">
            <v>25.5</v>
          </cell>
          <cell r="H2070">
            <v>3.4</v>
          </cell>
          <cell r="I2070">
            <v>85.1</v>
          </cell>
          <cell r="J2070">
            <v>3</v>
          </cell>
          <cell r="K2070">
            <v>7</v>
          </cell>
          <cell r="L2070">
            <v>119.65</v>
          </cell>
          <cell r="M2070">
            <v>13</v>
          </cell>
          <cell r="N2070">
            <v>42.7</v>
          </cell>
          <cell r="O2070">
            <v>3.5</v>
          </cell>
          <cell r="S2070">
            <v>36.6</v>
          </cell>
          <cell r="T2070">
            <v>9.6</v>
          </cell>
          <cell r="U2070">
            <v>3</v>
          </cell>
        </row>
        <row r="2071">
          <cell r="B2071" t="str">
            <v>Male</v>
          </cell>
          <cell r="F2071">
            <v>9</v>
          </cell>
          <cell r="G2071">
            <v>28.8</v>
          </cell>
          <cell r="H2071">
            <v>8.4</v>
          </cell>
          <cell r="I2071">
            <v>46.7</v>
          </cell>
          <cell r="J2071">
            <v>4</v>
          </cell>
          <cell r="K2071">
            <v>24</v>
          </cell>
          <cell r="L2071">
            <v>57.4</v>
          </cell>
          <cell r="M2071">
            <v>9</v>
          </cell>
          <cell r="N2071">
            <v>21.2</v>
          </cell>
          <cell r="O2071">
            <v>8.3000000000000007</v>
          </cell>
          <cell r="P2071">
            <v>14.7</v>
          </cell>
          <cell r="S2071">
            <v>31</v>
          </cell>
          <cell r="T2071">
            <v>24.6</v>
          </cell>
          <cell r="U2071">
            <v>2</v>
          </cell>
        </row>
        <row r="2072">
          <cell r="B2072" t="str">
            <v>Male</v>
          </cell>
          <cell r="F2072">
            <v>5</v>
          </cell>
          <cell r="G2072">
            <v>11.1</v>
          </cell>
          <cell r="H2072">
            <v>6.1</v>
          </cell>
          <cell r="I2072">
            <v>71.7</v>
          </cell>
          <cell r="J2072">
            <v>4</v>
          </cell>
          <cell r="K2072">
            <v>6</v>
          </cell>
          <cell r="L2072">
            <v>114.12</v>
          </cell>
          <cell r="M2072">
            <v>108</v>
          </cell>
          <cell r="N2072">
            <v>28.4</v>
          </cell>
          <cell r="O2072">
            <v>11</v>
          </cell>
          <cell r="P2072">
            <v>8.5</v>
          </cell>
          <cell r="S2072">
            <v>16.8</v>
          </cell>
          <cell r="U2072">
            <v>2</v>
          </cell>
        </row>
        <row r="2073">
          <cell r="B2073" t="str">
            <v>Male</v>
          </cell>
          <cell r="F2073">
            <v>13</v>
          </cell>
          <cell r="G2073">
            <v>27.6</v>
          </cell>
          <cell r="H2073">
            <v>5.6</v>
          </cell>
          <cell r="I2073">
            <v>57.6</v>
          </cell>
          <cell r="J2073">
            <v>6</v>
          </cell>
          <cell r="K2073">
            <v>12</v>
          </cell>
          <cell r="L2073">
            <v>126.92</v>
          </cell>
          <cell r="M2073">
            <v>29</v>
          </cell>
          <cell r="N2073">
            <v>30.9</v>
          </cell>
          <cell r="O2073">
            <v>12</v>
          </cell>
          <cell r="P2073">
            <v>17.399999999999999</v>
          </cell>
          <cell r="S2073">
            <v>21.5</v>
          </cell>
          <cell r="T2073">
            <v>23.2</v>
          </cell>
          <cell r="U2073">
            <v>5</v>
          </cell>
        </row>
        <row r="2074">
          <cell r="B2074" t="str">
            <v>Male</v>
          </cell>
          <cell r="F2074">
            <v>29</v>
          </cell>
          <cell r="G2074">
            <v>47.6</v>
          </cell>
          <cell r="H2074">
            <v>18.8</v>
          </cell>
          <cell r="I2074">
            <v>35.799999999999997</v>
          </cell>
          <cell r="J2074">
            <v>4</v>
          </cell>
          <cell r="K2074">
            <v>18</v>
          </cell>
          <cell r="L2074">
            <v>66.28</v>
          </cell>
          <cell r="M2074">
            <v>3</v>
          </cell>
          <cell r="N2074">
            <v>67</v>
          </cell>
          <cell r="O2074">
            <v>1.2</v>
          </cell>
          <cell r="P2074">
            <v>31.9</v>
          </cell>
          <cell r="S2074">
            <v>72.3</v>
          </cell>
          <cell r="T2074">
            <v>22.3</v>
          </cell>
        </row>
        <row r="2075">
          <cell r="B2075" t="str">
            <v>Female</v>
          </cell>
          <cell r="F2075">
            <v>7</v>
          </cell>
          <cell r="G2075">
            <v>25.1</v>
          </cell>
          <cell r="H2075">
            <v>5.0999999999999996</v>
          </cell>
          <cell r="I2075">
            <v>78.2</v>
          </cell>
          <cell r="J2075">
            <v>6</v>
          </cell>
          <cell r="K2075">
            <v>12</v>
          </cell>
          <cell r="L2075">
            <v>122.38</v>
          </cell>
          <cell r="M2075">
            <v>2</v>
          </cell>
          <cell r="N2075">
            <v>47.2</v>
          </cell>
          <cell r="O2075">
            <v>6.3</v>
          </cell>
          <cell r="P2075">
            <v>22.2</v>
          </cell>
          <cell r="S2075">
            <v>6.8</v>
          </cell>
          <cell r="T2075">
            <v>8.1999999999999993</v>
          </cell>
          <cell r="U2075">
            <v>1</v>
          </cell>
        </row>
        <row r="2076">
          <cell r="B2076" t="str">
            <v>Male</v>
          </cell>
          <cell r="F2076">
            <v>7</v>
          </cell>
          <cell r="G2076">
            <v>19.3</v>
          </cell>
          <cell r="H2076">
            <v>10</v>
          </cell>
          <cell r="I2076">
            <v>60.7</v>
          </cell>
          <cell r="J2076">
            <v>2</v>
          </cell>
          <cell r="K2076">
            <v>9</v>
          </cell>
          <cell r="L2076">
            <v>137.47999999999999</v>
          </cell>
          <cell r="M2076">
            <v>13</v>
          </cell>
          <cell r="N2076">
            <v>44.8</v>
          </cell>
          <cell r="O2076">
            <v>8.5</v>
          </cell>
          <cell r="P2076">
            <v>15.5</v>
          </cell>
          <cell r="T2076">
            <v>12.5</v>
          </cell>
          <cell r="U2076">
            <v>1</v>
          </cell>
        </row>
        <row r="2077">
          <cell r="B2077" t="str">
            <v>Female</v>
          </cell>
          <cell r="F2077">
            <v>20</v>
          </cell>
          <cell r="G2077">
            <v>31.8</v>
          </cell>
          <cell r="H2077">
            <v>9.9</v>
          </cell>
          <cell r="I2077">
            <v>46.6</v>
          </cell>
          <cell r="J2077">
            <v>2</v>
          </cell>
          <cell r="K2077">
            <v>18</v>
          </cell>
          <cell r="L2077">
            <v>109.9</v>
          </cell>
          <cell r="M2077">
            <v>23</v>
          </cell>
          <cell r="N2077">
            <v>70.7</v>
          </cell>
          <cell r="O2077">
            <v>8.1</v>
          </cell>
          <cell r="P2077">
            <v>13.5</v>
          </cell>
          <cell r="S2077">
            <v>61.9</v>
          </cell>
          <cell r="T2077">
            <v>21.1</v>
          </cell>
          <cell r="U2077">
            <v>1</v>
          </cell>
        </row>
        <row r="2078">
          <cell r="B2078" t="str">
            <v>Male</v>
          </cell>
          <cell r="F2078">
            <v>4</v>
          </cell>
          <cell r="G2078">
            <v>9.8000000000000007</v>
          </cell>
          <cell r="H2078">
            <v>4.8</v>
          </cell>
          <cell r="I2078">
            <v>84.2</v>
          </cell>
          <cell r="J2078">
            <v>0</v>
          </cell>
          <cell r="K2078">
            <v>6</v>
          </cell>
          <cell r="L2078">
            <v>76.3</v>
          </cell>
          <cell r="M2078">
            <v>24</v>
          </cell>
          <cell r="N2078">
            <v>15.4</v>
          </cell>
          <cell r="O2078">
            <v>2.7</v>
          </cell>
          <cell r="S2078">
            <v>13.1</v>
          </cell>
          <cell r="T2078">
            <v>12.8</v>
          </cell>
          <cell r="U2078">
            <v>2</v>
          </cell>
        </row>
        <row r="2079">
          <cell r="B2079" t="str">
            <v>Female</v>
          </cell>
          <cell r="F2079">
            <v>17</v>
          </cell>
          <cell r="G2079">
            <v>18.100000000000001</v>
          </cell>
          <cell r="H2079">
            <v>6.7</v>
          </cell>
          <cell r="I2079">
            <v>53.8</v>
          </cell>
          <cell r="J2079">
            <v>3</v>
          </cell>
          <cell r="K2079">
            <v>12</v>
          </cell>
          <cell r="L2079">
            <v>56.17</v>
          </cell>
          <cell r="M2079">
            <v>37</v>
          </cell>
          <cell r="N2079">
            <v>34.799999999999997</v>
          </cell>
          <cell r="O2079">
            <v>4.4000000000000004</v>
          </cell>
          <cell r="P2079">
            <v>38.799999999999997</v>
          </cell>
          <cell r="S2079">
            <v>14.5</v>
          </cell>
          <cell r="T2079">
            <v>22</v>
          </cell>
          <cell r="U2079">
            <v>2</v>
          </cell>
        </row>
        <row r="2080">
          <cell r="B2080" t="str">
            <v>Female</v>
          </cell>
          <cell r="F2080">
            <v>3</v>
          </cell>
          <cell r="G2080">
            <v>25.5</v>
          </cell>
          <cell r="H2080">
            <v>10.9</v>
          </cell>
          <cell r="I2080">
            <v>63.5</v>
          </cell>
          <cell r="J2080">
            <v>1</v>
          </cell>
          <cell r="K2080">
            <v>12</v>
          </cell>
          <cell r="L2080">
            <v>144.63999999999999</v>
          </cell>
          <cell r="M2080">
            <v>10</v>
          </cell>
          <cell r="O2080">
            <v>3.3</v>
          </cell>
          <cell r="P2080">
            <v>11.4</v>
          </cell>
          <cell r="S2080">
            <v>20.8</v>
          </cell>
          <cell r="T2080">
            <v>12.5</v>
          </cell>
          <cell r="U2080">
            <v>3</v>
          </cell>
        </row>
        <row r="2081">
          <cell r="B2081" t="str">
            <v>Female</v>
          </cell>
          <cell r="F2081">
            <v>9</v>
          </cell>
          <cell r="G2081">
            <v>27.8</v>
          </cell>
          <cell r="H2081">
            <v>7.5</v>
          </cell>
          <cell r="I2081">
            <v>51.1</v>
          </cell>
          <cell r="J2081">
            <v>3</v>
          </cell>
          <cell r="K2081">
            <v>14.3</v>
          </cell>
          <cell r="L2081">
            <v>131.81</v>
          </cell>
          <cell r="M2081">
            <v>72</v>
          </cell>
          <cell r="N2081">
            <v>32.64</v>
          </cell>
          <cell r="O2081">
            <v>1.1000000000000001</v>
          </cell>
          <cell r="P2081">
            <v>16.100000000000001</v>
          </cell>
          <cell r="S2081">
            <v>23.6</v>
          </cell>
          <cell r="T2081">
            <v>20.3</v>
          </cell>
          <cell r="U2081">
            <v>2</v>
          </cell>
        </row>
        <row r="2082">
          <cell r="B2082" t="str">
            <v>Male</v>
          </cell>
          <cell r="F2082">
            <v>20</v>
          </cell>
          <cell r="G2082">
            <v>42.1</v>
          </cell>
          <cell r="H2082">
            <v>11.6</v>
          </cell>
          <cell r="I2082">
            <v>40.799999999999997</v>
          </cell>
          <cell r="J2082">
            <v>5</v>
          </cell>
          <cell r="K2082">
            <v>22.1</v>
          </cell>
          <cell r="L2082">
            <v>96.47</v>
          </cell>
          <cell r="M2082">
            <v>13</v>
          </cell>
          <cell r="N2082" t="str">
            <v>27.599999999999998</v>
          </cell>
          <cell r="P2082">
            <v>15.9</v>
          </cell>
          <cell r="S2082">
            <v>51.5</v>
          </cell>
          <cell r="T2082">
            <v>29.4</v>
          </cell>
        </row>
        <row r="2083">
          <cell r="B2083" t="str">
            <v>Male</v>
          </cell>
          <cell r="F2083">
            <v>3</v>
          </cell>
          <cell r="G2083">
            <v>13.1</v>
          </cell>
          <cell r="H2083">
            <v>3.9</v>
          </cell>
          <cell r="I2083">
            <v>63.2</v>
          </cell>
          <cell r="J2083">
            <v>0</v>
          </cell>
          <cell r="K2083">
            <v>8</v>
          </cell>
          <cell r="L2083">
            <v>38.36</v>
          </cell>
          <cell r="M2083">
            <v>3</v>
          </cell>
          <cell r="N2083">
            <v>83.9</v>
          </cell>
          <cell r="O2083">
            <v>18</v>
          </cell>
          <cell r="P2083">
            <v>9.1999999999999993</v>
          </cell>
          <cell r="S2083">
            <v>0</v>
          </cell>
          <cell r="T2083">
            <v>6.5</v>
          </cell>
          <cell r="U2083">
            <v>1</v>
          </cell>
        </row>
        <row r="2084">
          <cell r="B2084" t="str">
            <v>Male</v>
          </cell>
          <cell r="F2084">
            <v>7</v>
          </cell>
          <cell r="G2084">
            <v>29.8</v>
          </cell>
          <cell r="H2084">
            <v>6</v>
          </cell>
          <cell r="I2084">
            <v>59.3</v>
          </cell>
          <cell r="J2084">
            <v>5</v>
          </cell>
          <cell r="K2084">
            <v>10.4</v>
          </cell>
          <cell r="L2084">
            <v>96.18</v>
          </cell>
          <cell r="M2084">
            <v>8</v>
          </cell>
          <cell r="N2084" t="str">
            <v>23.639999999999997</v>
          </cell>
          <cell r="O2084">
            <v>15.8</v>
          </cell>
          <cell r="P2084">
            <v>14.7</v>
          </cell>
          <cell r="S2084">
            <v>46.1</v>
          </cell>
          <cell r="T2084">
            <v>11.7</v>
          </cell>
          <cell r="U2084">
            <v>2</v>
          </cell>
        </row>
        <row r="2085">
          <cell r="B2085" t="str">
            <v>Female</v>
          </cell>
          <cell r="F2085">
            <v>10</v>
          </cell>
          <cell r="G2085">
            <v>18.899999999999999</v>
          </cell>
          <cell r="H2085">
            <v>6.7</v>
          </cell>
          <cell r="I2085">
            <v>81.2</v>
          </cell>
          <cell r="J2085">
            <v>2</v>
          </cell>
          <cell r="K2085">
            <v>7</v>
          </cell>
          <cell r="L2085">
            <v>156.04</v>
          </cell>
          <cell r="M2085">
            <v>43</v>
          </cell>
          <cell r="N2085">
            <v>34.9</v>
          </cell>
          <cell r="O2085">
            <v>33.200000000000003</v>
          </cell>
          <cell r="P2085">
            <v>5.5</v>
          </cell>
          <cell r="S2085">
            <v>3.1</v>
          </cell>
          <cell r="T2085">
            <v>3.6</v>
          </cell>
          <cell r="U2085">
            <v>4</v>
          </cell>
        </row>
        <row r="2086">
          <cell r="B2086" t="str">
            <v>Female</v>
          </cell>
          <cell r="F2086">
            <v>3</v>
          </cell>
          <cell r="G2086">
            <v>21.2</v>
          </cell>
          <cell r="H2086">
            <v>5.9</v>
          </cell>
          <cell r="I2086">
            <v>49</v>
          </cell>
          <cell r="J2086">
            <v>1</v>
          </cell>
          <cell r="K2086">
            <v>4</v>
          </cell>
          <cell r="L2086">
            <v>90.5</v>
          </cell>
          <cell r="M2086">
            <v>36</v>
          </cell>
          <cell r="N2086">
            <v>6</v>
          </cell>
          <cell r="P2086">
            <v>0</v>
          </cell>
          <cell r="S2086">
            <v>29.2</v>
          </cell>
          <cell r="T2086">
            <v>6.7</v>
          </cell>
          <cell r="U2086">
            <v>1</v>
          </cell>
        </row>
        <row r="2087">
          <cell r="B2087" t="str">
            <v>Female</v>
          </cell>
          <cell r="F2087">
            <v>18</v>
          </cell>
          <cell r="G2087">
            <v>33.799999999999997</v>
          </cell>
          <cell r="H2087">
            <v>3.7</v>
          </cell>
          <cell r="I2087">
            <v>45</v>
          </cell>
          <cell r="J2087">
            <v>2</v>
          </cell>
          <cell r="K2087">
            <v>10</v>
          </cell>
          <cell r="L2087">
            <v>77.7</v>
          </cell>
          <cell r="M2087">
            <v>71</v>
          </cell>
          <cell r="N2087">
            <v>28.6</v>
          </cell>
          <cell r="O2087">
            <v>8.1</v>
          </cell>
          <cell r="P2087">
            <v>26.7</v>
          </cell>
          <cell r="S2087">
            <v>12.3</v>
          </cell>
          <cell r="T2087">
            <v>10.1</v>
          </cell>
          <cell r="U2087">
            <v>2</v>
          </cell>
        </row>
        <row r="2088">
          <cell r="B2088" t="str">
            <v>Male</v>
          </cell>
          <cell r="F2088">
            <v>3</v>
          </cell>
          <cell r="G2088">
            <v>15.7</v>
          </cell>
          <cell r="H2088">
            <v>8.3000000000000007</v>
          </cell>
          <cell r="I2088">
            <v>87.7</v>
          </cell>
          <cell r="J2088">
            <v>2</v>
          </cell>
          <cell r="K2088">
            <v>9.1</v>
          </cell>
          <cell r="L2088">
            <v>121.95</v>
          </cell>
          <cell r="M2088">
            <v>1</v>
          </cell>
          <cell r="N2088">
            <v>47.04</v>
          </cell>
          <cell r="O2088">
            <v>3.3</v>
          </cell>
          <cell r="P2088">
            <v>1.1000000000000001</v>
          </cell>
          <cell r="U2088">
            <v>3</v>
          </cell>
        </row>
        <row r="2089">
          <cell r="B2089" t="str">
            <v>Female</v>
          </cell>
          <cell r="F2089">
            <v>22</v>
          </cell>
          <cell r="G2089">
            <v>36.700000000000003</v>
          </cell>
          <cell r="H2089">
            <v>13.6</v>
          </cell>
          <cell r="I2089">
            <v>40.9</v>
          </cell>
          <cell r="K2089" t="str">
            <v>16.900000000000002</v>
          </cell>
          <cell r="L2089">
            <v>47.4</v>
          </cell>
          <cell r="M2089">
            <v>58</v>
          </cell>
          <cell r="N2089">
            <v>23.04</v>
          </cell>
          <cell r="O2089">
            <v>3.7</v>
          </cell>
          <cell r="P2089">
            <v>42.1</v>
          </cell>
          <cell r="S2089">
            <v>25.4</v>
          </cell>
          <cell r="T2089">
            <v>29.9</v>
          </cell>
          <cell r="U2089">
            <v>4</v>
          </cell>
        </row>
        <row r="2090">
          <cell r="B2090" t="str">
            <v>Male</v>
          </cell>
          <cell r="F2090">
            <v>10</v>
          </cell>
          <cell r="H2090">
            <v>5.6</v>
          </cell>
          <cell r="I2090">
            <v>74.2</v>
          </cell>
          <cell r="J2090">
            <v>3</v>
          </cell>
          <cell r="K2090">
            <v>7</v>
          </cell>
          <cell r="L2090">
            <v>181.57</v>
          </cell>
          <cell r="M2090">
            <v>15</v>
          </cell>
          <cell r="N2090">
            <v>20.3</v>
          </cell>
          <cell r="O2090">
            <v>5.2</v>
          </cell>
          <cell r="P2090">
            <v>13.4</v>
          </cell>
          <cell r="S2090">
            <v>0</v>
          </cell>
          <cell r="T2090">
            <v>9.9</v>
          </cell>
          <cell r="U2090">
            <v>2</v>
          </cell>
        </row>
        <row r="2091">
          <cell r="B2091" t="str">
            <v>Other</v>
          </cell>
          <cell r="F2091">
            <v>11</v>
          </cell>
          <cell r="G2091">
            <v>28.9</v>
          </cell>
          <cell r="I2091">
            <v>51.7</v>
          </cell>
          <cell r="J2091">
            <v>2</v>
          </cell>
          <cell r="K2091">
            <v>11</v>
          </cell>
          <cell r="L2091">
            <v>110.32</v>
          </cell>
          <cell r="M2091">
            <v>8</v>
          </cell>
          <cell r="N2091">
            <v>29.3</v>
          </cell>
          <cell r="O2091">
            <v>3.6</v>
          </cell>
          <cell r="P2091">
            <v>26.6</v>
          </cell>
          <cell r="S2091">
            <v>57.1</v>
          </cell>
          <cell r="T2091">
            <v>25.7</v>
          </cell>
        </row>
        <row r="2092">
          <cell r="B2092" t="str">
            <v>Male</v>
          </cell>
          <cell r="F2092">
            <v>16</v>
          </cell>
          <cell r="G2092">
            <v>48</v>
          </cell>
          <cell r="H2092">
            <v>19.5</v>
          </cell>
          <cell r="I2092">
            <v>4.7</v>
          </cell>
          <cell r="J2092">
            <v>13</v>
          </cell>
          <cell r="K2092">
            <v>30</v>
          </cell>
          <cell r="L2092">
            <v>138.58000000000001</v>
          </cell>
          <cell r="M2092">
            <v>20</v>
          </cell>
          <cell r="N2092">
            <v>75.2</v>
          </cell>
          <cell r="O2092">
            <v>12.8</v>
          </cell>
          <cell r="P2092">
            <v>53.9</v>
          </cell>
          <cell r="S2092">
            <v>71.599999999999994</v>
          </cell>
          <cell r="T2092">
            <v>49</v>
          </cell>
          <cell r="U2092">
            <v>2</v>
          </cell>
        </row>
        <row r="2093">
          <cell r="B2093" t="str">
            <v>Female</v>
          </cell>
          <cell r="F2093">
            <v>29</v>
          </cell>
          <cell r="G2093">
            <v>38.200000000000003</v>
          </cell>
          <cell r="H2093">
            <v>11.3</v>
          </cell>
          <cell r="I2093">
            <v>40.4</v>
          </cell>
          <cell r="J2093">
            <v>9</v>
          </cell>
          <cell r="K2093">
            <v>12</v>
          </cell>
          <cell r="L2093">
            <v>92.27</v>
          </cell>
          <cell r="M2093">
            <v>17</v>
          </cell>
          <cell r="N2093">
            <v>34.299999999999997</v>
          </cell>
          <cell r="O2093">
            <v>9.1999999999999993</v>
          </cell>
          <cell r="P2093">
            <v>31.6</v>
          </cell>
          <cell r="S2093">
            <v>35</v>
          </cell>
          <cell r="T2093">
            <v>30.9</v>
          </cell>
        </row>
        <row r="2094">
          <cell r="B2094" t="str">
            <v>Male</v>
          </cell>
          <cell r="F2094">
            <v>7</v>
          </cell>
          <cell r="G2094">
            <v>25.3</v>
          </cell>
          <cell r="H2094">
            <v>7.8</v>
          </cell>
          <cell r="I2094">
            <v>69.900000000000006</v>
          </cell>
          <cell r="J2094">
            <v>7</v>
          </cell>
          <cell r="K2094">
            <v>11</v>
          </cell>
          <cell r="L2094">
            <v>93.15</v>
          </cell>
          <cell r="M2094">
            <v>19</v>
          </cell>
          <cell r="O2094">
            <v>3.4</v>
          </cell>
          <cell r="P2094">
            <v>11.5</v>
          </cell>
          <cell r="S2094">
            <v>35</v>
          </cell>
          <cell r="T2094">
            <v>10.6</v>
          </cell>
          <cell r="U2094">
            <v>2</v>
          </cell>
        </row>
        <row r="2095">
          <cell r="B2095" t="str">
            <v>Female</v>
          </cell>
          <cell r="F2095">
            <v>19</v>
          </cell>
          <cell r="G2095">
            <v>34.1</v>
          </cell>
          <cell r="H2095">
            <v>12.3</v>
          </cell>
          <cell r="I2095">
            <v>48.3</v>
          </cell>
          <cell r="J2095">
            <v>4</v>
          </cell>
          <cell r="K2095">
            <v>12</v>
          </cell>
          <cell r="L2095">
            <v>74.98</v>
          </cell>
          <cell r="M2095">
            <v>46</v>
          </cell>
          <cell r="N2095">
            <v>63.8</v>
          </cell>
          <cell r="O2095">
            <v>0.4</v>
          </cell>
          <cell r="P2095">
            <v>11.2</v>
          </cell>
          <cell r="S2095">
            <v>30.8</v>
          </cell>
          <cell r="T2095">
            <v>30.6</v>
          </cell>
          <cell r="U2095">
            <v>2</v>
          </cell>
        </row>
        <row r="2096">
          <cell r="B2096" t="str">
            <v>Female</v>
          </cell>
          <cell r="F2096">
            <v>12</v>
          </cell>
          <cell r="H2096">
            <v>8.6999999999999993</v>
          </cell>
          <cell r="I2096">
            <v>71.5</v>
          </cell>
          <cell r="J2096">
            <v>5</v>
          </cell>
          <cell r="K2096">
            <v>9</v>
          </cell>
          <cell r="L2096">
            <v>89.58</v>
          </cell>
          <cell r="M2096">
            <v>9</v>
          </cell>
          <cell r="N2096">
            <v>21.7</v>
          </cell>
          <cell r="O2096">
            <v>2.8</v>
          </cell>
          <cell r="P2096">
            <v>31.7</v>
          </cell>
          <cell r="S2096">
            <v>46.6</v>
          </cell>
          <cell r="T2096">
            <v>21.8</v>
          </cell>
          <cell r="U2096">
            <v>2</v>
          </cell>
        </row>
        <row r="2097">
          <cell r="B2097" t="str">
            <v>Male</v>
          </cell>
          <cell r="F2097">
            <v>22</v>
          </cell>
          <cell r="G2097">
            <v>29</v>
          </cell>
          <cell r="H2097">
            <v>10.6</v>
          </cell>
          <cell r="I2097">
            <v>46.3</v>
          </cell>
          <cell r="J2097">
            <v>7</v>
          </cell>
          <cell r="K2097">
            <v>18</v>
          </cell>
          <cell r="L2097">
            <v>114.77</v>
          </cell>
          <cell r="M2097">
            <v>0</v>
          </cell>
          <cell r="N2097">
            <v>40.700000000000003</v>
          </cell>
          <cell r="O2097">
            <v>7.1</v>
          </cell>
          <cell r="P2097">
            <v>0</v>
          </cell>
          <cell r="S2097">
            <v>51.4</v>
          </cell>
          <cell r="T2097">
            <v>31.6</v>
          </cell>
        </row>
        <row r="2098">
          <cell r="B2098" t="str">
            <v>Male</v>
          </cell>
          <cell r="F2098">
            <v>12</v>
          </cell>
          <cell r="G2098">
            <v>23.1</v>
          </cell>
          <cell r="H2098">
            <v>6.5</v>
          </cell>
          <cell r="I2098">
            <v>43.4</v>
          </cell>
          <cell r="J2098">
            <v>3</v>
          </cell>
          <cell r="K2098">
            <v>9</v>
          </cell>
          <cell r="L2098">
            <v>202.99</v>
          </cell>
          <cell r="M2098">
            <v>19</v>
          </cell>
          <cell r="N2098">
            <v>14.4</v>
          </cell>
          <cell r="O2098">
            <v>10.4</v>
          </cell>
          <cell r="P2098">
            <v>25.7</v>
          </cell>
          <cell r="S2098">
            <v>43.1</v>
          </cell>
          <cell r="T2098">
            <v>17.2</v>
          </cell>
          <cell r="U2098">
            <v>2</v>
          </cell>
        </row>
        <row r="2099">
          <cell r="B2099" t="str">
            <v>Male</v>
          </cell>
          <cell r="F2099">
            <v>2</v>
          </cell>
          <cell r="H2099">
            <v>7.5</v>
          </cell>
          <cell r="I2099">
            <v>62.5</v>
          </cell>
          <cell r="J2099">
            <v>5</v>
          </cell>
          <cell r="K2099">
            <v>13</v>
          </cell>
          <cell r="L2099">
            <v>160.16</v>
          </cell>
          <cell r="M2099">
            <v>10</v>
          </cell>
          <cell r="N2099">
            <v>31.8</v>
          </cell>
          <cell r="O2099">
            <v>2</v>
          </cell>
          <cell r="P2099">
            <v>7.7</v>
          </cell>
          <cell r="S2099">
            <v>9.4</v>
          </cell>
          <cell r="T2099">
            <v>9.6</v>
          </cell>
          <cell r="U2099">
            <v>4</v>
          </cell>
        </row>
        <row r="2100">
          <cell r="B2100" t="str">
            <v>Female</v>
          </cell>
          <cell r="F2100">
            <v>10</v>
          </cell>
          <cell r="G2100">
            <v>31.2</v>
          </cell>
          <cell r="H2100">
            <v>8.6</v>
          </cell>
          <cell r="I2100">
            <v>68.900000000000006</v>
          </cell>
          <cell r="J2100">
            <v>4</v>
          </cell>
          <cell r="K2100">
            <v>10</v>
          </cell>
          <cell r="L2100">
            <v>129.91999999999999</v>
          </cell>
          <cell r="M2100">
            <v>1</v>
          </cell>
          <cell r="N2100">
            <v>15.9</v>
          </cell>
          <cell r="O2100">
            <v>9.8000000000000007</v>
          </cell>
          <cell r="P2100">
            <v>2.7</v>
          </cell>
          <cell r="S2100">
            <v>21.9</v>
          </cell>
          <cell r="T2100">
            <v>24.1</v>
          </cell>
          <cell r="U2100">
            <v>2</v>
          </cell>
        </row>
        <row r="2101">
          <cell r="B2101" t="str">
            <v>Female</v>
          </cell>
          <cell r="F2101">
            <v>18</v>
          </cell>
          <cell r="G2101">
            <v>40.200000000000003</v>
          </cell>
          <cell r="H2101">
            <v>13.4</v>
          </cell>
          <cell r="I2101">
            <v>47.6</v>
          </cell>
          <cell r="J2101">
            <v>8</v>
          </cell>
          <cell r="K2101">
            <v>16</v>
          </cell>
          <cell r="L2101">
            <v>64.37</v>
          </cell>
          <cell r="M2101">
            <v>51</v>
          </cell>
          <cell r="N2101">
            <v>32.4</v>
          </cell>
          <cell r="P2101">
            <v>24.2</v>
          </cell>
          <cell r="S2101">
            <v>23.4</v>
          </cell>
          <cell r="T2101">
            <v>22.9</v>
          </cell>
        </row>
        <row r="2102">
          <cell r="B2102" t="str">
            <v>Female</v>
          </cell>
          <cell r="F2102">
            <v>26</v>
          </cell>
          <cell r="G2102">
            <v>39.5</v>
          </cell>
          <cell r="H2102">
            <v>12.8</v>
          </cell>
          <cell r="I2102">
            <v>28.4</v>
          </cell>
          <cell r="J2102">
            <v>9</v>
          </cell>
          <cell r="K2102">
            <v>17</v>
          </cell>
          <cell r="L2102">
            <v>109.47</v>
          </cell>
          <cell r="M2102">
            <v>2</v>
          </cell>
          <cell r="N2102">
            <v>38.6</v>
          </cell>
          <cell r="P2102">
            <v>51.5</v>
          </cell>
          <cell r="S2102">
            <v>45.5</v>
          </cell>
          <cell r="T2102">
            <v>35.299999999999997</v>
          </cell>
          <cell r="U2102">
            <v>2</v>
          </cell>
        </row>
        <row r="2103">
          <cell r="B2103" t="str">
            <v>Female</v>
          </cell>
          <cell r="F2103">
            <v>17</v>
          </cell>
          <cell r="G2103">
            <v>37.799999999999997</v>
          </cell>
          <cell r="H2103">
            <v>12.1</v>
          </cell>
          <cell r="I2103">
            <v>44.9</v>
          </cell>
          <cell r="J2103">
            <v>11</v>
          </cell>
          <cell r="K2103" t="str">
            <v>23.400000000000002</v>
          </cell>
          <cell r="L2103">
            <v>44.33</v>
          </cell>
          <cell r="N2103" t="str">
            <v>46.440000000000005</v>
          </cell>
          <cell r="O2103">
            <v>1.6</v>
          </cell>
          <cell r="P2103">
            <v>30.7</v>
          </cell>
          <cell r="T2103">
            <v>26.6</v>
          </cell>
          <cell r="U2103">
            <v>2</v>
          </cell>
        </row>
        <row r="2104">
          <cell r="B2104" t="str">
            <v>Female</v>
          </cell>
          <cell r="F2104">
            <v>21</v>
          </cell>
          <cell r="G2104">
            <v>48.7</v>
          </cell>
          <cell r="H2104">
            <v>14.4</v>
          </cell>
          <cell r="I2104">
            <v>23.6</v>
          </cell>
          <cell r="J2104">
            <v>5</v>
          </cell>
          <cell r="K2104">
            <v>22</v>
          </cell>
          <cell r="L2104">
            <v>254.94</v>
          </cell>
          <cell r="O2104">
            <v>0.6</v>
          </cell>
          <cell r="P2104">
            <v>30.1</v>
          </cell>
          <cell r="S2104">
            <v>81.599999999999994</v>
          </cell>
          <cell r="T2104">
            <v>39.799999999999997</v>
          </cell>
          <cell r="U2104">
            <v>1</v>
          </cell>
        </row>
        <row r="2105">
          <cell r="B2105" t="str">
            <v>Male</v>
          </cell>
          <cell r="F2105">
            <v>18</v>
          </cell>
          <cell r="G2105">
            <v>32.5</v>
          </cell>
          <cell r="H2105">
            <v>11.7</v>
          </cell>
          <cell r="I2105">
            <v>52.9</v>
          </cell>
          <cell r="J2105">
            <v>4</v>
          </cell>
          <cell r="K2105">
            <v>12</v>
          </cell>
          <cell r="L2105">
            <v>81.36</v>
          </cell>
          <cell r="M2105">
            <v>32</v>
          </cell>
          <cell r="N2105">
            <v>10.6</v>
          </cell>
          <cell r="O2105">
            <v>14.5</v>
          </cell>
          <cell r="P2105">
            <v>23.9</v>
          </cell>
          <cell r="S2105">
            <v>27.2</v>
          </cell>
          <cell r="T2105">
            <v>17.8</v>
          </cell>
          <cell r="U2105">
            <v>4</v>
          </cell>
        </row>
        <row r="2106">
          <cell r="B2106" t="str">
            <v>Female</v>
          </cell>
          <cell r="F2106">
            <v>12</v>
          </cell>
          <cell r="G2106">
            <v>23.2</v>
          </cell>
          <cell r="H2106">
            <v>6.4</v>
          </cell>
          <cell r="I2106">
            <v>61.4</v>
          </cell>
          <cell r="J2106">
            <v>1</v>
          </cell>
          <cell r="K2106">
            <v>13</v>
          </cell>
          <cell r="L2106">
            <v>120.84</v>
          </cell>
          <cell r="M2106">
            <v>6</v>
          </cell>
          <cell r="N2106">
            <v>60.72</v>
          </cell>
          <cell r="O2106">
            <v>4.8</v>
          </cell>
          <cell r="P2106">
            <v>13.1</v>
          </cell>
          <cell r="S2106">
            <v>15.3</v>
          </cell>
          <cell r="T2106">
            <v>10.4</v>
          </cell>
          <cell r="U2106">
            <v>2</v>
          </cell>
        </row>
        <row r="2107">
          <cell r="B2107" t="str">
            <v>Male</v>
          </cell>
          <cell r="F2107">
            <v>5</v>
          </cell>
          <cell r="G2107">
            <v>17.100000000000001</v>
          </cell>
          <cell r="H2107">
            <v>7.4</v>
          </cell>
          <cell r="I2107">
            <v>52.8</v>
          </cell>
          <cell r="J2107">
            <v>4</v>
          </cell>
          <cell r="K2107">
            <v>6</v>
          </cell>
          <cell r="L2107">
            <v>52.89</v>
          </cell>
          <cell r="M2107">
            <v>13</v>
          </cell>
          <cell r="N2107">
            <v>42.5</v>
          </cell>
          <cell r="O2107">
            <v>9.3000000000000007</v>
          </cell>
          <cell r="P2107">
            <v>20.2</v>
          </cell>
          <cell r="S2107">
            <v>31.5</v>
          </cell>
          <cell r="T2107">
            <v>12.7</v>
          </cell>
          <cell r="U2107">
            <v>5</v>
          </cell>
        </row>
        <row r="2108">
          <cell r="B2108" t="str">
            <v>Male</v>
          </cell>
          <cell r="F2108">
            <v>5</v>
          </cell>
          <cell r="G2108">
            <v>27</v>
          </cell>
          <cell r="H2108">
            <v>10.7</v>
          </cell>
          <cell r="I2108">
            <v>52.5</v>
          </cell>
          <cell r="J2108">
            <v>8</v>
          </cell>
          <cell r="K2108">
            <v>10</v>
          </cell>
          <cell r="L2108">
            <v>145.09</v>
          </cell>
          <cell r="M2108">
            <v>2</v>
          </cell>
          <cell r="N2108">
            <v>14.2</v>
          </cell>
          <cell r="O2108">
            <v>4.9000000000000004</v>
          </cell>
          <cell r="P2108">
            <v>27.7</v>
          </cell>
          <cell r="S2108">
            <v>44.7</v>
          </cell>
          <cell r="T2108">
            <v>16.899999999999999</v>
          </cell>
          <cell r="U2108">
            <v>3</v>
          </cell>
        </row>
        <row r="2109">
          <cell r="B2109" t="str">
            <v>Male</v>
          </cell>
          <cell r="F2109">
            <v>14</v>
          </cell>
          <cell r="G2109">
            <v>32.700000000000003</v>
          </cell>
          <cell r="H2109">
            <v>9.8000000000000007</v>
          </cell>
          <cell r="I2109">
            <v>60.6</v>
          </cell>
          <cell r="J2109">
            <v>1</v>
          </cell>
          <cell r="K2109" t="str">
            <v>16.900000000000002</v>
          </cell>
          <cell r="L2109">
            <v>131</v>
          </cell>
          <cell r="M2109">
            <v>12</v>
          </cell>
          <cell r="N2109" t="str">
            <v>29.759999999999998</v>
          </cell>
          <cell r="O2109">
            <v>5.8</v>
          </cell>
          <cell r="P2109">
            <v>36.299999999999997</v>
          </cell>
          <cell r="S2109">
            <v>31</v>
          </cell>
          <cell r="U2109">
            <v>3</v>
          </cell>
        </row>
        <row r="2110">
          <cell r="B2110" t="str">
            <v>Male</v>
          </cell>
          <cell r="F2110">
            <v>4</v>
          </cell>
          <cell r="G2110">
            <v>28.8</v>
          </cell>
          <cell r="H2110">
            <v>8.8000000000000007</v>
          </cell>
          <cell r="I2110">
            <v>71.3</v>
          </cell>
          <cell r="J2110">
            <v>4</v>
          </cell>
          <cell r="K2110">
            <v>11</v>
          </cell>
          <cell r="L2110">
            <v>75.61</v>
          </cell>
          <cell r="M2110">
            <v>3</v>
          </cell>
          <cell r="N2110">
            <v>54.2</v>
          </cell>
          <cell r="O2110">
            <v>6.6</v>
          </cell>
          <cell r="P2110">
            <v>22.4</v>
          </cell>
          <cell r="S2110">
            <v>18.7</v>
          </cell>
          <cell r="U2110">
            <v>3</v>
          </cell>
        </row>
        <row r="2111">
          <cell r="B2111" t="str">
            <v>Male</v>
          </cell>
          <cell r="F2111">
            <v>8</v>
          </cell>
          <cell r="G2111">
            <v>9.5</v>
          </cell>
          <cell r="H2111">
            <v>8</v>
          </cell>
          <cell r="I2111">
            <v>67.7</v>
          </cell>
          <cell r="J2111">
            <v>0</v>
          </cell>
          <cell r="K2111">
            <v>10.4</v>
          </cell>
          <cell r="L2111">
            <v>205.14</v>
          </cell>
          <cell r="M2111">
            <v>44</v>
          </cell>
          <cell r="N2111" t="str">
            <v>100.91999999999999</v>
          </cell>
          <cell r="O2111">
            <v>2.7</v>
          </cell>
          <cell r="P2111">
            <v>0</v>
          </cell>
          <cell r="S2111">
            <v>5.6</v>
          </cell>
          <cell r="T2111">
            <v>14.9</v>
          </cell>
          <cell r="U2111">
            <v>3</v>
          </cell>
        </row>
        <row r="2112">
          <cell r="B2112" t="str">
            <v>Male</v>
          </cell>
          <cell r="F2112">
            <v>7</v>
          </cell>
          <cell r="G2112">
            <v>32.299999999999997</v>
          </cell>
          <cell r="H2112">
            <v>9.3000000000000007</v>
          </cell>
          <cell r="I2112">
            <v>46.7</v>
          </cell>
          <cell r="J2112">
            <v>2</v>
          </cell>
          <cell r="K2112">
            <v>12</v>
          </cell>
          <cell r="L2112">
            <v>89.96</v>
          </cell>
          <cell r="M2112">
            <v>8</v>
          </cell>
          <cell r="O2112">
            <v>2.2999999999999998</v>
          </cell>
          <cell r="P2112">
            <v>26.7</v>
          </cell>
          <cell r="S2112">
            <v>20.8</v>
          </cell>
          <cell r="T2112">
            <v>15.7</v>
          </cell>
          <cell r="U2112">
            <v>2</v>
          </cell>
        </row>
        <row r="2113">
          <cell r="B2113" t="str">
            <v>Male</v>
          </cell>
          <cell r="F2113">
            <v>11</v>
          </cell>
          <cell r="G2113">
            <v>17.600000000000001</v>
          </cell>
          <cell r="H2113">
            <v>9.9</v>
          </cell>
          <cell r="I2113">
            <v>89.4</v>
          </cell>
          <cell r="J2113">
            <v>1</v>
          </cell>
          <cell r="K2113">
            <v>18</v>
          </cell>
          <cell r="L2113">
            <v>112.13</v>
          </cell>
          <cell r="M2113">
            <v>4</v>
          </cell>
          <cell r="N2113">
            <v>45.2</v>
          </cell>
          <cell r="O2113">
            <v>1.6</v>
          </cell>
          <cell r="P2113">
            <v>10.3</v>
          </cell>
          <cell r="S2113">
            <v>58.2</v>
          </cell>
          <cell r="T2113">
            <v>8.6999999999999993</v>
          </cell>
          <cell r="U2113">
            <v>1</v>
          </cell>
        </row>
        <row r="2114">
          <cell r="B2114" t="str">
            <v>Female</v>
          </cell>
          <cell r="F2114">
            <v>12</v>
          </cell>
          <cell r="G2114">
            <v>24.2</v>
          </cell>
          <cell r="I2114">
            <v>66.8</v>
          </cell>
          <cell r="J2114">
            <v>2</v>
          </cell>
          <cell r="K2114" t="str">
            <v>7.800000000000001</v>
          </cell>
          <cell r="L2114">
            <v>267.38</v>
          </cell>
          <cell r="M2114">
            <v>3</v>
          </cell>
          <cell r="N2114">
            <v>57.72</v>
          </cell>
          <cell r="O2114">
            <v>16</v>
          </cell>
          <cell r="P2114">
            <v>11</v>
          </cell>
          <cell r="S2114">
            <v>33.200000000000003</v>
          </cell>
          <cell r="T2114">
            <v>21.6</v>
          </cell>
        </row>
        <row r="2115">
          <cell r="B2115" t="str">
            <v>Male</v>
          </cell>
          <cell r="F2115">
            <v>1</v>
          </cell>
          <cell r="G2115">
            <v>14.2</v>
          </cell>
          <cell r="H2115">
            <v>1.9</v>
          </cell>
          <cell r="I2115">
            <v>71.900000000000006</v>
          </cell>
          <cell r="J2115">
            <v>1</v>
          </cell>
          <cell r="K2115">
            <v>5.2</v>
          </cell>
          <cell r="L2115">
            <v>126.6</v>
          </cell>
          <cell r="M2115">
            <v>7</v>
          </cell>
          <cell r="N2115">
            <v>12.12</v>
          </cell>
          <cell r="O2115">
            <v>12.9</v>
          </cell>
          <cell r="P2115">
            <v>11.4</v>
          </cell>
          <cell r="S2115">
            <v>14.8</v>
          </cell>
        </row>
        <row r="2116">
          <cell r="B2116" t="str">
            <v>Male</v>
          </cell>
          <cell r="F2116">
            <v>3</v>
          </cell>
          <cell r="G2116">
            <v>16.5</v>
          </cell>
          <cell r="H2116">
            <v>5.3</v>
          </cell>
          <cell r="I2116">
            <v>67.2</v>
          </cell>
          <cell r="J2116">
            <v>3</v>
          </cell>
          <cell r="K2116">
            <v>5</v>
          </cell>
          <cell r="L2116">
            <v>119.95</v>
          </cell>
          <cell r="M2116">
            <v>70</v>
          </cell>
          <cell r="N2116">
            <v>51.1</v>
          </cell>
          <cell r="O2116">
            <v>12.3</v>
          </cell>
          <cell r="S2116">
            <v>4.9000000000000004</v>
          </cell>
          <cell r="T2116">
            <v>18.600000000000001</v>
          </cell>
          <cell r="U2116">
            <v>3</v>
          </cell>
        </row>
        <row r="2117">
          <cell r="B2117" t="str">
            <v>Other</v>
          </cell>
          <cell r="F2117">
            <v>17</v>
          </cell>
          <cell r="G2117">
            <v>36.6</v>
          </cell>
          <cell r="H2117">
            <v>14.6</v>
          </cell>
          <cell r="I2117">
            <v>25.8</v>
          </cell>
          <cell r="J2117">
            <v>6</v>
          </cell>
          <cell r="K2117" t="str">
            <v>23.400000000000002</v>
          </cell>
          <cell r="L2117">
            <v>147.94999999999999</v>
          </cell>
          <cell r="M2117">
            <v>14</v>
          </cell>
          <cell r="N2117">
            <v>67.92</v>
          </cell>
          <cell r="O2117">
            <v>4.4000000000000004</v>
          </cell>
          <cell r="P2117">
            <v>40.5</v>
          </cell>
          <cell r="S2117">
            <v>50.1</v>
          </cell>
          <cell r="T2117">
            <v>28.7</v>
          </cell>
          <cell r="U2117">
            <v>4</v>
          </cell>
        </row>
        <row r="2118">
          <cell r="B2118" t="str">
            <v>Male</v>
          </cell>
          <cell r="F2118">
            <v>11</v>
          </cell>
          <cell r="G2118">
            <v>20.5</v>
          </cell>
          <cell r="H2118">
            <v>4.8</v>
          </cell>
          <cell r="I2118">
            <v>67.3</v>
          </cell>
          <cell r="J2118">
            <v>1</v>
          </cell>
          <cell r="K2118">
            <v>6</v>
          </cell>
          <cell r="L2118">
            <v>141.19</v>
          </cell>
          <cell r="M2118">
            <v>8</v>
          </cell>
          <cell r="N2118">
            <v>48.5</v>
          </cell>
          <cell r="O2118">
            <v>0.9</v>
          </cell>
          <cell r="P2118">
            <v>1.9</v>
          </cell>
          <cell r="S2118">
            <v>26.9</v>
          </cell>
          <cell r="T2118">
            <v>13.7</v>
          </cell>
          <cell r="U2118">
            <v>2</v>
          </cell>
        </row>
        <row r="2119">
          <cell r="B2119" t="str">
            <v>Male</v>
          </cell>
          <cell r="F2119">
            <v>10</v>
          </cell>
          <cell r="G2119">
            <v>15.1</v>
          </cell>
          <cell r="H2119">
            <v>7.3</v>
          </cell>
          <cell r="I2119">
            <v>66.5</v>
          </cell>
          <cell r="J2119">
            <v>0</v>
          </cell>
          <cell r="K2119">
            <v>12</v>
          </cell>
          <cell r="L2119">
            <v>94.26</v>
          </cell>
          <cell r="M2119">
            <v>21</v>
          </cell>
          <cell r="N2119">
            <v>45.5</v>
          </cell>
          <cell r="O2119">
            <v>1.8</v>
          </cell>
          <cell r="P2119">
            <v>0</v>
          </cell>
          <cell r="S2119">
            <v>22.6</v>
          </cell>
          <cell r="T2119">
            <v>5.6</v>
          </cell>
          <cell r="U2119">
            <v>1</v>
          </cell>
        </row>
        <row r="2120">
          <cell r="B2120" t="str">
            <v>Female</v>
          </cell>
          <cell r="F2120">
            <v>7</v>
          </cell>
          <cell r="G2120">
            <v>27.7</v>
          </cell>
          <cell r="H2120">
            <v>11.4</v>
          </cell>
          <cell r="I2120">
            <v>56.4</v>
          </cell>
          <cell r="J2120">
            <v>2</v>
          </cell>
          <cell r="K2120">
            <v>13</v>
          </cell>
          <cell r="L2120">
            <v>113.14</v>
          </cell>
          <cell r="M2120">
            <v>9</v>
          </cell>
          <cell r="N2120">
            <v>21.8</v>
          </cell>
          <cell r="O2120">
            <v>6.7</v>
          </cell>
          <cell r="P2120">
            <v>21.5</v>
          </cell>
          <cell r="S2120">
            <v>31</v>
          </cell>
          <cell r="T2120">
            <v>21</v>
          </cell>
          <cell r="U2120">
            <v>3</v>
          </cell>
        </row>
        <row r="2121">
          <cell r="B2121" t="str">
            <v>Female</v>
          </cell>
          <cell r="F2121">
            <v>22</v>
          </cell>
          <cell r="G2121">
            <v>29.2</v>
          </cell>
          <cell r="H2121">
            <v>10.8</v>
          </cell>
          <cell r="I2121">
            <v>33</v>
          </cell>
          <cell r="J2121">
            <v>10</v>
          </cell>
          <cell r="K2121">
            <v>16</v>
          </cell>
          <cell r="L2121">
            <v>155.35</v>
          </cell>
          <cell r="M2121">
            <v>36</v>
          </cell>
          <cell r="N2121">
            <v>46.7</v>
          </cell>
          <cell r="O2121">
            <v>14.9</v>
          </cell>
          <cell r="P2121">
            <v>54.6</v>
          </cell>
          <cell r="S2121">
            <v>44</v>
          </cell>
          <cell r="T2121">
            <v>27.4</v>
          </cell>
          <cell r="U2121">
            <v>1</v>
          </cell>
        </row>
        <row r="2122">
          <cell r="B2122" t="str">
            <v>Female</v>
          </cell>
          <cell r="F2122">
            <v>22</v>
          </cell>
          <cell r="G2122">
            <v>35.700000000000003</v>
          </cell>
          <cell r="H2122">
            <v>10</v>
          </cell>
          <cell r="I2122">
            <v>55.1</v>
          </cell>
          <cell r="J2122">
            <v>4</v>
          </cell>
          <cell r="K2122">
            <v>14</v>
          </cell>
          <cell r="L2122">
            <v>96.1</v>
          </cell>
          <cell r="M2122">
            <v>6</v>
          </cell>
          <cell r="N2122">
            <v>22.1</v>
          </cell>
          <cell r="O2122">
            <v>6.4</v>
          </cell>
          <cell r="P2122">
            <v>16.3</v>
          </cell>
          <cell r="S2122">
            <v>28.9</v>
          </cell>
          <cell r="T2122">
            <v>30.2</v>
          </cell>
          <cell r="U2122">
            <v>2</v>
          </cell>
        </row>
        <row r="2123">
          <cell r="B2123" t="str">
            <v>Male</v>
          </cell>
          <cell r="F2123">
            <v>12</v>
          </cell>
          <cell r="G2123">
            <v>18.899999999999999</v>
          </cell>
          <cell r="H2123">
            <v>10.6</v>
          </cell>
          <cell r="I2123">
            <v>47.3</v>
          </cell>
          <cell r="J2123">
            <v>3</v>
          </cell>
          <cell r="K2123">
            <v>12</v>
          </cell>
          <cell r="L2123">
            <v>67.36</v>
          </cell>
          <cell r="M2123">
            <v>9</v>
          </cell>
          <cell r="N2123">
            <v>67.3</v>
          </cell>
          <cell r="O2123">
            <v>1.3</v>
          </cell>
          <cell r="P2123">
            <v>0</v>
          </cell>
          <cell r="S2123">
            <v>0</v>
          </cell>
          <cell r="T2123">
            <v>17.7</v>
          </cell>
          <cell r="U2123">
            <v>3</v>
          </cell>
        </row>
        <row r="2124">
          <cell r="B2124" t="str">
            <v>Female</v>
          </cell>
          <cell r="F2124">
            <v>18</v>
          </cell>
          <cell r="G2124">
            <v>28.4</v>
          </cell>
          <cell r="H2124">
            <v>14</v>
          </cell>
          <cell r="I2124">
            <v>46.9</v>
          </cell>
          <cell r="J2124">
            <v>9</v>
          </cell>
          <cell r="K2124">
            <v>21</v>
          </cell>
          <cell r="L2124">
            <v>93.61</v>
          </cell>
          <cell r="M2124">
            <v>47</v>
          </cell>
          <cell r="N2124">
            <v>11.4</v>
          </cell>
          <cell r="O2124">
            <v>8.4</v>
          </cell>
          <cell r="P2124">
            <v>47.4</v>
          </cell>
          <cell r="T2124">
            <v>26.3</v>
          </cell>
          <cell r="U2124">
            <v>1</v>
          </cell>
        </row>
        <row r="2125">
          <cell r="B2125" t="str">
            <v>Male</v>
          </cell>
          <cell r="F2125">
            <v>8</v>
          </cell>
          <cell r="G2125">
            <v>26.2</v>
          </cell>
          <cell r="H2125">
            <v>9.1</v>
          </cell>
          <cell r="I2125">
            <v>52.7</v>
          </cell>
          <cell r="J2125">
            <v>2</v>
          </cell>
          <cell r="K2125">
            <v>9</v>
          </cell>
          <cell r="L2125">
            <v>118.67</v>
          </cell>
          <cell r="M2125">
            <v>20</v>
          </cell>
          <cell r="N2125">
            <v>65.7</v>
          </cell>
          <cell r="P2125">
            <v>12.2</v>
          </cell>
          <cell r="T2125">
            <v>20.8</v>
          </cell>
          <cell r="U2125">
            <v>3</v>
          </cell>
        </row>
        <row r="2126">
          <cell r="B2126" t="str">
            <v>Male</v>
          </cell>
          <cell r="F2126">
            <v>5</v>
          </cell>
          <cell r="G2126">
            <v>20.5</v>
          </cell>
          <cell r="H2126">
            <v>6.6</v>
          </cell>
          <cell r="I2126">
            <v>58.1</v>
          </cell>
          <cell r="J2126">
            <v>3</v>
          </cell>
          <cell r="K2126">
            <v>10</v>
          </cell>
          <cell r="L2126">
            <v>116.58</v>
          </cell>
          <cell r="M2126">
            <v>71</v>
          </cell>
          <cell r="N2126">
            <v>36.799999999999997</v>
          </cell>
          <cell r="O2126">
            <v>3.5</v>
          </cell>
          <cell r="P2126">
            <v>27.8</v>
          </cell>
          <cell r="S2126">
            <v>9.6999999999999993</v>
          </cell>
          <cell r="T2126">
            <v>11.3</v>
          </cell>
          <cell r="U2126">
            <v>2</v>
          </cell>
        </row>
        <row r="2127">
          <cell r="B2127" t="str">
            <v>Male</v>
          </cell>
          <cell r="F2127">
            <v>20</v>
          </cell>
          <cell r="H2127">
            <v>4.2</v>
          </cell>
          <cell r="I2127">
            <v>64.5</v>
          </cell>
          <cell r="J2127">
            <v>3</v>
          </cell>
          <cell r="K2127">
            <v>7</v>
          </cell>
          <cell r="L2127">
            <v>104.28</v>
          </cell>
          <cell r="M2127">
            <v>6</v>
          </cell>
          <cell r="N2127">
            <v>48.8</v>
          </cell>
          <cell r="O2127">
            <v>0.4</v>
          </cell>
          <cell r="P2127">
            <v>17.399999999999999</v>
          </cell>
          <cell r="S2127">
            <v>37.1</v>
          </cell>
          <cell r="T2127">
            <v>15.3</v>
          </cell>
          <cell r="U2127">
            <v>2</v>
          </cell>
        </row>
        <row r="2128">
          <cell r="B2128" t="str">
            <v>Female</v>
          </cell>
          <cell r="F2128">
            <v>10</v>
          </cell>
          <cell r="G2128">
            <v>26.9</v>
          </cell>
          <cell r="I2128">
            <v>55.7</v>
          </cell>
          <cell r="J2128">
            <v>3</v>
          </cell>
          <cell r="K2128">
            <v>9</v>
          </cell>
          <cell r="L2128">
            <v>90.37</v>
          </cell>
          <cell r="M2128">
            <v>10</v>
          </cell>
          <cell r="N2128">
            <v>30.2</v>
          </cell>
          <cell r="O2128">
            <v>1.4</v>
          </cell>
          <cell r="P2128">
            <v>22.6</v>
          </cell>
          <cell r="S2128">
            <v>50.6</v>
          </cell>
          <cell r="T2128">
            <v>17.399999999999999</v>
          </cell>
          <cell r="U2128">
            <v>1</v>
          </cell>
        </row>
        <row r="2129">
          <cell r="B2129" t="str">
            <v>Male</v>
          </cell>
          <cell r="F2129">
            <v>20</v>
          </cell>
          <cell r="G2129">
            <v>40.1</v>
          </cell>
          <cell r="H2129">
            <v>11.8</v>
          </cell>
          <cell r="I2129">
            <v>45.3</v>
          </cell>
          <cell r="J2129">
            <v>6</v>
          </cell>
          <cell r="K2129">
            <v>19</v>
          </cell>
          <cell r="L2129">
            <v>190.14</v>
          </cell>
          <cell r="M2129">
            <v>75</v>
          </cell>
          <cell r="N2129">
            <v>42.7</v>
          </cell>
          <cell r="O2129">
            <v>9.1999999999999993</v>
          </cell>
          <cell r="P2129">
            <v>39.9</v>
          </cell>
          <cell r="S2129">
            <v>50.7</v>
          </cell>
          <cell r="T2129">
            <v>38.4</v>
          </cell>
          <cell r="U2129">
            <v>4</v>
          </cell>
        </row>
        <row r="2130">
          <cell r="B2130" t="str">
            <v>Female</v>
          </cell>
          <cell r="F2130">
            <v>17</v>
          </cell>
          <cell r="G2130">
            <v>40.5</v>
          </cell>
          <cell r="H2130">
            <v>13.7</v>
          </cell>
          <cell r="I2130">
            <v>37.700000000000003</v>
          </cell>
          <cell r="K2130">
            <v>23</v>
          </cell>
          <cell r="L2130">
            <v>149.21</v>
          </cell>
          <cell r="M2130">
            <v>2</v>
          </cell>
          <cell r="N2130">
            <v>53.2</v>
          </cell>
          <cell r="O2130">
            <v>15.6</v>
          </cell>
          <cell r="P2130">
            <v>39.6</v>
          </cell>
          <cell r="S2130">
            <v>27.6</v>
          </cell>
          <cell r="T2130">
            <v>31.5</v>
          </cell>
          <cell r="U2130">
            <v>1</v>
          </cell>
        </row>
        <row r="2131">
          <cell r="B2131" t="str">
            <v>Female</v>
          </cell>
          <cell r="F2131">
            <v>6</v>
          </cell>
          <cell r="G2131">
            <v>22.7</v>
          </cell>
          <cell r="H2131">
            <v>7.8</v>
          </cell>
          <cell r="I2131">
            <v>74</v>
          </cell>
          <cell r="J2131">
            <v>3</v>
          </cell>
          <cell r="K2131">
            <v>13</v>
          </cell>
          <cell r="L2131">
            <v>174</v>
          </cell>
          <cell r="N2131">
            <v>49.32</v>
          </cell>
          <cell r="O2131">
            <v>16.7</v>
          </cell>
          <cell r="P2131">
            <v>9.5</v>
          </cell>
          <cell r="S2131">
            <v>15.4</v>
          </cell>
          <cell r="T2131">
            <v>16.600000000000001</v>
          </cell>
          <cell r="U2131">
            <v>1</v>
          </cell>
        </row>
        <row r="2132">
          <cell r="B2132" t="str">
            <v>Other</v>
          </cell>
          <cell r="F2132">
            <v>0</v>
          </cell>
          <cell r="G2132">
            <v>20.399999999999999</v>
          </cell>
          <cell r="H2132">
            <v>8.1</v>
          </cell>
          <cell r="I2132">
            <v>38.799999999999997</v>
          </cell>
          <cell r="J2132">
            <v>0</v>
          </cell>
          <cell r="K2132">
            <v>11</v>
          </cell>
          <cell r="L2132">
            <v>182.25</v>
          </cell>
          <cell r="M2132">
            <v>60</v>
          </cell>
          <cell r="N2132">
            <v>68.900000000000006</v>
          </cell>
          <cell r="P2132">
            <v>11.3</v>
          </cell>
          <cell r="S2132">
            <v>30.7</v>
          </cell>
          <cell r="U2132">
            <v>2</v>
          </cell>
        </row>
        <row r="2133">
          <cell r="B2133" t="str">
            <v>Female</v>
          </cell>
          <cell r="F2133">
            <v>3</v>
          </cell>
          <cell r="G2133">
            <v>25.3</v>
          </cell>
          <cell r="I2133">
            <v>42.3</v>
          </cell>
          <cell r="J2133">
            <v>1</v>
          </cell>
          <cell r="K2133">
            <v>6</v>
          </cell>
          <cell r="L2133">
            <v>85.54</v>
          </cell>
          <cell r="M2133">
            <v>29</v>
          </cell>
          <cell r="N2133">
            <v>8.6</v>
          </cell>
          <cell r="O2133">
            <v>4.2</v>
          </cell>
          <cell r="T2133">
            <v>13.5</v>
          </cell>
          <cell r="U2133">
            <v>3</v>
          </cell>
        </row>
        <row r="2134">
          <cell r="B2134" t="str">
            <v>Female</v>
          </cell>
          <cell r="F2134">
            <v>2</v>
          </cell>
          <cell r="G2134">
            <v>7.1</v>
          </cell>
          <cell r="H2134">
            <v>6.6</v>
          </cell>
          <cell r="I2134">
            <v>72.8</v>
          </cell>
          <cell r="J2134">
            <v>1</v>
          </cell>
          <cell r="K2134">
            <v>27.3</v>
          </cell>
          <cell r="L2134">
            <v>77.650000000000006</v>
          </cell>
          <cell r="M2134">
            <v>21</v>
          </cell>
          <cell r="N2134">
            <v>12.12</v>
          </cell>
          <cell r="O2134">
            <v>9.3000000000000007</v>
          </cell>
          <cell r="P2134">
            <v>30</v>
          </cell>
          <cell r="S2134">
            <v>51.8</v>
          </cell>
          <cell r="T2134">
            <v>5</v>
          </cell>
          <cell r="U2134">
            <v>3</v>
          </cell>
        </row>
        <row r="2135">
          <cell r="B2135" t="str">
            <v>Female</v>
          </cell>
          <cell r="F2135">
            <v>6</v>
          </cell>
          <cell r="G2135">
            <v>28.7</v>
          </cell>
          <cell r="I2135">
            <v>57.7</v>
          </cell>
          <cell r="J2135">
            <v>4</v>
          </cell>
          <cell r="K2135">
            <v>6.5</v>
          </cell>
          <cell r="L2135">
            <v>217.18</v>
          </cell>
          <cell r="N2135">
            <v>82.8</v>
          </cell>
          <cell r="P2135">
            <v>18.899999999999999</v>
          </cell>
          <cell r="S2135">
            <v>15.1</v>
          </cell>
          <cell r="T2135">
            <v>10.3</v>
          </cell>
          <cell r="U2135">
            <v>2</v>
          </cell>
        </row>
        <row r="2136">
          <cell r="B2136" t="str">
            <v>Male</v>
          </cell>
          <cell r="F2136">
            <v>6</v>
          </cell>
          <cell r="G2136">
            <v>15.3</v>
          </cell>
          <cell r="H2136">
            <v>1.2</v>
          </cell>
          <cell r="I2136">
            <v>69.7</v>
          </cell>
          <cell r="J2136">
            <v>1</v>
          </cell>
          <cell r="K2136">
            <v>2</v>
          </cell>
          <cell r="L2136">
            <v>162.33000000000001</v>
          </cell>
          <cell r="M2136">
            <v>65</v>
          </cell>
          <cell r="N2136">
            <v>56.6</v>
          </cell>
          <cell r="O2136">
            <v>8.6</v>
          </cell>
          <cell r="P2136">
            <v>6.7</v>
          </cell>
          <cell r="S2136">
            <v>6.9</v>
          </cell>
          <cell r="U2136">
            <v>1</v>
          </cell>
        </row>
        <row r="2137">
          <cell r="B2137" t="str">
            <v>Male</v>
          </cell>
          <cell r="F2137">
            <v>20</v>
          </cell>
          <cell r="G2137">
            <v>31.9</v>
          </cell>
          <cell r="I2137">
            <v>48.4</v>
          </cell>
          <cell r="J2137">
            <v>3</v>
          </cell>
          <cell r="K2137">
            <v>13</v>
          </cell>
          <cell r="L2137">
            <v>142.33000000000001</v>
          </cell>
          <cell r="M2137">
            <v>25</v>
          </cell>
          <cell r="N2137">
            <v>13.6</v>
          </cell>
          <cell r="O2137">
            <v>9.3000000000000007</v>
          </cell>
          <cell r="P2137">
            <v>27.5</v>
          </cell>
          <cell r="S2137">
            <v>49</v>
          </cell>
          <cell r="T2137">
            <v>20.6</v>
          </cell>
          <cell r="U2137">
            <v>5</v>
          </cell>
        </row>
        <row r="2138">
          <cell r="B2138" t="str">
            <v>Female</v>
          </cell>
          <cell r="F2138">
            <v>11</v>
          </cell>
          <cell r="G2138">
            <v>27.2</v>
          </cell>
          <cell r="H2138">
            <v>8.6999999999999993</v>
          </cell>
          <cell r="I2138">
            <v>62.3</v>
          </cell>
          <cell r="J2138">
            <v>5</v>
          </cell>
          <cell r="K2138">
            <v>13</v>
          </cell>
          <cell r="L2138">
            <v>166.59</v>
          </cell>
          <cell r="M2138">
            <v>21</v>
          </cell>
          <cell r="N2138">
            <v>54.3</v>
          </cell>
          <cell r="O2138">
            <v>3.5</v>
          </cell>
          <cell r="P2138">
            <v>26.4</v>
          </cell>
          <cell r="S2138">
            <v>36.5</v>
          </cell>
          <cell r="T2138">
            <v>34.299999999999997</v>
          </cell>
          <cell r="U2138">
            <v>3</v>
          </cell>
        </row>
        <row r="2139">
          <cell r="B2139" t="str">
            <v>Female</v>
          </cell>
          <cell r="F2139">
            <v>11</v>
          </cell>
          <cell r="G2139">
            <v>18.899999999999999</v>
          </cell>
          <cell r="H2139">
            <v>6.3</v>
          </cell>
          <cell r="I2139">
            <v>54.7</v>
          </cell>
          <cell r="J2139">
            <v>5</v>
          </cell>
          <cell r="K2139">
            <v>7</v>
          </cell>
          <cell r="L2139">
            <v>78.19</v>
          </cell>
          <cell r="M2139">
            <v>14</v>
          </cell>
          <cell r="N2139">
            <v>77.400000000000006</v>
          </cell>
          <cell r="O2139">
            <v>15.6</v>
          </cell>
          <cell r="P2139">
            <v>19.2</v>
          </cell>
          <cell r="S2139">
            <v>37</v>
          </cell>
          <cell r="T2139">
            <v>23</v>
          </cell>
          <cell r="U2139">
            <v>2</v>
          </cell>
        </row>
        <row r="2140">
          <cell r="B2140" t="str">
            <v>Male</v>
          </cell>
          <cell r="F2140">
            <v>16</v>
          </cell>
          <cell r="G2140">
            <v>38.5</v>
          </cell>
          <cell r="H2140">
            <v>7.5</v>
          </cell>
          <cell r="I2140">
            <v>30.3</v>
          </cell>
          <cell r="J2140">
            <v>4</v>
          </cell>
          <cell r="K2140">
            <v>15</v>
          </cell>
          <cell r="L2140">
            <v>82.77</v>
          </cell>
          <cell r="M2140">
            <v>46</v>
          </cell>
          <cell r="N2140">
            <v>38.9</v>
          </cell>
          <cell r="P2140">
            <v>35.700000000000003</v>
          </cell>
          <cell r="S2140">
            <v>48.8</v>
          </cell>
          <cell r="T2140">
            <v>24.2</v>
          </cell>
          <cell r="U2140">
            <v>1</v>
          </cell>
        </row>
        <row r="2141">
          <cell r="B2141" t="str">
            <v>Male</v>
          </cell>
          <cell r="F2141">
            <v>2</v>
          </cell>
          <cell r="G2141">
            <v>23.3</v>
          </cell>
          <cell r="H2141">
            <v>3</v>
          </cell>
          <cell r="I2141">
            <v>63.6</v>
          </cell>
          <cell r="J2141">
            <v>2</v>
          </cell>
          <cell r="K2141">
            <v>9.1</v>
          </cell>
          <cell r="L2141">
            <v>100.12</v>
          </cell>
          <cell r="M2141">
            <v>27</v>
          </cell>
          <cell r="N2141">
            <v>52.8</v>
          </cell>
          <cell r="O2141">
            <v>6.3</v>
          </cell>
          <cell r="P2141">
            <v>9.6</v>
          </cell>
          <cell r="S2141">
            <v>31</v>
          </cell>
          <cell r="T2141">
            <v>10.7</v>
          </cell>
          <cell r="U2141">
            <v>1</v>
          </cell>
        </row>
        <row r="2142">
          <cell r="B2142" t="str">
            <v>Female</v>
          </cell>
          <cell r="F2142">
            <v>13</v>
          </cell>
          <cell r="G2142">
            <v>14.9</v>
          </cell>
          <cell r="H2142">
            <v>10.6</v>
          </cell>
          <cell r="I2142">
            <v>60.1</v>
          </cell>
          <cell r="J2142">
            <v>5</v>
          </cell>
          <cell r="K2142">
            <v>10</v>
          </cell>
          <cell r="L2142">
            <v>165.18</v>
          </cell>
          <cell r="M2142">
            <v>15</v>
          </cell>
          <cell r="N2142">
            <v>51.8</v>
          </cell>
          <cell r="O2142">
            <v>6.2</v>
          </cell>
          <cell r="P2142">
            <v>13.6</v>
          </cell>
          <cell r="S2142">
            <v>31.1</v>
          </cell>
          <cell r="T2142">
            <v>24.7</v>
          </cell>
          <cell r="U2142">
            <v>2</v>
          </cell>
        </row>
        <row r="2143">
          <cell r="B2143" t="str">
            <v>Female</v>
          </cell>
          <cell r="F2143">
            <v>14</v>
          </cell>
          <cell r="G2143">
            <v>40.799999999999997</v>
          </cell>
          <cell r="H2143">
            <v>8.4</v>
          </cell>
          <cell r="I2143">
            <v>37.799999999999997</v>
          </cell>
          <cell r="J2143">
            <v>4</v>
          </cell>
          <cell r="K2143">
            <v>14.3</v>
          </cell>
          <cell r="L2143">
            <v>70.64</v>
          </cell>
          <cell r="M2143">
            <v>46</v>
          </cell>
          <cell r="N2143">
            <v>78.48</v>
          </cell>
          <cell r="P2143">
            <v>19.100000000000001</v>
          </cell>
          <cell r="S2143">
            <v>67</v>
          </cell>
          <cell r="T2143">
            <v>15.4</v>
          </cell>
          <cell r="U2143">
            <v>1</v>
          </cell>
        </row>
        <row r="2144">
          <cell r="B2144" t="str">
            <v>Male</v>
          </cell>
          <cell r="F2144">
            <v>5</v>
          </cell>
          <cell r="G2144">
            <v>11.2</v>
          </cell>
          <cell r="H2144">
            <v>9.3000000000000007</v>
          </cell>
          <cell r="I2144">
            <v>50.7</v>
          </cell>
          <cell r="J2144">
            <v>1</v>
          </cell>
          <cell r="K2144">
            <v>7</v>
          </cell>
          <cell r="L2144">
            <v>133.62</v>
          </cell>
          <cell r="M2144">
            <v>35</v>
          </cell>
          <cell r="N2144">
            <v>72.099999999999994</v>
          </cell>
          <cell r="O2144">
            <v>13</v>
          </cell>
          <cell r="P2144">
            <v>13.2</v>
          </cell>
          <cell r="S2144">
            <v>22.5</v>
          </cell>
          <cell r="T2144">
            <v>9.3000000000000007</v>
          </cell>
          <cell r="U2144">
            <v>2</v>
          </cell>
        </row>
        <row r="2145">
          <cell r="B2145" t="str">
            <v>Male</v>
          </cell>
          <cell r="F2145">
            <v>23</v>
          </cell>
          <cell r="G2145">
            <v>48.6</v>
          </cell>
          <cell r="H2145">
            <v>14.7</v>
          </cell>
          <cell r="I2145">
            <v>38.1</v>
          </cell>
          <cell r="J2145">
            <v>9</v>
          </cell>
          <cell r="K2145">
            <v>28.6</v>
          </cell>
          <cell r="L2145">
            <v>100.55</v>
          </cell>
          <cell r="N2145">
            <v>53.64</v>
          </cell>
          <cell r="O2145">
            <v>10.7</v>
          </cell>
          <cell r="P2145">
            <v>39.200000000000003</v>
          </cell>
          <cell r="S2145">
            <v>44.3</v>
          </cell>
          <cell r="T2145">
            <v>33.700000000000003</v>
          </cell>
          <cell r="U2145">
            <v>5</v>
          </cell>
        </row>
        <row r="2146">
          <cell r="B2146" t="str">
            <v>Male</v>
          </cell>
          <cell r="F2146">
            <v>14</v>
          </cell>
          <cell r="G2146">
            <v>41.4</v>
          </cell>
          <cell r="H2146">
            <v>12</v>
          </cell>
          <cell r="I2146">
            <v>64.5</v>
          </cell>
          <cell r="K2146">
            <v>15</v>
          </cell>
          <cell r="L2146">
            <v>63.32</v>
          </cell>
          <cell r="M2146">
            <v>3</v>
          </cell>
          <cell r="N2146">
            <v>65</v>
          </cell>
          <cell r="O2146">
            <v>5.7</v>
          </cell>
          <cell r="P2146">
            <v>24.9</v>
          </cell>
          <cell r="S2146">
            <v>18.399999999999999</v>
          </cell>
          <cell r="T2146">
            <v>31.7</v>
          </cell>
        </row>
        <row r="2147">
          <cell r="B2147" t="str">
            <v>Male</v>
          </cell>
          <cell r="F2147">
            <v>12</v>
          </cell>
          <cell r="G2147">
            <v>15.4</v>
          </cell>
          <cell r="H2147">
            <v>6.4</v>
          </cell>
          <cell r="I2147">
            <v>58.8</v>
          </cell>
          <cell r="J2147">
            <v>4</v>
          </cell>
          <cell r="K2147">
            <v>10</v>
          </cell>
          <cell r="L2147">
            <v>192.73</v>
          </cell>
          <cell r="M2147">
            <v>21</v>
          </cell>
          <cell r="N2147">
            <v>44.2</v>
          </cell>
          <cell r="O2147">
            <v>11.5</v>
          </cell>
          <cell r="P2147">
            <v>13.8</v>
          </cell>
          <cell r="S2147">
            <v>38.9</v>
          </cell>
          <cell r="T2147">
            <v>22.2</v>
          </cell>
          <cell r="U2147">
            <v>1</v>
          </cell>
        </row>
        <row r="2148">
          <cell r="B2148" t="str">
            <v>Male</v>
          </cell>
          <cell r="F2148">
            <v>17</v>
          </cell>
          <cell r="G2148">
            <v>35.200000000000003</v>
          </cell>
          <cell r="H2148">
            <v>9.5</v>
          </cell>
          <cell r="I2148">
            <v>41.4</v>
          </cell>
          <cell r="K2148">
            <v>16</v>
          </cell>
          <cell r="L2148">
            <v>69.63</v>
          </cell>
          <cell r="M2148">
            <v>6</v>
          </cell>
          <cell r="N2148">
            <v>54.8</v>
          </cell>
          <cell r="O2148">
            <v>9.5</v>
          </cell>
          <cell r="P2148">
            <v>24.8</v>
          </cell>
          <cell r="S2148">
            <v>35.799999999999997</v>
          </cell>
          <cell r="T2148">
            <v>29.8</v>
          </cell>
          <cell r="U2148">
            <v>1</v>
          </cell>
        </row>
        <row r="2149">
          <cell r="B2149" t="str">
            <v>Female</v>
          </cell>
          <cell r="F2149">
            <v>9</v>
          </cell>
          <cell r="G2149">
            <v>28.8</v>
          </cell>
          <cell r="H2149">
            <v>5</v>
          </cell>
          <cell r="I2149">
            <v>67.099999999999994</v>
          </cell>
          <cell r="K2149" t="str">
            <v>16.900000000000002</v>
          </cell>
          <cell r="L2149">
            <v>51.51</v>
          </cell>
          <cell r="M2149">
            <v>48</v>
          </cell>
          <cell r="N2149">
            <v>43.08</v>
          </cell>
          <cell r="O2149">
            <v>11.1</v>
          </cell>
          <cell r="P2149">
            <v>21.9</v>
          </cell>
          <cell r="S2149">
            <v>23.7</v>
          </cell>
          <cell r="T2149">
            <v>15</v>
          </cell>
          <cell r="U2149">
            <v>1</v>
          </cell>
        </row>
        <row r="2150">
          <cell r="B2150" t="str">
            <v>Male</v>
          </cell>
          <cell r="F2150">
            <v>8</v>
          </cell>
          <cell r="G2150">
            <v>26.9</v>
          </cell>
          <cell r="H2150">
            <v>9.1</v>
          </cell>
          <cell r="I2150">
            <v>52</v>
          </cell>
          <cell r="K2150">
            <v>11</v>
          </cell>
          <cell r="L2150">
            <v>145.6</v>
          </cell>
          <cell r="M2150">
            <v>3</v>
          </cell>
          <cell r="N2150">
            <v>50.7</v>
          </cell>
          <cell r="O2150">
            <v>2.8</v>
          </cell>
          <cell r="P2150">
            <v>32.1</v>
          </cell>
          <cell r="T2150">
            <v>17.8</v>
          </cell>
          <cell r="U2150">
            <v>3</v>
          </cell>
        </row>
        <row r="2151">
          <cell r="B2151" t="str">
            <v>Female</v>
          </cell>
          <cell r="F2151">
            <v>23</v>
          </cell>
          <cell r="G2151">
            <v>30.4</v>
          </cell>
          <cell r="H2151">
            <v>14.6</v>
          </cell>
          <cell r="I2151">
            <v>43.5</v>
          </cell>
          <cell r="J2151">
            <v>4</v>
          </cell>
          <cell r="K2151">
            <v>14</v>
          </cell>
          <cell r="L2151">
            <v>91.51</v>
          </cell>
          <cell r="O2151">
            <v>1.7</v>
          </cell>
          <cell r="P2151">
            <v>16.2</v>
          </cell>
          <cell r="S2151">
            <v>45.4</v>
          </cell>
          <cell r="T2151">
            <v>36.799999999999997</v>
          </cell>
          <cell r="U2151">
            <v>2</v>
          </cell>
        </row>
        <row r="2152">
          <cell r="B2152" t="str">
            <v>Female</v>
          </cell>
          <cell r="F2152">
            <v>28</v>
          </cell>
          <cell r="G2152">
            <v>28.6</v>
          </cell>
          <cell r="H2152">
            <v>8.1999999999999993</v>
          </cell>
          <cell r="I2152">
            <v>33.299999999999997</v>
          </cell>
          <cell r="J2152">
            <v>5</v>
          </cell>
          <cell r="K2152">
            <v>13</v>
          </cell>
          <cell r="L2152">
            <v>130.88999999999999</v>
          </cell>
          <cell r="M2152">
            <v>8</v>
          </cell>
          <cell r="N2152">
            <v>52.4</v>
          </cell>
          <cell r="O2152">
            <v>8.6</v>
          </cell>
          <cell r="P2152">
            <v>13.6</v>
          </cell>
          <cell r="S2152">
            <v>48.4</v>
          </cell>
          <cell r="U2152">
            <v>3</v>
          </cell>
        </row>
        <row r="2153">
          <cell r="B2153" t="str">
            <v>Female</v>
          </cell>
          <cell r="F2153">
            <v>9</v>
          </cell>
          <cell r="G2153">
            <v>24.6</v>
          </cell>
          <cell r="H2153">
            <v>5.8</v>
          </cell>
          <cell r="I2153">
            <v>51</v>
          </cell>
          <cell r="J2153">
            <v>3</v>
          </cell>
          <cell r="K2153">
            <v>11</v>
          </cell>
          <cell r="L2153">
            <v>205.16</v>
          </cell>
          <cell r="M2153">
            <v>10</v>
          </cell>
          <cell r="N2153">
            <v>12</v>
          </cell>
          <cell r="O2153">
            <v>1.3</v>
          </cell>
          <cell r="P2153">
            <v>6.9</v>
          </cell>
          <cell r="S2153">
            <v>25.1</v>
          </cell>
        </row>
        <row r="2154">
          <cell r="B2154" t="str">
            <v>Female</v>
          </cell>
          <cell r="F2154">
            <v>10</v>
          </cell>
          <cell r="G2154">
            <v>17.8</v>
          </cell>
          <cell r="H2154">
            <v>6.9</v>
          </cell>
          <cell r="I2154">
            <v>67.599999999999994</v>
          </cell>
          <cell r="J2154">
            <v>2</v>
          </cell>
          <cell r="K2154">
            <v>8</v>
          </cell>
          <cell r="L2154">
            <v>108.05</v>
          </cell>
          <cell r="M2154">
            <v>9</v>
          </cell>
          <cell r="N2154">
            <v>65</v>
          </cell>
          <cell r="P2154">
            <v>9.3000000000000007</v>
          </cell>
          <cell r="S2154">
            <v>36.4</v>
          </cell>
          <cell r="T2154">
            <v>12.9</v>
          </cell>
          <cell r="U2154">
            <v>2</v>
          </cell>
        </row>
        <row r="2155">
          <cell r="B2155" t="str">
            <v>Female</v>
          </cell>
          <cell r="F2155">
            <v>21</v>
          </cell>
          <cell r="G2155">
            <v>44.2</v>
          </cell>
          <cell r="H2155">
            <v>18.8</v>
          </cell>
          <cell r="I2155">
            <v>40.5</v>
          </cell>
          <cell r="J2155">
            <v>17</v>
          </cell>
          <cell r="K2155">
            <v>18</v>
          </cell>
          <cell r="L2155">
            <v>107.08</v>
          </cell>
          <cell r="M2155">
            <v>1</v>
          </cell>
          <cell r="O2155">
            <v>0.6</v>
          </cell>
          <cell r="P2155">
            <v>50.7</v>
          </cell>
          <cell r="S2155">
            <v>74.099999999999994</v>
          </cell>
          <cell r="T2155">
            <v>36.1</v>
          </cell>
          <cell r="U2155">
            <v>3</v>
          </cell>
        </row>
        <row r="2156">
          <cell r="B2156" t="str">
            <v>Female</v>
          </cell>
          <cell r="F2156">
            <v>8</v>
          </cell>
          <cell r="G2156">
            <v>19.899999999999999</v>
          </cell>
          <cell r="H2156">
            <v>2.8</v>
          </cell>
          <cell r="I2156">
            <v>57.3</v>
          </cell>
          <cell r="J2156">
            <v>4</v>
          </cell>
          <cell r="K2156">
            <v>10.4</v>
          </cell>
          <cell r="L2156">
            <v>174.95</v>
          </cell>
          <cell r="M2156">
            <v>4</v>
          </cell>
          <cell r="N2156" t="str">
            <v>37.199999999999996</v>
          </cell>
          <cell r="S2156">
            <v>9.1</v>
          </cell>
          <cell r="T2156">
            <v>9.1999999999999993</v>
          </cell>
          <cell r="U2156">
            <v>3</v>
          </cell>
        </row>
        <row r="2157">
          <cell r="B2157" t="str">
            <v>Female</v>
          </cell>
          <cell r="F2157">
            <v>18</v>
          </cell>
          <cell r="G2157">
            <v>46.1</v>
          </cell>
          <cell r="H2157">
            <v>9.6999999999999993</v>
          </cell>
          <cell r="I2157">
            <v>27.4</v>
          </cell>
          <cell r="J2157">
            <v>6</v>
          </cell>
          <cell r="K2157">
            <v>17</v>
          </cell>
          <cell r="L2157">
            <v>79.61</v>
          </cell>
          <cell r="M2157">
            <v>12</v>
          </cell>
          <cell r="O2157">
            <v>5.5</v>
          </cell>
          <cell r="P2157">
            <v>47.7</v>
          </cell>
          <cell r="T2157">
            <v>24.9</v>
          </cell>
          <cell r="U2157">
            <v>1</v>
          </cell>
        </row>
        <row r="2158">
          <cell r="B2158" t="str">
            <v>Female</v>
          </cell>
          <cell r="F2158">
            <v>7</v>
          </cell>
          <cell r="G2158">
            <v>19.2</v>
          </cell>
          <cell r="H2158">
            <v>9</v>
          </cell>
          <cell r="I2158">
            <v>36</v>
          </cell>
          <cell r="J2158">
            <v>2</v>
          </cell>
          <cell r="K2158">
            <v>12</v>
          </cell>
          <cell r="L2158">
            <v>125.37</v>
          </cell>
          <cell r="M2158">
            <v>19</v>
          </cell>
          <cell r="N2158">
            <v>34.6</v>
          </cell>
          <cell r="O2158">
            <v>20.2</v>
          </cell>
          <cell r="P2158">
            <v>14.2</v>
          </cell>
          <cell r="U2158">
            <v>1</v>
          </cell>
        </row>
        <row r="2159">
          <cell r="B2159" t="str">
            <v>Male</v>
          </cell>
          <cell r="F2159">
            <v>14</v>
          </cell>
          <cell r="H2159">
            <v>12.6</v>
          </cell>
          <cell r="I2159">
            <v>67.099999999999994</v>
          </cell>
          <cell r="J2159">
            <v>8</v>
          </cell>
          <cell r="K2159">
            <v>15</v>
          </cell>
          <cell r="L2159">
            <v>184.12</v>
          </cell>
          <cell r="M2159">
            <v>58</v>
          </cell>
          <cell r="N2159">
            <v>52.3</v>
          </cell>
          <cell r="O2159">
            <v>8</v>
          </cell>
          <cell r="P2159">
            <v>12.6</v>
          </cell>
          <cell r="S2159">
            <v>15.6</v>
          </cell>
          <cell r="T2159">
            <v>23.9</v>
          </cell>
          <cell r="U2159">
            <v>2</v>
          </cell>
        </row>
        <row r="2160">
          <cell r="B2160" t="str">
            <v>Female</v>
          </cell>
          <cell r="F2160">
            <v>3</v>
          </cell>
          <cell r="H2160">
            <v>9.4</v>
          </cell>
          <cell r="I2160">
            <v>67.3</v>
          </cell>
          <cell r="J2160">
            <v>2</v>
          </cell>
          <cell r="K2160">
            <v>7</v>
          </cell>
          <cell r="L2160">
            <v>145.18</v>
          </cell>
          <cell r="M2160">
            <v>208</v>
          </cell>
          <cell r="N2160">
            <v>31.5</v>
          </cell>
          <cell r="O2160">
            <v>12.7</v>
          </cell>
          <cell r="P2160">
            <v>27.5</v>
          </cell>
          <cell r="S2160">
            <v>15.2</v>
          </cell>
          <cell r="T2160">
            <v>10.6</v>
          </cell>
          <cell r="U2160">
            <v>2</v>
          </cell>
        </row>
        <row r="2161">
          <cell r="B2161" t="str">
            <v>Female</v>
          </cell>
          <cell r="F2161">
            <v>8</v>
          </cell>
          <cell r="G2161">
            <v>9.6999999999999993</v>
          </cell>
          <cell r="H2161">
            <v>5.0999999999999996</v>
          </cell>
          <cell r="I2161">
            <v>79.7</v>
          </cell>
          <cell r="J2161">
            <v>2</v>
          </cell>
          <cell r="K2161">
            <v>6</v>
          </cell>
          <cell r="L2161">
            <v>165.31</v>
          </cell>
          <cell r="M2161">
            <v>10</v>
          </cell>
          <cell r="N2161">
            <v>28.9</v>
          </cell>
          <cell r="O2161">
            <v>10.4</v>
          </cell>
          <cell r="P2161">
            <v>0.9</v>
          </cell>
          <cell r="S2161">
            <v>0.2</v>
          </cell>
          <cell r="T2161">
            <v>4.3</v>
          </cell>
          <cell r="U2161">
            <v>1</v>
          </cell>
        </row>
        <row r="2162">
          <cell r="B2162" t="str">
            <v>Male</v>
          </cell>
          <cell r="F2162">
            <v>4</v>
          </cell>
          <cell r="G2162">
            <v>23</v>
          </cell>
          <cell r="H2162">
            <v>6</v>
          </cell>
          <cell r="I2162">
            <v>50.7</v>
          </cell>
          <cell r="J2162">
            <v>3</v>
          </cell>
          <cell r="K2162">
            <v>11</v>
          </cell>
          <cell r="L2162">
            <v>189.47</v>
          </cell>
          <cell r="M2162">
            <v>15</v>
          </cell>
          <cell r="N2162">
            <v>60.8</v>
          </cell>
          <cell r="O2162">
            <v>0.7</v>
          </cell>
          <cell r="P2162">
            <v>17.7</v>
          </cell>
          <cell r="S2162">
            <v>31.8</v>
          </cell>
          <cell r="T2162">
            <v>15.8</v>
          </cell>
          <cell r="U2162">
            <v>3</v>
          </cell>
        </row>
        <row r="2163">
          <cell r="B2163" t="str">
            <v>Male</v>
          </cell>
          <cell r="F2163">
            <v>7</v>
          </cell>
          <cell r="G2163">
            <v>28.9</v>
          </cell>
          <cell r="H2163">
            <v>7</v>
          </cell>
          <cell r="I2163">
            <v>57.9</v>
          </cell>
          <cell r="J2163">
            <v>4</v>
          </cell>
          <cell r="K2163">
            <v>13</v>
          </cell>
          <cell r="L2163">
            <v>117.15</v>
          </cell>
          <cell r="M2163">
            <v>39</v>
          </cell>
          <cell r="N2163">
            <v>60.9</v>
          </cell>
          <cell r="P2163">
            <v>32.6</v>
          </cell>
          <cell r="S2163">
            <v>29.8</v>
          </cell>
          <cell r="T2163">
            <v>26.3</v>
          </cell>
          <cell r="U2163">
            <v>3</v>
          </cell>
        </row>
        <row r="2164">
          <cell r="B2164" t="str">
            <v>Female</v>
          </cell>
          <cell r="F2164">
            <v>11</v>
          </cell>
          <cell r="G2164">
            <v>33.1</v>
          </cell>
          <cell r="H2164">
            <v>5.4</v>
          </cell>
          <cell r="I2164">
            <v>75.3</v>
          </cell>
          <cell r="K2164">
            <v>12</v>
          </cell>
          <cell r="L2164">
            <v>146.18</v>
          </cell>
          <cell r="M2164">
            <v>49</v>
          </cell>
          <cell r="N2164">
            <v>29.8</v>
          </cell>
          <cell r="O2164">
            <v>4.5</v>
          </cell>
          <cell r="P2164">
            <v>11.7</v>
          </cell>
          <cell r="S2164">
            <v>17.3</v>
          </cell>
          <cell r="T2164">
            <v>15.6</v>
          </cell>
        </row>
        <row r="2165">
          <cell r="B2165" t="str">
            <v>Male</v>
          </cell>
          <cell r="F2165">
            <v>11</v>
          </cell>
          <cell r="G2165">
            <v>33.700000000000003</v>
          </cell>
          <cell r="H2165">
            <v>10.199999999999999</v>
          </cell>
          <cell r="I2165">
            <v>59.3</v>
          </cell>
          <cell r="J2165">
            <v>3</v>
          </cell>
          <cell r="K2165">
            <v>10</v>
          </cell>
          <cell r="L2165">
            <v>60.16</v>
          </cell>
          <cell r="M2165">
            <v>9</v>
          </cell>
          <cell r="O2165">
            <v>3.5</v>
          </cell>
          <cell r="P2165">
            <v>23.2</v>
          </cell>
          <cell r="S2165">
            <v>60.9</v>
          </cell>
          <cell r="U2165">
            <v>3</v>
          </cell>
        </row>
        <row r="2166">
          <cell r="B2166" t="str">
            <v>Female</v>
          </cell>
          <cell r="F2166">
            <v>16</v>
          </cell>
          <cell r="G2166">
            <v>27.1</v>
          </cell>
          <cell r="H2166">
            <v>13</v>
          </cell>
          <cell r="I2166">
            <v>54.5</v>
          </cell>
          <cell r="J2166">
            <v>2</v>
          </cell>
          <cell r="K2166">
            <v>13</v>
          </cell>
          <cell r="L2166">
            <v>202.1</v>
          </cell>
          <cell r="M2166">
            <v>12</v>
          </cell>
          <cell r="N2166">
            <v>38</v>
          </cell>
          <cell r="O2166">
            <v>2.7</v>
          </cell>
          <cell r="P2166">
            <v>20.8</v>
          </cell>
          <cell r="S2166">
            <v>10.8</v>
          </cell>
          <cell r="T2166">
            <v>31.1</v>
          </cell>
          <cell r="U2166">
            <v>3</v>
          </cell>
        </row>
        <row r="2167">
          <cell r="B2167" t="str">
            <v>Male</v>
          </cell>
          <cell r="F2167">
            <v>3</v>
          </cell>
          <cell r="G2167">
            <v>27.3</v>
          </cell>
          <cell r="H2167">
            <v>8.1</v>
          </cell>
          <cell r="I2167">
            <v>79.7</v>
          </cell>
          <cell r="J2167">
            <v>5</v>
          </cell>
          <cell r="K2167">
            <v>15</v>
          </cell>
          <cell r="L2167">
            <v>101.68</v>
          </cell>
          <cell r="M2167">
            <v>11</v>
          </cell>
          <cell r="N2167">
            <v>28.7</v>
          </cell>
          <cell r="O2167">
            <v>0.9</v>
          </cell>
          <cell r="P2167">
            <v>25.1</v>
          </cell>
          <cell r="S2167">
            <v>21.1</v>
          </cell>
          <cell r="T2167">
            <v>10.5</v>
          </cell>
          <cell r="U2167">
            <v>4</v>
          </cell>
        </row>
        <row r="2168">
          <cell r="B2168" t="str">
            <v>Male</v>
          </cell>
          <cell r="F2168">
            <v>28</v>
          </cell>
          <cell r="G2168">
            <v>52.8</v>
          </cell>
          <cell r="I2168">
            <v>19</v>
          </cell>
          <cell r="J2168">
            <v>14</v>
          </cell>
          <cell r="K2168">
            <v>73</v>
          </cell>
          <cell r="L2168">
            <v>98.17</v>
          </cell>
          <cell r="M2168">
            <v>106</v>
          </cell>
          <cell r="N2168">
            <v>65.3</v>
          </cell>
          <cell r="O2168" t="str">
            <v>96.09129107926836</v>
          </cell>
          <cell r="P2168">
            <v>44</v>
          </cell>
          <cell r="S2168">
            <v>50.1</v>
          </cell>
          <cell r="U2168">
            <v>2</v>
          </cell>
        </row>
        <row r="2169">
          <cell r="B2169" t="str">
            <v>Female</v>
          </cell>
          <cell r="F2169">
            <v>24</v>
          </cell>
          <cell r="G2169">
            <v>30.4</v>
          </cell>
          <cell r="H2169">
            <v>10.9</v>
          </cell>
          <cell r="I2169">
            <v>69.599999999999994</v>
          </cell>
          <cell r="J2169">
            <v>4</v>
          </cell>
          <cell r="K2169">
            <v>18</v>
          </cell>
          <cell r="L2169">
            <v>101.78</v>
          </cell>
          <cell r="M2169">
            <v>2</v>
          </cell>
          <cell r="N2169">
            <v>47</v>
          </cell>
          <cell r="O2169">
            <v>0.3</v>
          </cell>
          <cell r="P2169">
            <v>33.700000000000003</v>
          </cell>
          <cell r="S2169">
            <v>44.3</v>
          </cell>
          <cell r="T2169">
            <v>19.100000000000001</v>
          </cell>
          <cell r="U2169">
            <v>1</v>
          </cell>
        </row>
        <row r="2170">
          <cell r="B2170" t="str">
            <v>Female</v>
          </cell>
          <cell r="F2170">
            <v>6</v>
          </cell>
          <cell r="G2170">
            <v>29.1</v>
          </cell>
          <cell r="H2170">
            <v>4.3</v>
          </cell>
          <cell r="I2170">
            <v>58.6</v>
          </cell>
          <cell r="J2170">
            <v>4</v>
          </cell>
          <cell r="K2170">
            <v>9.1</v>
          </cell>
          <cell r="L2170">
            <v>126.68</v>
          </cell>
          <cell r="M2170">
            <v>15</v>
          </cell>
          <cell r="N2170">
            <v>25.32</v>
          </cell>
          <cell r="O2170">
            <v>1.9</v>
          </cell>
          <cell r="S2170">
            <v>33.5</v>
          </cell>
          <cell r="T2170">
            <v>20.6</v>
          </cell>
          <cell r="U2170">
            <v>4</v>
          </cell>
        </row>
        <row r="2171">
          <cell r="B2171" t="str">
            <v>Female</v>
          </cell>
          <cell r="F2171">
            <v>31</v>
          </cell>
          <cell r="G2171">
            <v>49.7</v>
          </cell>
          <cell r="H2171">
            <v>17.100000000000001</v>
          </cell>
          <cell r="I2171">
            <v>33.4</v>
          </cell>
          <cell r="J2171">
            <v>13</v>
          </cell>
          <cell r="K2171">
            <v>36.4</v>
          </cell>
          <cell r="L2171">
            <v>126.94</v>
          </cell>
          <cell r="M2171">
            <v>14</v>
          </cell>
          <cell r="N2171">
            <v>10.92</v>
          </cell>
          <cell r="O2171">
            <v>1.3</v>
          </cell>
          <cell r="P2171">
            <v>67.2</v>
          </cell>
          <cell r="T2171">
            <v>31.4</v>
          </cell>
          <cell r="U2171">
            <v>2</v>
          </cell>
        </row>
        <row r="2172">
          <cell r="B2172" t="str">
            <v>Female</v>
          </cell>
          <cell r="F2172">
            <v>13</v>
          </cell>
          <cell r="H2172">
            <v>7.1</v>
          </cell>
          <cell r="I2172">
            <v>63.9</v>
          </cell>
          <cell r="J2172">
            <v>5</v>
          </cell>
          <cell r="K2172">
            <v>16</v>
          </cell>
          <cell r="L2172">
            <v>94.97</v>
          </cell>
          <cell r="M2172">
            <v>23</v>
          </cell>
          <cell r="N2172">
            <v>20.6</v>
          </cell>
          <cell r="O2172">
            <v>2.2000000000000002</v>
          </cell>
          <cell r="P2172">
            <v>16.399999999999999</v>
          </cell>
          <cell r="S2172">
            <v>17.600000000000001</v>
          </cell>
          <cell r="T2172">
            <v>20</v>
          </cell>
          <cell r="U2172">
            <v>1</v>
          </cell>
        </row>
        <row r="2173">
          <cell r="B2173" t="str">
            <v>Male</v>
          </cell>
          <cell r="F2173">
            <v>5</v>
          </cell>
          <cell r="G2173">
            <v>13.8</v>
          </cell>
          <cell r="H2173">
            <v>3</v>
          </cell>
          <cell r="I2173">
            <v>56.4</v>
          </cell>
          <cell r="J2173">
            <v>0</v>
          </cell>
          <cell r="K2173">
            <v>9</v>
          </cell>
          <cell r="L2173">
            <v>117.28</v>
          </cell>
          <cell r="M2173">
            <v>1</v>
          </cell>
          <cell r="N2173">
            <v>69.3</v>
          </cell>
          <cell r="O2173">
            <v>11.3</v>
          </cell>
          <cell r="P2173">
            <v>2.9</v>
          </cell>
          <cell r="U2173">
            <v>2</v>
          </cell>
        </row>
        <row r="2174">
          <cell r="B2174" t="str">
            <v>Female</v>
          </cell>
          <cell r="F2174">
            <v>0</v>
          </cell>
          <cell r="G2174">
            <v>9.3000000000000007</v>
          </cell>
          <cell r="H2174">
            <v>2.5</v>
          </cell>
          <cell r="I2174">
            <v>63.4</v>
          </cell>
          <cell r="J2174">
            <v>5</v>
          </cell>
          <cell r="K2174">
            <v>5</v>
          </cell>
          <cell r="L2174">
            <v>183.31</v>
          </cell>
          <cell r="M2174">
            <v>75</v>
          </cell>
          <cell r="N2174">
            <v>51.4</v>
          </cell>
          <cell r="O2174">
            <v>12.4</v>
          </cell>
          <cell r="S2174">
            <v>15.7</v>
          </cell>
          <cell r="U2174">
            <v>1</v>
          </cell>
        </row>
        <row r="2175">
          <cell r="B2175" t="str">
            <v>Female</v>
          </cell>
          <cell r="F2175">
            <v>27</v>
          </cell>
          <cell r="G2175">
            <v>37.700000000000003</v>
          </cell>
          <cell r="H2175">
            <v>12.8</v>
          </cell>
          <cell r="I2175">
            <v>56.6</v>
          </cell>
          <cell r="J2175">
            <v>11</v>
          </cell>
          <cell r="K2175">
            <v>19</v>
          </cell>
          <cell r="L2175">
            <v>118.72</v>
          </cell>
          <cell r="M2175">
            <v>31</v>
          </cell>
          <cell r="N2175">
            <v>52.5</v>
          </cell>
          <cell r="O2175">
            <v>2.1</v>
          </cell>
          <cell r="P2175">
            <v>39.9</v>
          </cell>
          <cell r="S2175">
            <v>49.6</v>
          </cell>
          <cell r="T2175">
            <v>27.1</v>
          </cell>
          <cell r="U2175">
            <v>3</v>
          </cell>
        </row>
        <row r="2176">
          <cell r="B2176" t="str">
            <v>Female</v>
          </cell>
          <cell r="F2176">
            <v>18</v>
          </cell>
          <cell r="G2176">
            <v>35.5</v>
          </cell>
          <cell r="H2176">
            <v>10.199999999999999</v>
          </cell>
          <cell r="I2176">
            <v>37.200000000000003</v>
          </cell>
          <cell r="J2176">
            <v>9</v>
          </cell>
          <cell r="K2176">
            <v>16</v>
          </cell>
          <cell r="L2176">
            <v>53.69</v>
          </cell>
          <cell r="M2176">
            <v>46</v>
          </cell>
          <cell r="N2176">
            <v>8.6</v>
          </cell>
          <cell r="O2176">
            <v>8.9</v>
          </cell>
          <cell r="P2176">
            <v>27.8</v>
          </cell>
          <cell r="S2176">
            <v>54.8</v>
          </cell>
          <cell r="T2176">
            <v>23.9</v>
          </cell>
          <cell r="U2176">
            <v>4</v>
          </cell>
        </row>
        <row r="2177">
          <cell r="B2177" t="str">
            <v>Male</v>
          </cell>
          <cell r="F2177">
            <v>3</v>
          </cell>
          <cell r="G2177">
            <v>16.5</v>
          </cell>
          <cell r="H2177">
            <v>5.5</v>
          </cell>
          <cell r="I2177">
            <v>77.400000000000006</v>
          </cell>
          <cell r="J2177">
            <v>3</v>
          </cell>
          <cell r="K2177">
            <v>10.4</v>
          </cell>
          <cell r="L2177">
            <v>126.29</v>
          </cell>
          <cell r="M2177">
            <v>3</v>
          </cell>
          <cell r="N2177">
            <v>49.68</v>
          </cell>
          <cell r="O2177">
            <v>8.3000000000000007</v>
          </cell>
          <cell r="P2177">
            <v>10</v>
          </cell>
          <cell r="S2177">
            <v>16.7</v>
          </cell>
          <cell r="U2177">
            <v>2</v>
          </cell>
        </row>
        <row r="2178">
          <cell r="B2178" t="str">
            <v>Female</v>
          </cell>
          <cell r="F2178">
            <v>1</v>
          </cell>
          <cell r="G2178">
            <v>14.3</v>
          </cell>
          <cell r="H2178">
            <v>5.9</v>
          </cell>
          <cell r="I2178">
            <v>59.3</v>
          </cell>
          <cell r="K2178">
            <v>4</v>
          </cell>
          <cell r="L2178">
            <v>125.85</v>
          </cell>
          <cell r="M2178">
            <v>27</v>
          </cell>
          <cell r="N2178">
            <v>83.2</v>
          </cell>
          <cell r="O2178">
            <v>4</v>
          </cell>
          <cell r="P2178">
            <v>0</v>
          </cell>
          <cell r="S2178">
            <v>0</v>
          </cell>
          <cell r="T2178">
            <v>4.9000000000000004</v>
          </cell>
          <cell r="U2178">
            <v>4</v>
          </cell>
        </row>
        <row r="2179">
          <cell r="B2179" t="str">
            <v>Female</v>
          </cell>
          <cell r="F2179">
            <v>20</v>
          </cell>
          <cell r="G2179">
            <v>39</v>
          </cell>
          <cell r="H2179">
            <v>9.3000000000000007</v>
          </cell>
          <cell r="I2179">
            <v>47.3</v>
          </cell>
          <cell r="J2179">
            <v>4</v>
          </cell>
          <cell r="K2179">
            <v>13</v>
          </cell>
          <cell r="L2179">
            <v>109.68</v>
          </cell>
          <cell r="M2179">
            <v>12</v>
          </cell>
          <cell r="N2179">
            <v>18.399999999999999</v>
          </cell>
          <cell r="O2179">
            <v>6</v>
          </cell>
          <cell r="P2179">
            <v>35.9</v>
          </cell>
          <cell r="S2179">
            <v>25.6</v>
          </cell>
          <cell r="T2179">
            <v>23.7</v>
          </cell>
          <cell r="U2179">
            <v>1</v>
          </cell>
        </row>
        <row r="2180">
          <cell r="B2180" t="str">
            <v>Female</v>
          </cell>
          <cell r="F2180">
            <v>2</v>
          </cell>
          <cell r="G2180">
            <v>14.4</v>
          </cell>
          <cell r="H2180">
            <v>1.8</v>
          </cell>
          <cell r="I2180">
            <v>78.900000000000006</v>
          </cell>
          <cell r="J2180">
            <v>0</v>
          </cell>
          <cell r="K2180">
            <v>2</v>
          </cell>
          <cell r="L2180">
            <v>35.72</v>
          </cell>
          <cell r="M2180">
            <v>31</v>
          </cell>
          <cell r="N2180">
            <v>42.3</v>
          </cell>
          <cell r="O2180">
            <v>2.2999999999999998</v>
          </cell>
          <cell r="P2180">
            <v>22</v>
          </cell>
          <cell r="S2180">
            <v>15.7</v>
          </cell>
          <cell r="T2180">
            <v>7.9</v>
          </cell>
          <cell r="U2180">
            <v>4</v>
          </cell>
        </row>
        <row r="2181">
          <cell r="B2181" t="str">
            <v>Male</v>
          </cell>
          <cell r="F2181">
            <v>6</v>
          </cell>
          <cell r="G2181">
            <v>14.8</v>
          </cell>
          <cell r="H2181">
            <v>3.7</v>
          </cell>
          <cell r="I2181">
            <v>82.2</v>
          </cell>
          <cell r="J2181">
            <v>2</v>
          </cell>
          <cell r="K2181">
            <v>5.2</v>
          </cell>
          <cell r="L2181">
            <v>133.13999999999999</v>
          </cell>
          <cell r="M2181">
            <v>20</v>
          </cell>
          <cell r="N2181">
            <v>73.8</v>
          </cell>
          <cell r="P2181">
            <v>7.9</v>
          </cell>
          <cell r="S2181">
            <v>20.3</v>
          </cell>
          <cell r="T2181">
            <v>11</v>
          </cell>
          <cell r="U2181">
            <v>2</v>
          </cell>
        </row>
        <row r="2182">
          <cell r="B2182" t="str">
            <v>Other</v>
          </cell>
          <cell r="F2182">
            <v>14</v>
          </cell>
          <cell r="G2182">
            <v>23.9</v>
          </cell>
          <cell r="H2182">
            <v>6.3</v>
          </cell>
          <cell r="I2182">
            <v>54.8</v>
          </cell>
          <cell r="J2182">
            <v>6</v>
          </cell>
          <cell r="K2182">
            <v>9</v>
          </cell>
          <cell r="L2182">
            <v>121.19</v>
          </cell>
          <cell r="M2182">
            <v>13</v>
          </cell>
          <cell r="O2182">
            <v>6</v>
          </cell>
          <cell r="P2182">
            <v>3</v>
          </cell>
          <cell r="S2182">
            <v>10.6</v>
          </cell>
          <cell r="T2182">
            <v>26.4</v>
          </cell>
          <cell r="U2182">
            <v>1</v>
          </cell>
        </row>
        <row r="2183">
          <cell r="B2183" t="str">
            <v>Male</v>
          </cell>
          <cell r="F2183">
            <v>1</v>
          </cell>
          <cell r="G2183">
            <v>14</v>
          </cell>
          <cell r="H2183">
            <v>3.9</v>
          </cell>
          <cell r="I2183">
            <v>89.1</v>
          </cell>
          <cell r="J2183">
            <v>3</v>
          </cell>
          <cell r="K2183">
            <v>3</v>
          </cell>
          <cell r="L2183">
            <v>108.2</v>
          </cell>
          <cell r="M2183">
            <v>101</v>
          </cell>
          <cell r="N2183">
            <v>37.6</v>
          </cell>
          <cell r="O2183">
            <v>5.0999999999999996</v>
          </cell>
          <cell r="P2183">
            <v>14.4</v>
          </cell>
          <cell r="S2183">
            <v>0</v>
          </cell>
          <cell r="T2183">
            <v>5.9</v>
          </cell>
          <cell r="U2183">
            <v>3</v>
          </cell>
        </row>
        <row r="2184">
          <cell r="B2184" t="str">
            <v>Female</v>
          </cell>
          <cell r="F2184">
            <v>6</v>
          </cell>
          <cell r="G2184">
            <v>21.3</v>
          </cell>
          <cell r="H2184">
            <v>10.9</v>
          </cell>
          <cell r="I2184">
            <v>51.6</v>
          </cell>
          <cell r="K2184">
            <v>9</v>
          </cell>
          <cell r="L2184">
            <v>85.13</v>
          </cell>
          <cell r="M2184">
            <v>15</v>
          </cell>
          <cell r="N2184">
            <v>88.6</v>
          </cell>
          <cell r="O2184">
            <v>13.9</v>
          </cell>
          <cell r="P2184">
            <v>7.4</v>
          </cell>
          <cell r="S2184">
            <v>35.200000000000003</v>
          </cell>
          <cell r="T2184">
            <v>15.2</v>
          </cell>
          <cell r="U2184">
            <v>4</v>
          </cell>
        </row>
        <row r="2185">
          <cell r="B2185" t="str">
            <v>Female</v>
          </cell>
          <cell r="F2185">
            <v>3</v>
          </cell>
          <cell r="G2185">
            <v>15.6</v>
          </cell>
          <cell r="H2185">
            <v>2.7</v>
          </cell>
          <cell r="I2185">
            <v>67.400000000000006</v>
          </cell>
          <cell r="J2185">
            <v>2</v>
          </cell>
          <cell r="K2185">
            <v>6</v>
          </cell>
          <cell r="L2185">
            <v>89.44</v>
          </cell>
          <cell r="M2185">
            <v>8</v>
          </cell>
          <cell r="N2185">
            <v>48.5</v>
          </cell>
          <cell r="O2185">
            <v>18.399999999999999</v>
          </cell>
          <cell r="P2185">
            <v>9.3000000000000007</v>
          </cell>
          <cell r="S2185">
            <v>19</v>
          </cell>
          <cell r="T2185">
            <v>6.2</v>
          </cell>
          <cell r="U2185">
            <v>1</v>
          </cell>
        </row>
        <row r="2186">
          <cell r="B2186" t="str">
            <v>Female</v>
          </cell>
          <cell r="F2186">
            <v>24</v>
          </cell>
          <cell r="G2186">
            <v>48</v>
          </cell>
          <cell r="H2186">
            <v>17.2</v>
          </cell>
          <cell r="I2186">
            <v>39.5</v>
          </cell>
          <cell r="J2186">
            <v>8</v>
          </cell>
          <cell r="K2186">
            <v>20</v>
          </cell>
          <cell r="L2186">
            <v>68.02</v>
          </cell>
          <cell r="N2186">
            <v>58.3</v>
          </cell>
          <cell r="O2186">
            <v>6.5</v>
          </cell>
          <cell r="P2186">
            <v>31.8</v>
          </cell>
          <cell r="S2186">
            <v>47.8</v>
          </cell>
          <cell r="T2186">
            <v>33.9</v>
          </cell>
          <cell r="U2186">
            <v>1</v>
          </cell>
        </row>
        <row r="2187">
          <cell r="B2187" t="str">
            <v>Male</v>
          </cell>
          <cell r="F2187">
            <v>14</v>
          </cell>
          <cell r="G2187">
            <v>36.9</v>
          </cell>
          <cell r="H2187">
            <v>8.6999999999999993</v>
          </cell>
          <cell r="I2187">
            <v>48.1</v>
          </cell>
          <cell r="J2187">
            <v>10</v>
          </cell>
          <cell r="K2187" t="str">
            <v>23.400000000000002</v>
          </cell>
          <cell r="L2187">
            <v>158.09</v>
          </cell>
          <cell r="M2187">
            <v>66</v>
          </cell>
          <cell r="N2187" t="str">
            <v>30.479999999999997</v>
          </cell>
          <cell r="P2187">
            <v>25.5</v>
          </cell>
          <cell r="S2187">
            <v>39.9</v>
          </cell>
          <cell r="U2187">
            <v>2</v>
          </cell>
        </row>
        <row r="2188">
          <cell r="B2188" t="str">
            <v>Male</v>
          </cell>
          <cell r="F2188">
            <v>3</v>
          </cell>
          <cell r="G2188">
            <v>22.6</v>
          </cell>
          <cell r="H2188">
            <v>9.6</v>
          </cell>
          <cell r="I2188">
            <v>51</v>
          </cell>
          <cell r="J2188">
            <v>6</v>
          </cell>
          <cell r="K2188">
            <v>10.4</v>
          </cell>
          <cell r="L2188">
            <v>78.66</v>
          </cell>
          <cell r="M2188">
            <v>35</v>
          </cell>
          <cell r="N2188">
            <v>32.159999999999997</v>
          </cell>
          <cell r="O2188">
            <v>11.5</v>
          </cell>
          <cell r="P2188">
            <v>21.3</v>
          </cell>
          <cell r="S2188">
            <v>13.1</v>
          </cell>
          <cell r="T2188">
            <v>18.899999999999999</v>
          </cell>
          <cell r="U2188">
            <v>3</v>
          </cell>
        </row>
        <row r="2189">
          <cell r="B2189" t="str">
            <v>Male</v>
          </cell>
          <cell r="F2189">
            <v>0</v>
          </cell>
          <cell r="H2189">
            <v>2</v>
          </cell>
          <cell r="I2189">
            <v>73.599999999999994</v>
          </cell>
          <cell r="J2189">
            <v>0</v>
          </cell>
          <cell r="K2189">
            <v>9.1</v>
          </cell>
          <cell r="L2189">
            <v>144.69</v>
          </cell>
          <cell r="M2189">
            <v>28</v>
          </cell>
          <cell r="N2189">
            <v>73.44</v>
          </cell>
          <cell r="O2189">
            <v>3</v>
          </cell>
          <cell r="P2189">
            <v>16.399999999999999</v>
          </cell>
          <cell r="S2189">
            <v>4.5</v>
          </cell>
          <cell r="T2189">
            <v>14.3</v>
          </cell>
          <cell r="U2189">
            <v>1</v>
          </cell>
        </row>
        <row r="2190">
          <cell r="B2190" t="str">
            <v>Male</v>
          </cell>
          <cell r="F2190">
            <v>0</v>
          </cell>
          <cell r="G2190">
            <v>17.600000000000001</v>
          </cell>
          <cell r="H2190">
            <v>5.8</v>
          </cell>
          <cell r="I2190">
            <v>69.2</v>
          </cell>
          <cell r="J2190">
            <v>5</v>
          </cell>
          <cell r="K2190">
            <v>7</v>
          </cell>
          <cell r="L2190">
            <v>120.48</v>
          </cell>
          <cell r="M2190">
            <v>12</v>
          </cell>
          <cell r="N2190">
            <v>26.2</v>
          </cell>
          <cell r="O2190">
            <v>1.1000000000000001</v>
          </cell>
          <cell r="P2190">
            <v>10.199999999999999</v>
          </cell>
          <cell r="S2190">
            <v>11.8</v>
          </cell>
          <cell r="T2190">
            <v>10</v>
          </cell>
          <cell r="U2190">
            <v>2</v>
          </cell>
        </row>
        <row r="2191">
          <cell r="B2191" t="str">
            <v>Female</v>
          </cell>
          <cell r="F2191">
            <v>15</v>
          </cell>
          <cell r="G2191">
            <v>31.6</v>
          </cell>
          <cell r="H2191">
            <v>8.1</v>
          </cell>
          <cell r="I2191">
            <v>56.3</v>
          </cell>
          <cell r="J2191">
            <v>16</v>
          </cell>
          <cell r="K2191">
            <v>15</v>
          </cell>
          <cell r="L2191">
            <v>54.92</v>
          </cell>
          <cell r="M2191">
            <v>2</v>
          </cell>
          <cell r="N2191">
            <v>68.3</v>
          </cell>
          <cell r="P2191">
            <v>43.4</v>
          </cell>
          <cell r="S2191">
            <v>22.6</v>
          </cell>
          <cell r="T2191">
            <v>26.6</v>
          </cell>
          <cell r="U2191">
            <v>2</v>
          </cell>
        </row>
        <row r="2192">
          <cell r="B2192" t="str">
            <v>Male</v>
          </cell>
          <cell r="F2192">
            <v>12</v>
          </cell>
          <cell r="G2192">
            <v>25.4</v>
          </cell>
          <cell r="H2192">
            <v>8.5</v>
          </cell>
          <cell r="I2192">
            <v>53.9</v>
          </cell>
          <cell r="J2192">
            <v>4</v>
          </cell>
          <cell r="K2192">
            <v>13</v>
          </cell>
          <cell r="L2192">
            <v>157.09</v>
          </cell>
          <cell r="M2192">
            <v>29</v>
          </cell>
          <cell r="N2192">
            <v>40.700000000000003</v>
          </cell>
          <cell r="O2192">
            <v>4</v>
          </cell>
          <cell r="P2192">
            <v>20.399999999999999</v>
          </cell>
          <cell r="S2192">
            <v>35.200000000000003</v>
          </cell>
          <cell r="U2192">
            <v>1</v>
          </cell>
        </row>
        <row r="2193">
          <cell r="B2193" t="str">
            <v>Male</v>
          </cell>
          <cell r="F2193">
            <v>15</v>
          </cell>
          <cell r="G2193">
            <v>33.700000000000003</v>
          </cell>
          <cell r="H2193">
            <v>9.6999999999999993</v>
          </cell>
          <cell r="I2193">
            <v>69</v>
          </cell>
          <cell r="J2193">
            <v>3</v>
          </cell>
          <cell r="K2193">
            <v>22</v>
          </cell>
          <cell r="L2193">
            <v>137.91999999999999</v>
          </cell>
          <cell r="M2193">
            <v>12</v>
          </cell>
          <cell r="N2193">
            <v>30.6</v>
          </cell>
          <cell r="O2193">
            <v>8.9</v>
          </cell>
          <cell r="P2193">
            <v>28.7</v>
          </cell>
          <cell r="S2193">
            <v>45</v>
          </cell>
          <cell r="T2193">
            <v>22.2</v>
          </cell>
          <cell r="U2193">
            <v>4</v>
          </cell>
        </row>
        <row r="2194">
          <cell r="B2194" t="str">
            <v>Male</v>
          </cell>
          <cell r="F2194">
            <v>7</v>
          </cell>
          <cell r="G2194">
            <v>31.1</v>
          </cell>
          <cell r="H2194">
            <v>7.3</v>
          </cell>
          <cell r="I2194">
            <v>51.8</v>
          </cell>
          <cell r="J2194">
            <v>1</v>
          </cell>
          <cell r="K2194">
            <v>10.4</v>
          </cell>
          <cell r="L2194">
            <v>97.33</v>
          </cell>
          <cell r="M2194">
            <v>29</v>
          </cell>
          <cell r="N2194">
            <v>40.92</v>
          </cell>
          <cell r="O2194">
            <v>6</v>
          </cell>
          <cell r="S2194">
            <v>24.5</v>
          </cell>
          <cell r="T2194">
            <v>26</v>
          </cell>
          <cell r="U2194">
            <v>3</v>
          </cell>
        </row>
        <row r="2195">
          <cell r="B2195" t="str">
            <v>Male</v>
          </cell>
          <cell r="F2195">
            <v>6</v>
          </cell>
          <cell r="G2195">
            <v>12.7</v>
          </cell>
          <cell r="H2195">
            <v>4.0999999999999996</v>
          </cell>
          <cell r="I2195">
            <v>99</v>
          </cell>
          <cell r="K2195">
            <v>10.4</v>
          </cell>
          <cell r="L2195">
            <v>65.05</v>
          </cell>
          <cell r="M2195">
            <v>40</v>
          </cell>
          <cell r="N2195">
            <v>38.520000000000003</v>
          </cell>
          <cell r="O2195">
            <v>7</v>
          </cell>
          <cell r="P2195">
            <v>17.5</v>
          </cell>
          <cell r="S2195">
            <v>0</v>
          </cell>
          <cell r="U2195">
            <v>1</v>
          </cell>
        </row>
        <row r="2196">
          <cell r="B2196" t="str">
            <v>Male</v>
          </cell>
          <cell r="F2196">
            <v>34</v>
          </cell>
          <cell r="G2196">
            <v>58.9</v>
          </cell>
          <cell r="H2196">
            <v>20.2</v>
          </cell>
          <cell r="I2196">
            <v>24.2</v>
          </cell>
          <cell r="J2196">
            <v>6</v>
          </cell>
          <cell r="K2196">
            <v>26</v>
          </cell>
          <cell r="L2196">
            <v>49.93</v>
          </cell>
          <cell r="M2196">
            <v>52</v>
          </cell>
          <cell r="N2196">
            <v>89.64</v>
          </cell>
          <cell r="O2196">
            <v>5.5</v>
          </cell>
          <cell r="P2196">
            <v>43.5</v>
          </cell>
          <cell r="S2196">
            <v>51.6</v>
          </cell>
          <cell r="T2196">
            <v>44.2</v>
          </cell>
          <cell r="U2196">
            <v>2</v>
          </cell>
        </row>
        <row r="2197">
          <cell r="B2197" t="str">
            <v>Male</v>
          </cell>
          <cell r="F2197">
            <v>26</v>
          </cell>
          <cell r="G2197">
            <v>37</v>
          </cell>
          <cell r="H2197">
            <v>11.3</v>
          </cell>
          <cell r="I2197">
            <v>35.799999999999997</v>
          </cell>
          <cell r="J2197">
            <v>6</v>
          </cell>
          <cell r="K2197">
            <v>24</v>
          </cell>
          <cell r="L2197">
            <v>84.3</v>
          </cell>
          <cell r="M2197">
            <v>28</v>
          </cell>
          <cell r="N2197">
            <v>63</v>
          </cell>
          <cell r="O2197">
            <v>12.5</v>
          </cell>
          <cell r="P2197">
            <v>29.8</v>
          </cell>
          <cell r="S2197">
            <v>57.7</v>
          </cell>
          <cell r="T2197">
            <v>23.1</v>
          </cell>
          <cell r="U2197">
            <v>3</v>
          </cell>
        </row>
        <row r="2198">
          <cell r="B2198" t="str">
            <v>Male</v>
          </cell>
          <cell r="F2198">
            <v>16</v>
          </cell>
          <cell r="G2198">
            <v>22.4</v>
          </cell>
          <cell r="H2198">
            <v>9.4</v>
          </cell>
          <cell r="I2198">
            <v>38.1</v>
          </cell>
          <cell r="J2198">
            <v>5</v>
          </cell>
          <cell r="K2198">
            <v>12</v>
          </cell>
          <cell r="L2198">
            <v>61.51</v>
          </cell>
          <cell r="M2198">
            <v>4</v>
          </cell>
          <cell r="N2198">
            <v>17</v>
          </cell>
          <cell r="O2198">
            <v>4.8</v>
          </cell>
          <cell r="P2198">
            <v>20</v>
          </cell>
          <cell r="S2198">
            <v>19.8</v>
          </cell>
          <cell r="T2198">
            <v>17.2</v>
          </cell>
          <cell r="U2198">
            <v>1</v>
          </cell>
        </row>
        <row r="2199">
          <cell r="B2199" t="str">
            <v>Female</v>
          </cell>
          <cell r="F2199">
            <v>0</v>
          </cell>
          <cell r="G2199">
            <v>20.9</v>
          </cell>
          <cell r="H2199">
            <v>8.3000000000000007</v>
          </cell>
          <cell r="I2199">
            <v>62.8</v>
          </cell>
          <cell r="J2199">
            <v>2</v>
          </cell>
          <cell r="K2199">
            <v>9</v>
          </cell>
          <cell r="L2199">
            <v>94.52</v>
          </cell>
          <cell r="M2199">
            <v>31</v>
          </cell>
          <cell r="N2199">
            <v>12.4</v>
          </cell>
          <cell r="O2199">
            <v>6.5</v>
          </cell>
          <cell r="P2199">
            <v>0</v>
          </cell>
          <cell r="T2199">
            <v>13.3</v>
          </cell>
          <cell r="U2199">
            <v>3</v>
          </cell>
        </row>
        <row r="2200">
          <cell r="B2200" t="str">
            <v>Male</v>
          </cell>
          <cell r="F2200">
            <v>9</v>
          </cell>
          <cell r="G2200">
            <v>32.4</v>
          </cell>
          <cell r="H2200">
            <v>12.1</v>
          </cell>
          <cell r="I2200">
            <v>34.200000000000003</v>
          </cell>
          <cell r="J2200">
            <v>7</v>
          </cell>
          <cell r="K2200">
            <v>16</v>
          </cell>
          <cell r="L2200">
            <v>84.92</v>
          </cell>
          <cell r="M2200">
            <v>6</v>
          </cell>
          <cell r="N2200">
            <v>46.5</v>
          </cell>
          <cell r="O2200">
            <v>3.6</v>
          </cell>
          <cell r="P2200">
            <v>39.1</v>
          </cell>
          <cell r="S2200">
            <v>36.200000000000003</v>
          </cell>
          <cell r="T2200">
            <v>16</v>
          </cell>
          <cell r="U2200">
            <v>2</v>
          </cell>
        </row>
        <row r="2201">
          <cell r="B2201" t="str">
            <v>Male</v>
          </cell>
          <cell r="F2201">
            <v>13</v>
          </cell>
          <cell r="G2201">
            <v>38.4</v>
          </cell>
          <cell r="H2201">
            <v>10.1</v>
          </cell>
          <cell r="I2201">
            <v>53.9</v>
          </cell>
          <cell r="J2201">
            <v>3</v>
          </cell>
          <cell r="K2201">
            <v>16</v>
          </cell>
          <cell r="L2201">
            <v>131.99</v>
          </cell>
          <cell r="M2201">
            <v>15</v>
          </cell>
          <cell r="N2201">
            <v>22.8</v>
          </cell>
          <cell r="O2201">
            <v>3.9</v>
          </cell>
          <cell r="P2201">
            <v>13.7</v>
          </cell>
          <cell r="S2201">
            <v>23.6</v>
          </cell>
          <cell r="T2201">
            <v>24.8</v>
          </cell>
        </row>
        <row r="2202">
          <cell r="B2202" t="str">
            <v>Male</v>
          </cell>
          <cell r="F2202">
            <v>8</v>
          </cell>
          <cell r="G2202">
            <v>33.200000000000003</v>
          </cell>
          <cell r="H2202">
            <v>7.7</v>
          </cell>
          <cell r="I2202">
            <v>68.7</v>
          </cell>
          <cell r="J2202">
            <v>11</v>
          </cell>
          <cell r="K2202">
            <v>12</v>
          </cell>
          <cell r="L2202">
            <v>129.65</v>
          </cell>
          <cell r="M2202">
            <v>34</v>
          </cell>
          <cell r="N2202">
            <v>51.8</v>
          </cell>
          <cell r="O2202">
            <v>1.2</v>
          </cell>
          <cell r="P2202">
            <v>39.5</v>
          </cell>
          <cell r="S2202">
            <v>24.7</v>
          </cell>
        </row>
        <row r="2203">
          <cell r="B2203" t="str">
            <v>Male</v>
          </cell>
          <cell r="F2203">
            <v>0</v>
          </cell>
          <cell r="G2203">
            <v>7</v>
          </cell>
          <cell r="H2203">
            <v>4.8</v>
          </cell>
          <cell r="I2203">
            <v>79.3</v>
          </cell>
          <cell r="J2203">
            <v>2</v>
          </cell>
          <cell r="K2203" t="str">
            <v>11.700000000000001</v>
          </cell>
          <cell r="L2203">
            <v>162.87</v>
          </cell>
          <cell r="M2203">
            <v>114</v>
          </cell>
          <cell r="N2203" t="str">
            <v>40.559999999999995</v>
          </cell>
          <cell r="P2203">
            <v>0.1</v>
          </cell>
          <cell r="S2203">
            <v>10.4</v>
          </cell>
          <cell r="T2203">
            <v>11.8</v>
          </cell>
          <cell r="U2203">
            <v>3</v>
          </cell>
        </row>
        <row r="2204">
          <cell r="B2204" t="str">
            <v>Female</v>
          </cell>
          <cell r="F2204">
            <v>7</v>
          </cell>
          <cell r="G2204">
            <v>24</v>
          </cell>
          <cell r="H2204">
            <v>7.8</v>
          </cell>
          <cell r="I2204">
            <v>61.9</v>
          </cell>
          <cell r="J2204">
            <v>2</v>
          </cell>
          <cell r="K2204" t="str">
            <v>16.900000000000002</v>
          </cell>
          <cell r="L2204">
            <v>81.38</v>
          </cell>
          <cell r="M2204">
            <v>12</v>
          </cell>
          <cell r="N2204">
            <v>28.32</v>
          </cell>
          <cell r="P2204">
            <v>8.1999999999999993</v>
          </cell>
          <cell r="S2204">
            <v>30.4</v>
          </cell>
          <cell r="T2204">
            <v>12.7</v>
          </cell>
          <cell r="U2204">
            <v>1</v>
          </cell>
        </row>
        <row r="2205">
          <cell r="B2205" t="str">
            <v>Male</v>
          </cell>
          <cell r="F2205">
            <v>9</v>
          </cell>
          <cell r="H2205">
            <v>5.9</v>
          </cell>
          <cell r="I2205">
            <v>61.5</v>
          </cell>
          <cell r="J2205">
            <v>1</v>
          </cell>
          <cell r="K2205">
            <v>12</v>
          </cell>
          <cell r="L2205">
            <v>158.21</v>
          </cell>
          <cell r="M2205">
            <v>4</v>
          </cell>
          <cell r="N2205">
            <v>32.1</v>
          </cell>
          <cell r="O2205">
            <v>7.7</v>
          </cell>
          <cell r="P2205">
            <v>18.399999999999999</v>
          </cell>
          <cell r="S2205">
            <v>4.0999999999999996</v>
          </cell>
          <cell r="T2205">
            <v>16.5</v>
          </cell>
          <cell r="U2205">
            <v>3</v>
          </cell>
        </row>
        <row r="2206">
          <cell r="B2206" t="str">
            <v>Male</v>
          </cell>
          <cell r="F2206">
            <v>8</v>
          </cell>
          <cell r="G2206">
            <v>25.1</v>
          </cell>
          <cell r="H2206">
            <v>11</v>
          </cell>
          <cell r="I2206">
            <v>38</v>
          </cell>
          <cell r="J2206">
            <v>3</v>
          </cell>
          <cell r="K2206" t="str">
            <v>16.900000000000002</v>
          </cell>
          <cell r="L2206">
            <v>78.75</v>
          </cell>
          <cell r="M2206">
            <v>44</v>
          </cell>
          <cell r="N2206">
            <v>53.64</v>
          </cell>
          <cell r="O2206">
            <v>7.2</v>
          </cell>
          <cell r="P2206">
            <v>46.3</v>
          </cell>
          <cell r="S2206">
            <v>53.9</v>
          </cell>
          <cell r="T2206">
            <v>32.299999999999997</v>
          </cell>
          <cell r="U2206">
            <v>1</v>
          </cell>
        </row>
        <row r="2207">
          <cell r="B2207" t="str">
            <v>Male</v>
          </cell>
          <cell r="F2207">
            <v>6</v>
          </cell>
          <cell r="G2207">
            <v>15.4</v>
          </cell>
          <cell r="H2207">
            <v>5</v>
          </cell>
          <cell r="I2207">
            <v>55.6</v>
          </cell>
          <cell r="J2207">
            <v>2</v>
          </cell>
          <cell r="K2207">
            <v>10</v>
          </cell>
          <cell r="L2207">
            <v>92.61</v>
          </cell>
          <cell r="M2207">
            <v>5</v>
          </cell>
          <cell r="N2207">
            <v>19.899999999999999</v>
          </cell>
          <cell r="O2207">
            <v>3.3</v>
          </cell>
          <cell r="S2207">
            <v>11.3</v>
          </cell>
          <cell r="T2207">
            <v>15.5</v>
          </cell>
          <cell r="U2207">
            <v>1</v>
          </cell>
        </row>
        <row r="2208">
          <cell r="B2208" t="str">
            <v>Female</v>
          </cell>
          <cell r="F2208">
            <v>9</v>
          </cell>
          <cell r="G2208">
            <v>26.8</v>
          </cell>
          <cell r="H2208">
            <v>2</v>
          </cell>
          <cell r="I2208">
            <v>56.8</v>
          </cell>
          <cell r="K2208">
            <v>6</v>
          </cell>
          <cell r="L2208">
            <v>68.760000000000005</v>
          </cell>
          <cell r="M2208">
            <v>65</v>
          </cell>
          <cell r="N2208">
            <v>12.2</v>
          </cell>
          <cell r="O2208">
            <v>1.7</v>
          </cell>
          <cell r="P2208">
            <v>20.9</v>
          </cell>
          <cell r="S2208">
            <v>4.4000000000000004</v>
          </cell>
          <cell r="T2208">
            <v>17.2</v>
          </cell>
          <cell r="U2208">
            <v>4</v>
          </cell>
        </row>
        <row r="2209">
          <cell r="B2209" t="str">
            <v>Male</v>
          </cell>
          <cell r="F2209">
            <v>3</v>
          </cell>
          <cell r="G2209">
            <v>29.6</v>
          </cell>
          <cell r="H2209">
            <v>6.5</v>
          </cell>
          <cell r="I2209">
            <v>73.599999999999994</v>
          </cell>
          <cell r="J2209">
            <v>3</v>
          </cell>
          <cell r="K2209">
            <v>14.3</v>
          </cell>
          <cell r="L2209">
            <v>101.42</v>
          </cell>
          <cell r="M2209">
            <v>4</v>
          </cell>
          <cell r="N2209">
            <v>82.08</v>
          </cell>
          <cell r="O2209">
            <v>2.7</v>
          </cell>
          <cell r="P2209">
            <v>0</v>
          </cell>
          <cell r="S2209">
            <v>29</v>
          </cell>
          <cell r="T2209">
            <v>15</v>
          </cell>
          <cell r="U2209">
            <v>3</v>
          </cell>
        </row>
        <row r="2210">
          <cell r="B2210" t="str">
            <v>Male</v>
          </cell>
          <cell r="F2210">
            <v>0</v>
          </cell>
          <cell r="G2210">
            <v>28.6</v>
          </cell>
          <cell r="H2210">
            <v>9</v>
          </cell>
          <cell r="I2210">
            <v>56.5</v>
          </cell>
          <cell r="J2210">
            <v>6</v>
          </cell>
          <cell r="K2210">
            <v>16</v>
          </cell>
          <cell r="L2210">
            <v>130.41</v>
          </cell>
          <cell r="M2210">
            <v>7</v>
          </cell>
          <cell r="N2210">
            <v>49.2</v>
          </cell>
          <cell r="S2210">
            <v>49</v>
          </cell>
          <cell r="T2210">
            <v>20</v>
          </cell>
          <cell r="U2210">
            <v>2</v>
          </cell>
        </row>
        <row r="2211">
          <cell r="B2211" t="str">
            <v>Male</v>
          </cell>
          <cell r="F2211">
            <v>24</v>
          </cell>
          <cell r="G2211">
            <v>44.9</v>
          </cell>
          <cell r="H2211">
            <v>10</v>
          </cell>
          <cell r="I2211">
            <v>46.8</v>
          </cell>
          <cell r="K2211">
            <v>20.8</v>
          </cell>
          <cell r="L2211">
            <v>175.25</v>
          </cell>
          <cell r="M2211">
            <v>10</v>
          </cell>
          <cell r="N2211">
            <v>19.079999999999998</v>
          </cell>
          <cell r="O2211">
            <v>3.5</v>
          </cell>
          <cell r="P2211">
            <v>38.9</v>
          </cell>
          <cell r="S2211">
            <v>50</v>
          </cell>
          <cell r="T2211">
            <v>32</v>
          </cell>
          <cell r="U2211">
            <v>1</v>
          </cell>
        </row>
        <row r="2212">
          <cell r="B2212" t="str">
            <v>Male</v>
          </cell>
          <cell r="F2212">
            <v>15</v>
          </cell>
          <cell r="G2212">
            <v>27.4</v>
          </cell>
          <cell r="H2212">
            <v>9.4</v>
          </cell>
          <cell r="I2212">
            <v>61.8</v>
          </cell>
          <cell r="J2212">
            <v>5</v>
          </cell>
          <cell r="K2212" t="str">
            <v>16.900000000000002</v>
          </cell>
          <cell r="L2212">
            <v>87.88</v>
          </cell>
          <cell r="M2212">
            <v>19</v>
          </cell>
          <cell r="N2212">
            <v>65.28</v>
          </cell>
          <cell r="O2212">
            <v>2.8</v>
          </cell>
          <cell r="P2212">
            <v>28.3</v>
          </cell>
          <cell r="S2212">
            <v>52.6</v>
          </cell>
          <cell r="U2212">
            <v>1</v>
          </cell>
        </row>
        <row r="2213">
          <cell r="B2213" t="str">
            <v>Female</v>
          </cell>
          <cell r="F2213">
            <v>21</v>
          </cell>
          <cell r="G2213">
            <v>46.3</v>
          </cell>
          <cell r="H2213">
            <v>13.6</v>
          </cell>
          <cell r="I2213">
            <v>31.7</v>
          </cell>
          <cell r="J2213">
            <v>6</v>
          </cell>
          <cell r="K2213">
            <v>28</v>
          </cell>
          <cell r="L2213">
            <v>152.24</v>
          </cell>
          <cell r="M2213">
            <v>80</v>
          </cell>
          <cell r="N2213">
            <v>59.5</v>
          </cell>
          <cell r="O2213">
            <v>3.2</v>
          </cell>
          <cell r="P2213">
            <v>51.8</v>
          </cell>
          <cell r="T2213">
            <v>34.6</v>
          </cell>
          <cell r="U2213">
            <v>2</v>
          </cell>
        </row>
        <row r="2214">
          <cell r="B2214" t="str">
            <v>Female</v>
          </cell>
          <cell r="F2214">
            <v>10</v>
          </cell>
          <cell r="H2214">
            <v>7.9</v>
          </cell>
          <cell r="I2214">
            <v>63.5</v>
          </cell>
          <cell r="J2214">
            <v>3</v>
          </cell>
          <cell r="K2214" t="str">
            <v>23.400000000000002</v>
          </cell>
          <cell r="L2214">
            <v>156.28</v>
          </cell>
          <cell r="M2214">
            <v>83</v>
          </cell>
          <cell r="N2214" t="str">
            <v>81.11999999999999</v>
          </cell>
          <cell r="O2214">
            <v>7.2</v>
          </cell>
          <cell r="P2214">
            <v>27.7</v>
          </cell>
          <cell r="S2214">
            <v>22.4</v>
          </cell>
          <cell r="T2214">
            <v>23.7</v>
          </cell>
          <cell r="U2214">
            <v>2</v>
          </cell>
        </row>
        <row r="2215">
          <cell r="B2215" t="str">
            <v>Female</v>
          </cell>
          <cell r="F2215">
            <v>11</v>
          </cell>
          <cell r="G2215">
            <v>16.399999999999999</v>
          </cell>
          <cell r="H2215">
            <v>7.6</v>
          </cell>
          <cell r="I2215">
            <v>57.2</v>
          </cell>
          <cell r="J2215">
            <v>1</v>
          </cell>
          <cell r="K2215">
            <v>9</v>
          </cell>
          <cell r="L2215">
            <v>72.23</v>
          </cell>
          <cell r="M2215">
            <v>50</v>
          </cell>
          <cell r="N2215">
            <v>60.6</v>
          </cell>
          <cell r="O2215">
            <v>8.4</v>
          </cell>
          <cell r="P2215">
            <v>38.6</v>
          </cell>
          <cell r="S2215">
            <v>34.799999999999997</v>
          </cell>
          <cell r="T2215">
            <v>19.100000000000001</v>
          </cell>
          <cell r="U2215">
            <v>3</v>
          </cell>
        </row>
        <row r="2216">
          <cell r="B2216" t="str">
            <v>Male</v>
          </cell>
          <cell r="F2216">
            <v>6</v>
          </cell>
          <cell r="G2216">
            <v>19</v>
          </cell>
          <cell r="H2216">
            <v>5.7</v>
          </cell>
          <cell r="I2216">
            <v>84.3</v>
          </cell>
          <cell r="J2216">
            <v>2</v>
          </cell>
          <cell r="K2216">
            <v>8</v>
          </cell>
          <cell r="L2216">
            <v>145.32</v>
          </cell>
          <cell r="M2216">
            <v>20</v>
          </cell>
          <cell r="N2216">
            <v>34.5</v>
          </cell>
          <cell r="P2216">
            <v>7.3</v>
          </cell>
          <cell r="S2216">
            <v>0</v>
          </cell>
          <cell r="T2216">
            <v>12.9</v>
          </cell>
          <cell r="U2216">
            <v>1</v>
          </cell>
        </row>
        <row r="2217">
          <cell r="B2217" t="str">
            <v>Male</v>
          </cell>
          <cell r="F2217">
            <v>8</v>
          </cell>
          <cell r="G2217">
            <v>26.3</v>
          </cell>
          <cell r="H2217">
            <v>5.0999999999999996</v>
          </cell>
          <cell r="I2217">
            <v>80.599999999999994</v>
          </cell>
          <cell r="J2217">
            <v>4</v>
          </cell>
          <cell r="K2217">
            <v>10</v>
          </cell>
          <cell r="L2217">
            <v>97.07</v>
          </cell>
          <cell r="M2217">
            <v>46</v>
          </cell>
          <cell r="N2217">
            <v>47.8</v>
          </cell>
          <cell r="O2217">
            <v>3.9</v>
          </cell>
          <cell r="P2217">
            <v>0</v>
          </cell>
          <cell r="S2217">
            <v>25.9</v>
          </cell>
          <cell r="U2217">
            <v>1</v>
          </cell>
        </row>
        <row r="2218">
          <cell r="B2218" t="str">
            <v>Male</v>
          </cell>
          <cell r="F2218">
            <v>31</v>
          </cell>
          <cell r="G2218">
            <v>49</v>
          </cell>
          <cell r="I2218">
            <v>17.899999999999999</v>
          </cell>
          <cell r="J2218">
            <v>11</v>
          </cell>
          <cell r="K2218">
            <v>20</v>
          </cell>
          <cell r="L2218">
            <v>183.35</v>
          </cell>
          <cell r="M2218">
            <v>23</v>
          </cell>
          <cell r="N2218">
            <v>60.4</v>
          </cell>
          <cell r="O2218">
            <v>4.0999999999999996</v>
          </cell>
          <cell r="P2218">
            <v>38.200000000000003</v>
          </cell>
          <cell r="S2218">
            <v>68.7</v>
          </cell>
          <cell r="T2218">
            <v>36.700000000000003</v>
          </cell>
          <cell r="U2218">
            <v>3</v>
          </cell>
        </row>
        <row r="2219">
          <cell r="B2219" t="str">
            <v>Male</v>
          </cell>
          <cell r="F2219">
            <v>15</v>
          </cell>
          <cell r="G2219">
            <v>29.8</v>
          </cell>
          <cell r="H2219">
            <v>12.6</v>
          </cell>
          <cell r="I2219">
            <v>66.2</v>
          </cell>
          <cell r="J2219">
            <v>6</v>
          </cell>
          <cell r="K2219" t="str">
            <v>16.900000000000002</v>
          </cell>
          <cell r="L2219">
            <v>145.94</v>
          </cell>
          <cell r="M2219">
            <v>8</v>
          </cell>
          <cell r="N2219">
            <v>12.96</v>
          </cell>
          <cell r="O2219">
            <v>10.5</v>
          </cell>
          <cell r="P2219">
            <v>31.5</v>
          </cell>
          <cell r="S2219">
            <v>26.5</v>
          </cell>
          <cell r="T2219">
            <v>26.6</v>
          </cell>
          <cell r="U2219">
            <v>2</v>
          </cell>
        </row>
        <row r="2220">
          <cell r="B2220" t="str">
            <v>Male</v>
          </cell>
          <cell r="F2220">
            <v>24</v>
          </cell>
          <cell r="G2220">
            <v>48.9</v>
          </cell>
          <cell r="H2220">
            <v>14.2</v>
          </cell>
          <cell r="I2220">
            <v>6.1</v>
          </cell>
          <cell r="J2220">
            <v>7</v>
          </cell>
          <cell r="K2220">
            <v>24</v>
          </cell>
          <cell r="L2220">
            <v>144.82</v>
          </cell>
          <cell r="M2220">
            <v>14</v>
          </cell>
          <cell r="N2220">
            <v>21.3</v>
          </cell>
          <cell r="O2220">
            <v>3.9</v>
          </cell>
          <cell r="P2220">
            <v>42.7</v>
          </cell>
          <cell r="S2220">
            <v>65.900000000000006</v>
          </cell>
          <cell r="U2220">
            <v>4</v>
          </cell>
        </row>
        <row r="2221">
          <cell r="B2221" t="str">
            <v>Female</v>
          </cell>
          <cell r="F2221">
            <v>5</v>
          </cell>
          <cell r="G2221">
            <v>19.7</v>
          </cell>
          <cell r="H2221">
            <v>8.4</v>
          </cell>
          <cell r="I2221">
            <v>66.3</v>
          </cell>
          <cell r="J2221">
            <v>3</v>
          </cell>
          <cell r="K2221">
            <v>10</v>
          </cell>
          <cell r="L2221">
            <v>96.28</v>
          </cell>
          <cell r="N2221">
            <v>85.1</v>
          </cell>
          <cell r="O2221">
            <v>10</v>
          </cell>
          <cell r="P2221">
            <v>0</v>
          </cell>
          <cell r="S2221">
            <v>15.9</v>
          </cell>
          <cell r="T2221">
            <v>10.5</v>
          </cell>
          <cell r="U2221">
            <v>3</v>
          </cell>
        </row>
        <row r="2222">
          <cell r="B2222" t="str">
            <v>Male</v>
          </cell>
          <cell r="F2222">
            <v>28</v>
          </cell>
          <cell r="G2222">
            <v>41.5</v>
          </cell>
          <cell r="H2222">
            <v>11.9</v>
          </cell>
          <cell r="I2222">
            <v>77.8</v>
          </cell>
          <cell r="J2222">
            <v>5</v>
          </cell>
          <cell r="K2222">
            <v>19.5</v>
          </cell>
          <cell r="L2222">
            <v>217.75</v>
          </cell>
          <cell r="M2222">
            <v>16</v>
          </cell>
          <cell r="O2222">
            <v>1.7</v>
          </cell>
          <cell r="P2222">
            <v>20.6</v>
          </cell>
          <cell r="S2222">
            <v>35.9</v>
          </cell>
          <cell r="T2222">
            <v>30.5</v>
          </cell>
          <cell r="U2222">
            <v>2</v>
          </cell>
        </row>
        <row r="2223">
          <cell r="B2223" t="str">
            <v>Male</v>
          </cell>
          <cell r="F2223">
            <v>18</v>
          </cell>
          <cell r="G2223">
            <v>26.9</v>
          </cell>
          <cell r="H2223">
            <v>10.1</v>
          </cell>
          <cell r="I2223">
            <v>51.4</v>
          </cell>
          <cell r="J2223">
            <v>2</v>
          </cell>
          <cell r="K2223">
            <v>9</v>
          </cell>
          <cell r="L2223">
            <v>153.97</v>
          </cell>
          <cell r="M2223">
            <v>12</v>
          </cell>
          <cell r="N2223">
            <v>19.2</v>
          </cell>
          <cell r="O2223">
            <v>15.1</v>
          </cell>
          <cell r="P2223">
            <v>0</v>
          </cell>
          <cell r="S2223">
            <v>19.5</v>
          </cell>
          <cell r="T2223">
            <v>13.8</v>
          </cell>
          <cell r="U2223">
            <v>2</v>
          </cell>
        </row>
        <row r="2224">
          <cell r="B2224" t="str">
            <v>Female</v>
          </cell>
          <cell r="F2224">
            <v>12</v>
          </cell>
          <cell r="H2224">
            <v>7</v>
          </cell>
          <cell r="I2224">
            <v>60.9</v>
          </cell>
          <cell r="J2224">
            <v>5</v>
          </cell>
          <cell r="K2224">
            <v>11</v>
          </cell>
          <cell r="L2224">
            <v>105.74</v>
          </cell>
          <cell r="M2224">
            <v>97</v>
          </cell>
          <cell r="N2224">
            <v>14.8</v>
          </cell>
          <cell r="O2224">
            <v>10.4</v>
          </cell>
          <cell r="P2224">
            <v>21.4</v>
          </cell>
          <cell r="S2224">
            <v>38.799999999999997</v>
          </cell>
          <cell r="T2224">
            <v>28.3</v>
          </cell>
          <cell r="U2224">
            <v>2</v>
          </cell>
        </row>
        <row r="2225">
          <cell r="B2225" t="str">
            <v>Male</v>
          </cell>
          <cell r="F2225">
            <v>13</v>
          </cell>
          <cell r="G2225">
            <v>37.4</v>
          </cell>
          <cell r="H2225">
            <v>13</v>
          </cell>
          <cell r="I2225">
            <v>34.200000000000003</v>
          </cell>
          <cell r="J2225">
            <v>7</v>
          </cell>
          <cell r="K2225">
            <v>15</v>
          </cell>
          <cell r="L2225">
            <v>173.79</v>
          </cell>
          <cell r="M2225">
            <v>18</v>
          </cell>
          <cell r="N2225">
            <v>9.1</v>
          </cell>
          <cell r="O2225">
            <v>0.4</v>
          </cell>
          <cell r="P2225">
            <v>20.100000000000001</v>
          </cell>
          <cell r="S2225">
            <v>64.7</v>
          </cell>
          <cell r="T2225">
            <v>11.6</v>
          </cell>
          <cell r="U2225">
            <v>2</v>
          </cell>
        </row>
        <row r="2226">
          <cell r="B2226" t="str">
            <v>Female</v>
          </cell>
          <cell r="F2226">
            <v>9</v>
          </cell>
          <cell r="G2226">
            <v>22</v>
          </cell>
          <cell r="H2226">
            <v>9</v>
          </cell>
          <cell r="I2226">
            <v>70.8</v>
          </cell>
          <cell r="J2226">
            <v>5</v>
          </cell>
          <cell r="K2226">
            <v>10</v>
          </cell>
          <cell r="L2226">
            <v>227.23</v>
          </cell>
          <cell r="M2226">
            <v>52</v>
          </cell>
          <cell r="N2226">
            <v>12.4</v>
          </cell>
          <cell r="O2226">
            <v>7.8</v>
          </cell>
          <cell r="T2226">
            <v>14.5</v>
          </cell>
          <cell r="U2226">
            <v>3</v>
          </cell>
        </row>
        <row r="2227">
          <cell r="B2227" t="str">
            <v>Male</v>
          </cell>
          <cell r="F2227">
            <v>3</v>
          </cell>
          <cell r="G2227">
            <v>38.200000000000003</v>
          </cell>
          <cell r="H2227">
            <v>7.8</v>
          </cell>
          <cell r="I2227">
            <v>59.1</v>
          </cell>
          <cell r="J2227">
            <v>5</v>
          </cell>
          <cell r="K2227">
            <v>20</v>
          </cell>
          <cell r="L2227">
            <v>51.27</v>
          </cell>
          <cell r="M2227">
            <v>5</v>
          </cell>
          <cell r="N2227">
            <v>34.4</v>
          </cell>
          <cell r="O2227">
            <v>11.3</v>
          </cell>
          <cell r="S2227">
            <v>54.6</v>
          </cell>
          <cell r="T2227">
            <v>26.7</v>
          </cell>
          <cell r="U2227">
            <v>1</v>
          </cell>
        </row>
        <row r="2228">
          <cell r="B2228" t="str">
            <v>Male</v>
          </cell>
          <cell r="F2228">
            <v>14</v>
          </cell>
          <cell r="G2228">
            <v>19.2</v>
          </cell>
          <cell r="H2228">
            <v>8.4</v>
          </cell>
          <cell r="I2228">
            <v>68.5</v>
          </cell>
          <cell r="J2228">
            <v>0</v>
          </cell>
          <cell r="K2228">
            <v>9</v>
          </cell>
          <cell r="L2228">
            <v>68.09</v>
          </cell>
          <cell r="M2228">
            <v>4</v>
          </cell>
          <cell r="O2228">
            <v>2.6</v>
          </cell>
          <cell r="P2228">
            <v>22.1</v>
          </cell>
          <cell r="S2228">
            <v>18.899999999999999</v>
          </cell>
          <cell r="T2228">
            <v>15.4</v>
          </cell>
          <cell r="U2228">
            <v>1</v>
          </cell>
        </row>
        <row r="2229">
          <cell r="B2229" t="str">
            <v>Female</v>
          </cell>
          <cell r="F2229">
            <v>11</v>
          </cell>
          <cell r="G2229">
            <v>28</v>
          </cell>
          <cell r="I2229">
            <v>63</v>
          </cell>
          <cell r="J2229">
            <v>1</v>
          </cell>
          <cell r="K2229">
            <v>9.1</v>
          </cell>
          <cell r="L2229">
            <v>100.74</v>
          </cell>
          <cell r="M2229">
            <v>59</v>
          </cell>
          <cell r="N2229" t="str">
            <v>67.55999999999999</v>
          </cell>
          <cell r="O2229">
            <v>1.6</v>
          </cell>
          <cell r="P2229">
            <v>19.5</v>
          </cell>
          <cell r="S2229">
            <v>0</v>
          </cell>
          <cell r="T2229">
            <v>7.4</v>
          </cell>
          <cell r="U2229">
            <v>1</v>
          </cell>
        </row>
        <row r="2230">
          <cell r="B2230" t="str">
            <v>Male</v>
          </cell>
          <cell r="F2230">
            <v>26</v>
          </cell>
          <cell r="G2230">
            <v>46.5</v>
          </cell>
          <cell r="H2230">
            <v>13.7</v>
          </cell>
          <cell r="I2230">
            <v>35.299999999999997</v>
          </cell>
          <cell r="J2230">
            <v>10</v>
          </cell>
          <cell r="K2230">
            <v>17</v>
          </cell>
          <cell r="L2230">
            <v>96.33</v>
          </cell>
          <cell r="M2230">
            <v>13</v>
          </cell>
          <cell r="N2230">
            <v>21.5</v>
          </cell>
          <cell r="O2230">
            <v>13.8</v>
          </cell>
          <cell r="P2230">
            <v>26.7</v>
          </cell>
          <cell r="S2230">
            <v>70</v>
          </cell>
          <cell r="T2230">
            <v>25.1</v>
          </cell>
          <cell r="U2230">
            <v>2</v>
          </cell>
        </row>
        <row r="2231">
          <cell r="B2231" t="str">
            <v>Female</v>
          </cell>
          <cell r="F2231">
            <v>12</v>
          </cell>
          <cell r="G2231">
            <v>17.100000000000001</v>
          </cell>
          <cell r="H2231">
            <v>10.4</v>
          </cell>
          <cell r="I2231">
            <v>48.9</v>
          </cell>
          <cell r="J2231">
            <v>6</v>
          </cell>
          <cell r="K2231">
            <v>11</v>
          </cell>
          <cell r="L2231">
            <v>100.33</v>
          </cell>
          <cell r="M2231">
            <v>35</v>
          </cell>
          <cell r="N2231">
            <v>16.7</v>
          </cell>
          <cell r="O2231">
            <v>1.5</v>
          </cell>
          <cell r="P2231">
            <v>9.9</v>
          </cell>
          <cell r="S2231">
            <v>24.8</v>
          </cell>
          <cell r="U2231">
            <v>1</v>
          </cell>
        </row>
        <row r="2232">
          <cell r="B2232" t="str">
            <v>Female</v>
          </cell>
          <cell r="F2232">
            <v>6</v>
          </cell>
          <cell r="G2232">
            <v>36.1</v>
          </cell>
          <cell r="H2232">
            <v>8.1</v>
          </cell>
          <cell r="I2232">
            <v>53.3</v>
          </cell>
          <cell r="K2232">
            <v>24.7</v>
          </cell>
          <cell r="L2232">
            <v>101.4</v>
          </cell>
          <cell r="M2232">
            <v>1</v>
          </cell>
          <cell r="N2232">
            <v>37.56</v>
          </cell>
          <cell r="O2232">
            <v>6.9</v>
          </cell>
          <cell r="P2232">
            <v>16.5</v>
          </cell>
          <cell r="S2232">
            <v>28</v>
          </cell>
          <cell r="T2232">
            <v>21.3</v>
          </cell>
          <cell r="U2232">
            <v>2</v>
          </cell>
        </row>
        <row r="2233">
          <cell r="B2233" t="str">
            <v>Male</v>
          </cell>
          <cell r="F2233">
            <v>18</v>
          </cell>
          <cell r="G2233">
            <v>51.4</v>
          </cell>
          <cell r="H2233">
            <v>12.1</v>
          </cell>
          <cell r="I2233">
            <v>30</v>
          </cell>
          <cell r="J2233">
            <v>9</v>
          </cell>
          <cell r="K2233">
            <v>24.7</v>
          </cell>
          <cell r="L2233">
            <v>181.44</v>
          </cell>
          <cell r="N2233">
            <v>61.92</v>
          </cell>
          <cell r="O2233">
            <v>3.6</v>
          </cell>
          <cell r="P2233">
            <v>57.3</v>
          </cell>
          <cell r="S2233">
            <v>28.8</v>
          </cell>
          <cell r="T2233">
            <v>30.2</v>
          </cell>
          <cell r="U2233">
            <v>1</v>
          </cell>
        </row>
        <row r="2234">
          <cell r="B2234" t="str">
            <v>Female</v>
          </cell>
          <cell r="F2234">
            <v>3</v>
          </cell>
          <cell r="G2234">
            <v>8.3000000000000007</v>
          </cell>
          <cell r="H2234">
            <v>1.5</v>
          </cell>
          <cell r="I2234">
            <v>76.8</v>
          </cell>
          <cell r="J2234">
            <v>1</v>
          </cell>
          <cell r="K2234">
            <v>4</v>
          </cell>
          <cell r="L2234">
            <v>132.91999999999999</v>
          </cell>
          <cell r="M2234">
            <v>24</v>
          </cell>
          <cell r="N2234">
            <v>76.400000000000006</v>
          </cell>
          <cell r="O2234">
            <v>15.7</v>
          </cell>
          <cell r="P2234">
            <v>12.1</v>
          </cell>
          <cell r="S2234">
            <v>13.8</v>
          </cell>
          <cell r="T2234">
            <v>2.6</v>
          </cell>
          <cell r="U2234">
            <v>3</v>
          </cell>
        </row>
        <row r="2235">
          <cell r="B2235" t="str">
            <v>Female</v>
          </cell>
          <cell r="F2235">
            <v>1</v>
          </cell>
          <cell r="G2235">
            <v>14.3</v>
          </cell>
          <cell r="H2235">
            <v>1</v>
          </cell>
          <cell r="I2235">
            <v>66.599999999999994</v>
          </cell>
          <cell r="J2235">
            <v>0</v>
          </cell>
          <cell r="K2235">
            <v>1</v>
          </cell>
          <cell r="L2235">
            <v>59.22</v>
          </cell>
          <cell r="M2235">
            <v>18</v>
          </cell>
          <cell r="N2235">
            <v>24.8</v>
          </cell>
          <cell r="O2235">
            <v>6.4</v>
          </cell>
          <cell r="P2235">
            <v>2.2999999999999998</v>
          </cell>
          <cell r="S2235">
            <v>9.5</v>
          </cell>
          <cell r="T2235">
            <v>1.2</v>
          </cell>
          <cell r="U2235">
            <v>3</v>
          </cell>
        </row>
        <row r="2236">
          <cell r="B2236" t="str">
            <v>Male</v>
          </cell>
          <cell r="F2236">
            <v>5</v>
          </cell>
          <cell r="G2236">
            <v>10.6</v>
          </cell>
          <cell r="H2236">
            <v>5.0999999999999996</v>
          </cell>
          <cell r="I2236">
            <v>85.6</v>
          </cell>
          <cell r="J2236">
            <v>0</v>
          </cell>
          <cell r="K2236" t="str">
            <v>3.9000000000000004</v>
          </cell>
          <cell r="L2236">
            <v>120.38</v>
          </cell>
          <cell r="M2236">
            <v>45</v>
          </cell>
          <cell r="N2236">
            <v>26.76</v>
          </cell>
          <cell r="O2236">
            <v>3</v>
          </cell>
          <cell r="P2236">
            <v>15.8</v>
          </cell>
          <cell r="S2236">
            <v>26.7</v>
          </cell>
          <cell r="T2236">
            <v>12.1</v>
          </cell>
          <cell r="U2236">
            <v>2</v>
          </cell>
        </row>
        <row r="2237">
          <cell r="B2237" t="str">
            <v>Female</v>
          </cell>
          <cell r="F2237">
            <v>16</v>
          </cell>
          <cell r="G2237">
            <v>33.5</v>
          </cell>
          <cell r="H2237">
            <v>12.2</v>
          </cell>
          <cell r="I2237">
            <v>57.5</v>
          </cell>
          <cell r="K2237">
            <v>14</v>
          </cell>
          <cell r="L2237">
            <v>57.02</v>
          </cell>
          <cell r="M2237">
            <v>19</v>
          </cell>
          <cell r="N2237">
            <v>23</v>
          </cell>
          <cell r="O2237">
            <v>3</v>
          </cell>
          <cell r="P2237">
            <v>12.5</v>
          </cell>
          <cell r="S2237">
            <v>29.3</v>
          </cell>
          <cell r="T2237">
            <v>14.5</v>
          </cell>
        </row>
        <row r="2238">
          <cell r="B2238" t="str">
            <v>Male</v>
          </cell>
          <cell r="F2238">
            <v>9</v>
          </cell>
          <cell r="G2238">
            <v>14.1</v>
          </cell>
          <cell r="H2238">
            <v>8.3000000000000007</v>
          </cell>
          <cell r="I2238">
            <v>73.5</v>
          </cell>
          <cell r="J2238">
            <v>7</v>
          </cell>
          <cell r="K2238">
            <v>11</v>
          </cell>
          <cell r="L2238">
            <v>103.81</v>
          </cell>
          <cell r="M2238">
            <v>29</v>
          </cell>
          <cell r="N2238">
            <v>32.4</v>
          </cell>
          <cell r="O2238">
            <v>16.8</v>
          </cell>
          <cell r="P2238">
            <v>8.4</v>
          </cell>
          <cell r="S2238">
            <v>9.3000000000000007</v>
          </cell>
          <cell r="U2238">
            <v>3</v>
          </cell>
        </row>
        <row r="2239">
          <cell r="B2239" t="str">
            <v>Female</v>
          </cell>
          <cell r="F2239">
            <v>12</v>
          </cell>
          <cell r="H2239">
            <v>11.9</v>
          </cell>
          <cell r="I2239">
            <v>60.3</v>
          </cell>
          <cell r="J2239">
            <v>1</v>
          </cell>
          <cell r="K2239">
            <v>10</v>
          </cell>
          <cell r="L2239">
            <v>170.8</v>
          </cell>
          <cell r="M2239">
            <v>66</v>
          </cell>
          <cell r="N2239">
            <v>17.5</v>
          </cell>
          <cell r="O2239">
            <v>8.3000000000000007</v>
          </cell>
          <cell r="P2239">
            <v>23.5</v>
          </cell>
          <cell r="S2239">
            <v>8.3000000000000007</v>
          </cell>
          <cell r="T2239">
            <v>22.7</v>
          </cell>
          <cell r="U2239">
            <v>5</v>
          </cell>
        </row>
        <row r="2240">
          <cell r="B2240" t="str">
            <v>Male</v>
          </cell>
          <cell r="F2240">
            <v>16</v>
          </cell>
          <cell r="G2240">
            <v>35.9</v>
          </cell>
          <cell r="H2240">
            <v>12.1</v>
          </cell>
          <cell r="I2240">
            <v>44.1</v>
          </cell>
          <cell r="J2240">
            <v>4</v>
          </cell>
          <cell r="K2240" t="str">
            <v>16.900000000000002</v>
          </cell>
          <cell r="L2240">
            <v>279.23</v>
          </cell>
          <cell r="M2240">
            <v>2</v>
          </cell>
          <cell r="N2240">
            <v>17.52</v>
          </cell>
          <cell r="O2240">
            <v>4.0999999999999996</v>
          </cell>
          <cell r="P2240">
            <v>32.6</v>
          </cell>
          <cell r="S2240">
            <v>42.8</v>
          </cell>
          <cell r="U2240">
            <v>2</v>
          </cell>
        </row>
        <row r="2241">
          <cell r="B2241" t="str">
            <v>Male</v>
          </cell>
          <cell r="F2241">
            <v>9</v>
          </cell>
          <cell r="G2241">
            <v>32.4</v>
          </cell>
          <cell r="H2241">
            <v>9.1999999999999993</v>
          </cell>
          <cell r="I2241">
            <v>67.5</v>
          </cell>
          <cell r="J2241">
            <v>4</v>
          </cell>
          <cell r="K2241">
            <v>18.2</v>
          </cell>
          <cell r="L2241">
            <v>165.35</v>
          </cell>
          <cell r="N2241">
            <v>24.96</v>
          </cell>
          <cell r="O2241">
            <v>6.4</v>
          </cell>
          <cell r="P2241">
            <v>5.9</v>
          </cell>
          <cell r="S2241">
            <v>20.3</v>
          </cell>
          <cell r="T2241">
            <v>12.9</v>
          </cell>
          <cell r="U2241">
            <v>3</v>
          </cell>
        </row>
        <row r="2242">
          <cell r="B2242" t="str">
            <v>Female</v>
          </cell>
          <cell r="F2242">
            <v>21</v>
          </cell>
          <cell r="G2242">
            <v>44.3</v>
          </cell>
          <cell r="H2242">
            <v>17.2</v>
          </cell>
          <cell r="I2242">
            <v>26.9</v>
          </cell>
          <cell r="J2242">
            <v>9</v>
          </cell>
          <cell r="K2242">
            <v>24</v>
          </cell>
          <cell r="L2242">
            <v>132.96</v>
          </cell>
          <cell r="M2242">
            <v>41</v>
          </cell>
          <cell r="N2242">
            <v>42.6</v>
          </cell>
          <cell r="O2242">
            <v>7.7</v>
          </cell>
          <cell r="P2242">
            <v>37.799999999999997</v>
          </cell>
          <cell r="S2242">
            <v>63</v>
          </cell>
          <cell r="T2242">
            <v>38.4</v>
          </cell>
          <cell r="U2242">
            <v>3</v>
          </cell>
        </row>
        <row r="2243">
          <cell r="B2243" t="str">
            <v>Female</v>
          </cell>
          <cell r="F2243">
            <v>0</v>
          </cell>
          <cell r="G2243">
            <v>6.8</v>
          </cell>
          <cell r="H2243">
            <v>1.8</v>
          </cell>
          <cell r="I2243">
            <v>77</v>
          </cell>
          <cell r="J2243">
            <v>1</v>
          </cell>
          <cell r="K2243">
            <v>8</v>
          </cell>
          <cell r="L2243">
            <v>120.74</v>
          </cell>
          <cell r="M2243">
            <v>24</v>
          </cell>
          <cell r="N2243">
            <v>53.9</v>
          </cell>
          <cell r="P2243">
            <v>0</v>
          </cell>
          <cell r="S2243">
            <v>0.2</v>
          </cell>
          <cell r="T2243">
            <v>6.5</v>
          </cell>
          <cell r="U2243">
            <v>1</v>
          </cell>
        </row>
        <row r="2244">
          <cell r="B2244" t="str">
            <v>Male</v>
          </cell>
          <cell r="F2244">
            <v>18</v>
          </cell>
          <cell r="G2244">
            <v>49.8</v>
          </cell>
          <cell r="H2244">
            <v>15.1</v>
          </cell>
          <cell r="I2244">
            <v>21.8</v>
          </cell>
          <cell r="J2244">
            <v>7</v>
          </cell>
          <cell r="K2244">
            <v>19</v>
          </cell>
          <cell r="L2244">
            <v>63.51</v>
          </cell>
          <cell r="M2244">
            <v>39</v>
          </cell>
          <cell r="N2244">
            <v>38</v>
          </cell>
          <cell r="O2244">
            <v>11.8</v>
          </cell>
          <cell r="P2244">
            <v>54.9</v>
          </cell>
          <cell r="S2244">
            <v>69</v>
          </cell>
          <cell r="T2244">
            <v>32.5</v>
          </cell>
          <cell r="U2244">
            <v>3</v>
          </cell>
        </row>
        <row r="2245">
          <cell r="B2245" t="str">
            <v>Female</v>
          </cell>
          <cell r="F2245">
            <v>35</v>
          </cell>
          <cell r="G2245">
            <v>43.7</v>
          </cell>
          <cell r="I2245">
            <v>14</v>
          </cell>
          <cell r="J2245">
            <v>6</v>
          </cell>
          <cell r="K2245">
            <v>35.1</v>
          </cell>
          <cell r="L2245">
            <v>94.06</v>
          </cell>
          <cell r="M2245">
            <v>6</v>
          </cell>
          <cell r="N2245">
            <v>98.16</v>
          </cell>
          <cell r="O2245">
            <v>16.100000000000001</v>
          </cell>
          <cell r="P2245">
            <v>64.099999999999994</v>
          </cell>
          <cell r="S2245">
            <v>81</v>
          </cell>
          <cell r="T2245">
            <v>46.1</v>
          </cell>
          <cell r="U2245">
            <v>1</v>
          </cell>
        </row>
        <row r="2246">
          <cell r="B2246" t="str">
            <v>Male</v>
          </cell>
          <cell r="F2246">
            <v>13</v>
          </cell>
          <cell r="G2246">
            <v>39.6</v>
          </cell>
          <cell r="H2246">
            <v>8</v>
          </cell>
          <cell r="I2246">
            <v>34</v>
          </cell>
          <cell r="J2246">
            <v>7</v>
          </cell>
          <cell r="K2246">
            <v>17</v>
          </cell>
          <cell r="L2246">
            <v>144.07</v>
          </cell>
          <cell r="M2246">
            <v>15</v>
          </cell>
          <cell r="N2246">
            <v>28.5</v>
          </cell>
          <cell r="O2246">
            <v>1.8</v>
          </cell>
          <cell r="P2246">
            <v>29.2</v>
          </cell>
          <cell r="S2246">
            <v>55</v>
          </cell>
          <cell r="T2246">
            <v>24.5</v>
          </cell>
          <cell r="U2246">
            <v>3</v>
          </cell>
        </row>
        <row r="2247">
          <cell r="B2247" t="str">
            <v>Male</v>
          </cell>
          <cell r="F2247">
            <v>3</v>
          </cell>
          <cell r="G2247">
            <v>39.9</v>
          </cell>
          <cell r="H2247">
            <v>10.6</v>
          </cell>
          <cell r="I2247">
            <v>53.9</v>
          </cell>
          <cell r="J2247">
            <v>9</v>
          </cell>
          <cell r="K2247">
            <v>19</v>
          </cell>
          <cell r="L2247">
            <v>60.32</v>
          </cell>
          <cell r="M2247">
            <v>15</v>
          </cell>
          <cell r="N2247">
            <v>39.9</v>
          </cell>
          <cell r="O2247">
            <v>3.4</v>
          </cell>
          <cell r="S2247">
            <v>35.1</v>
          </cell>
          <cell r="T2247">
            <v>14.9</v>
          </cell>
          <cell r="U2247">
            <v>2</v>
          </cell>
        </row>
        <row r="2248">
          <cell r="B2248" t="str">
            <v>Female</v>
          </cell>
          <cell r="F2248">
            <v>1</v>
          </cell>
          <cell r="G2248">
            <v>10</v>
          </cell>
          <cell r="H2248">
            <v>5.0999999999999996</v>
          </cell>
          <cell r="I2248">
            <v>84.2</v>
          </cell>
          <cell r="J2248">
            <v>1</v>
          </cell>
          <cell r="K2248">
            <v>6</v>
          </cell>
          <cell r="L2248">
            <v>103.2</v>
          </cell>
          <cell r="M2248">
            <v>9</v>
          </cell>
          <cell r="O2248">
            <v>4.2</v>
          </cell>
          <cell r="P2248">
            <v>1.9</v>
          </cell>
          <cell r="S2248">
            <v>13.5</v>
          </cell>
          <cell r="T2248">
            <v>18.3</v>
          </cell>
          <cell r="U2248">
            <v>4</v>
          </cell>
        </row>
        <row r="2249">
          <cell r="B2249" t="str">
            <v>Male</v>
          </cell>
          <cell r="F2249">
            <v>0</v>
          </cell>
          <cell r="G2249">
            <v>11.1</v>
          </cell>
          <cell r="H2249">
            <v>1</v>
          </cell>
          <cell r="I2249">
            <v>84.4</v>
          </cell>
          <cell r="J2249">
            <v>1</v>
          </cell>
          <cell r="K2249">
            <v>12</v>
          </cell>
          <cell r="L2249">
            <v>75.83</v>
          </cell>
          <cell r="M2249">
            <v>1</v>
          </cell>
          <cell r="N2249">
            <v>47.6</v>
          </cell>
          <cell r="O2249">
            <v>11.8</v>
          </cell>
          <cell r="P2249">
            <v>6.6</v>
          </cell>
          <cell r="S2249">
            <v>0</v>
          </cell>
          <cell r="T2249">
            <v>11.7</v>
          </cell>
          <cell r="U2249">
            <v>2</v>
          </cell>
        </row>
        <row r="2250">
          <cell r="B2250" t="str">
            <v>Male</v>
          </cell>
          <cell r="F2250">
            <v>0</v>
          </cell>
          <cell r="G2250">
            <v>2.2000000000000002</v>
          </cell>
          <cell r="H2250">
            <v>1</v>
          </cell>
          <cell r="I2250">
            <v>73.8</v>
          </cell>
          <cell r="J2250">
            <v>0</v>
          </cell>
          <cell r="K2250">
            <v>1</v>
          </cell>
          <cell r="L2250">
            <v>89.9</v>
          </cell>
          <cell r="M2250">
            <v>9</v>
          </cell>
          <cell r="N2250">
            <v>48.3</v>
          </cell>
          <cell r="O2250">
            <v>11.8</v>
          </cell>
          <cell r="P2250">
            <v>7.3</v>
          </cell>
          <cell r="S2250">
            <v>0.2</v>
          </cell>
          <cell r="T2250">
            <v>5.4</v>
          </cell>
          <cell r="U2250">
            <v>3</v>
          </cell>
        </row>
        <row r="2251">
          <cell r="B2251" t="str">
            <v>Male</v>
          </cell>
          <cell r="F2251">
            <v>20</v>
          </cell>
          <cell r="G2251">
            <v>28.4</v>
          </cell>
          <cell r="H2251">
            <v>5</v>
          </cell>
          <cell r="I2251">
            <v>55.3</v>
          </cell>
          <cell r="J2251">
            <v>3</v>
          </cell>
          <cell r="K2251">
            <v>13</v>
          </cell>
          <cell r="L2251">
            <v>123.48</v>
          </cell>
          <cell r="M2251">
            <v>16</v>
          </cell>
          <cell r="N2251">
            <v>44.8</v>
          </cell>
          <cell r="P2251">
            <v>14.9</v>
          </cell>
          <cell r="S2251">
            <v>17.7</v>
          </cell>
          <cell r="T2251">
            <v>14.7</v>
          </cell>
          <cell r="U2251">
            <v>2</v>
          </cell>
        </row>
        <row r="2252">
          <cell r="B2252" t="str">
            <v>Male</v>
          </cell>
          <cell r="F2252">
            <v>6</v>
          </cell>
          <cell r="H2252">
            <v>4.5999999999999996</v>
          </cell>
          <cell r="I2252">
            <v>60.5</v>
          </cell>
          <cell r="J2252">
            <v>2</v>
          </cell>
          <cell r="K2252">
            <v>10</v>
          </cell>
          <cell r="L2252">
            <v>96.96</v>
          </cell>
          <cell r="M2252">
            <v>48</v>
          </cell>
          <cell r="N2252">
            <v>34.700000000000003</v>
          </cell>
          <cell r="O2252">
            <v>4.9000000000000004</v>
          </cell>
          <cell r="P2252">
            <v>22.7</v>
          </cell>
          <cell r="S2252">
            <v>25.2</v>
          </cell>
          <cell r="T2252">
            <v>34.200000000000003</v>
          </cell>
          <cell r="U2252">
            <v>2</v>
          </cell>
        </row>
        <row r="2253">
          <cell r="B2253" t="str">
            <v>Male</v>
          </cell>
          <cell r="F2253">
            <v>7</v>
          </cell>
          <cell r="G2253">
            <v>18.8</v>
          </cell>
          <cell r="H2253">
            <v>7.9</v>
          </cell>
          <cell r="I2253">
            <v>52.5</v>
          </cell>
          <cell r="J2253">
            <v>1</v>
          </cell>
          <cell r="K2253">
            <v>11</v>
          </cell>
          <cell r="L2253">
            <v>107.06</v>
          </cell>
          <cell r="N2253">
            <v>14.5</v>
          </cell>
          <cell r="O2253">
            <v>2.6</v>
          </cell>
          <cell r="P2253">
            <v>23.2</v>
          </cell>
          <cell r="S2253">
            <v>20.9</v>
          </cell>
          <cell r="T2253">
            <v>24.4</v>
          </cell>
          <cell r="U2253">
            <v>2</v>
          </cell>
        </row>
        <row r="2254">
          <cell r="B2254" t="str">
            <v>Female</v>
          </cell>
          <cell r="F2254">
            <v>0</v>
          </cell>
          <cell r="H2254">
            <v>2.6</v>
          </cell>
          <cell r="I2254">
            <v>63.3</v>
          </cell>
          <cell r="J2254">
            <v>0</v>
          </cell>
          <cell r="K2254">
            <v>7</v>
          </cell>
          <cell r="L2254">
            <v>84.17</v>
          </cell>
          <cell r="M2254">
            <v>81</v>
          </cell>
          <cell r="N2254">
            <v>17.8</v>
          </cell>
          <cell r="O2254">
            <v>2.2999999999999998</v>
          </cell>
          <cell r="P2254">
            <v>13.8</v>
          </cell>
          <cell r="T2254">
            <v>4</v>
          </cell>
          <cell r="U2254">
            <v>2</v>
          </cell>
        </row>
        <row r="2255">
          <cell r="B2255" t="str">
            <v>Male</v>
          </cell>
          <cell r="F2255">
            <v>1</v>
          </cell>
          <cell r="G2255">
            <v>20.5</v>
          </cell>
          <cell r="H2255">
            <v>7.9</v>
          </cell>
          <cell r="I2255">
            <v>85.7</v>
          </cell>
          <cell r="J2255">
            <v>2</v>
          </cell>
          <cell r="K2255">
            <v>6</v>
          </cell>
          <cell r="L2255">
            <v>147.71</v>
          </cell>
          <cell r="M2255">
            <v>3</v>
          </cell>
          <cell r="N2255">
            <v>59.6</v>
          </cell>
          <cell r="O2255">
            <v>2.4</v>
          </cell>
          <cell r="P2255">
            <v>3.3</v>
          </cell>
          <cell r="S2255">
            <v>10.8</v>
          </cell>
          <cell r="T2255">
            <v>15.9</v>
          </cell>
        </row>
        <row r="2256">
          <cell r="B2256" t="str">
            <v>Female</v>
          </cell>
          <cell r="F2256">
            <v>10</v>
          </cell>
          <cell r="G2256">
            <v>18.7</v>
          </cell>
          <cell r="H2256">
            <v>7.4</v>
          </cell>
          <cell r="I2256">
            <v>48.8</v>
          </cell>
          <cell r="J2256">
            <v>10</v>
          </cell>
          <cell r="K2256" t="str">
            <v>15.600000000000001</v>
          </cell>
          <cell r="L2256">
            <v>131.19</v>
          </cell>
          <cell r="M2256">
            <v>18</v>
          </cell>
          <cell r="N2256">
            <v>70.44</v>
          </cell>
          <cell r="O2256">
            <v>4.8</v>
          </cell>
          <cell r="P2256">
            <v>34.4</v>
          </cell>
          <cell r="S2256">
            <v>15.2</v>
          </cell>
          <cell r="T2256">
            <v>25.6</v>
          </cell>
          <cell r="U2256">
            <v>2</v>
          </cell>
        </row>
        <row r="2257">
          <cell r="B2257" t="str">
            <v>Male</v>
          </cell>
          <cell r="F2257">
            <v>11</v>
          </cell>
          <cell r="G2257">
            <v>27.5</v>
          </cell>
          <cell r="H2257">
            <v>9.3000000000000007</v>
          </cell>
          <cell r="I2257">
            <v>61.6</v>
          </cell>
          <cell r="J2257">
            <v>4</v>
          </cell>
          <cell r="K2257">
            <v>17</v>
          </cell>
          <cell r="L2257">
            <v>151.25</v>
          </cell>
          <cell r="N2257">
            <v>3.6</v>
          </cell>
          <cell r="O2257">
            <v>3.2</v>
          </cell>
          <cell r="P2257">
            <v>22.6</v>
          </cell>
          <cell r="S2257">
            <v>12.9</v>
          </cell>
          <cell r="T2257">
            <v>3.6</v>
          </cell>
          <cell r="U2257">
            <v>1</v>
          </cell>
        </row>
        <row r="2258">
          <cell r="B2258" t="str">
            <v>Male</v>
          </cell>
          <cell r="F2258">
            <v>16</v>
          </cell>
          <cell r="G2258">
            <v>33.9</v>
          </cell>
          <cell r="H2258">
            <v>7.7</v>
          </cell>
          <cell r="I2258">
            <v>48.7</v>
          </cell>
          <cell r="J2258">
            <v>8</v>
          </cell>
          <cell r="K2258">
            <v>20.8</v>
          </cell>
          <cell r="L2258">
            <v>78.39</v>
          </cell>
          <cell r="M2258">
            <v>65</v>
          </cell>
          <cell r="N2258">
            <v>14.52</v>
          </cell>
          <cell r="O2258">
            <v>1.2</v>
          </cell>
          <cell r="P2258">
            <v>23.5</v>
          </cell>
          <cell r="S2258">
            <v>49.7</v>
          </cell>
          <cell r="U2258">
            <v>2</v>
          </cell>
        </row>
        <row r="2259">
          <cell r="B2259" t="str">
            <v>Female</v>
          </cell>
          <cell r="F2259">
            <v>5</v>
          </cell>
          <cell r="G2259">
            <v>27.6</v>
          </cell>
          <cell r="H2259">
            <v>7.3</v>
          </cell>
          <cell r="I2259">
            <v>43.5</v>
          </cell>
          <cell r="K2259">
            <v>11</v>
          </cell>
          <cell r="L2259">
            <v>85.31</v>
          </cell>
          <cell r="M2259">
            <v>1</v>
          </cell>
          <cell r="N2259">
            <v>29.2</v>
          </cell>
          <cell r="O2259">
            <v>6.8</v>
          </cell>
          <cell r="P2259">
            <v>3.9</v>
          </cell>
          <cell r="S2259">
            <v>18.3</v>
          </cell>
          <cell r="U2259">
            <v>2</v>
          </cell>
        </row>
        <row r="2260">
          <cell r="B2260" t="str">
            <v>Male</v>
          </cell>
          <cell r="F2260">
            <v>27</v>
          </cell>
          <cell r="G2260">
            <v>44.9</v>
          </cell>
          <cell r="H2260">
            <v>16.100000000000001</v>
          </cell>
          <cell r="I2260">
            <v>45.9</v>
          </cell>
          <cell r="J2260">
            <v>4</v>
          </cell>
          <cell r="K2260" t="str">
            <v>23.400000000000002</v>
          </cell>
          <cell r="L2260">
            <v>52.77</v>
          </cell>
          <cell r="M2260">
            <v>21</v>
          </cell>
          <cell r="N2260" t="str">
            <v>59.879999999999995</v>
          </cell>
          <cell r="O2260">
            <v>4.4000000000000004</v>
          </cell>
          <cell r="P2260">
            <v>39.6</v>
          </cell>
          <cell r="S2260">
            <v>36.4</v>
          </cell>
          <cell r="T2260">
            <v>29.1</v>
          </cell>
          <cell r="U2260">
            <v>2</v>
          </cell>
        </row>
        <row r="2261">
          <cell r="B2261" t="str">
            <v>Male</v>
          </cell>
          <cell r="F2261">
            <v>5</v>
          </cell>
          <cell r="G2261">
            <v>15.6</v>
          </cell>
          <cell r="H2261">
            <v>6.9</v>
          </cell>
          <cell r="I2261">
            <v>82</v>
          </cell>
          <cell r="K2261">
            <v>4</v>
          </cell>
          <cell r="L2261">
            <v>71.099999999999994</v>
          </cell>
          <cell r="N2261">
            <v>22.5</v>
          </cell>
          <cell r="O2261">
            <v>2.1</v>
          </cell>
          <cell r="P2261">
            <v>0</v>
          </cell>
          <cell r="S2261">
            <v>0</v>
          </cell>
          <cell r="T2261">
            <v>13.7</v>
          </cell>
        </row>
        <row r="2262">
          <cell r="B2262" t="str">
            <v>Male</v>
          </cell>
          <cell r="F2262">
            <v>9</v>
          </cell>
          <cell r="G2262">
            <v>11.6</v>
          </cell>
          <cell r="I2262">
            <v>68.3</v>
          </cell>
          <cell r="J2262">
            <v>2</v>
          </cell>
          <cell r="K2262">
            <v>8</v>
          </cell>
          <cell r="L2262">
            <v>120.01</v>
          </cell>
          <cell r="M2262">
            <v>13</v>
          </cell>
          <cell r="N2262">
            <v>21.9</v>
          </cell>
          <cell r="O2262">
            <v>12.7</v>
          </cell>
          <cell r="P2262">
            <v>23.7</v>
          </cell>
          <cell r="S2262">
            <v>18.2</v>
          </cell>
          <cell r="T2262">
            <v>15.4</v>
          </cell>
          <cell r="U2262">
            <v>2</v>
          </cell>
        </row>
        <row r="2263">
          <cell r="B2263" t="str">
            <v>Female</v>
          </cell>
          <cell r="F2263">
            <v>19</v>
          </cell>
          <cell r="G2263">
            <v>25.4</v>
          </cell>
          <cell r="H2263">
            <v>7.8</v>
          </cell>
          <cell r="I2263">
            <v>50.7</v>
          </cell>
          <cell r="J2263">
            <v>5</v>
          </cell>
          <cell r="K2263">
            <v>10.4</v>
          </cell>
          <cell r="L2263">
            <v>190.21</v>
          </cell>
          <cell r="M2263">
            <v>18</v>
          </cell>
          <cell r="N2263" t="str">
            <v>46.559999999999995</v>
          </cell>
          <cell r="O2263">
            <v>6.1</v>
          </cell>
          <cell r="P2263">
            <v>12.6</v>
          </cell>
          <cell r="T2263">
            <v>19.8</v>
          </cell>
          <cell r="U2263">
            <v>1</v>
          </cell>
        </row>
        <row r="2264">
          <cell r="B2264" t="str">
            <v>Other</v>
          </cell>
          <cell r="F2264">
            <v>0</v>
          </cell>
          <cell r="G2264">
            <v>18.899999999999999</v>
          </cell>
          <cell r="H2264">
            <v>4.5</v>
          </cell>
          <cell r="I2264">
            <v>73.3</v>
          </cell>
          <cell r="J2264">
            <v>0</v>
          </cell>
          <cell r="K2264">
            <v>8</v>
          </cell>
          <cell r="L2264">
            <v>88.4</v>
          </cell>
          <cell r="M2264">
            <v>30</v>
          </cell>
          <cell r="N2264">
            <v>30</v>
          </cell>
          <cell r="O2264">
            <v>3.3</v>
          </cell>
          <cell r="P2264">
            <v>1.7</v>
          </cell>
          <cell r="S2264">
            <v>39.4</v>
          </cell>
          <cell r="T2264">
            <v>7.9</v>
          </cell>
          <cell r="U2264">
            <v>1</v>
          </cell>
        </row>
        <row r="2265">
          <cell r="B2265" t="str">
            <v>Male</v>
          </cell>
          <cell r="F2265">
            <v>3</v>
          </cell>
          <cell r="G2265">
            <v>16.899999999999999</v>
          </cell>
          <cell r="H2265">
            <v>6</v>
          </cell>
          <cell r="I2265">
            <v>63.3</v>
          </cell>
          <cell r="J2265">
            <v>5</v>
          </cell>
          <cell r="K2265">
            <v>8</v>
          </cell>
          <cell r="L2265">
            <v>111.96</v>
          </cell>
          <cell r="M2265">
            <v>17</v>
          </cell>
          <cell r="N2265">
            <v>49.9</v>
          </cell>
          <cell r="O2265">
            <v>6.6</v>
          </cell>
          <cell r="P2265">
            <v>5.2</v>
          </cell>
          <cell r="S2265">
            <v>26.9</v>
          </cell>
          <cell r="T2265">
            <v>16.3</v>
          </cell>
          <cell r="U2265">
            <v>2</v>
          </cell>
        </row>
        <row r="2266">
          <cell r="B2266" t="str">
            <v>Male</v>
          </cell>
          <cell r="F2266">
            <v>19</v>
          </cell>
          <cell r="G2266">
            <v>42.2</v>
          </cell>
          <cell r="H2266">
            <v>18.2</v>
          </cell>
          <cell r="I2266">
            <v>43.2</v>
          </cell>
          <cell r="J2266">
            <v>8</v>
          </cell>
          <cell r="K2266">
            <v>15</v>
          </cell>
          <cell r="L2266">
            <v>114.84</v>
          </cell>
          <cell r="N2266">
            <v>50</v>
          </cell>
          <cell r="O2266">
            <v>2.2999999999999998</v>
          </cell>
          <cell r="P2266">
            <v>42</v>
          </cell>
          <cell r="S2266">
            <v>40.700000000000003</v>
          </cell>
          <cell r="U2266">
            <v>3</v>
          </cell>
        </row>
        <row r="2267">
          <cell r="B2267" t="str">
            <v>Female</v>
          </cell>
          <cell r="F2267">
            <v>0</v>
          </cell>
          <cell r="G2267">
            <v>13.9</v>
          </cell>
          <cell r="H2267">
            <v>2.9</v>
          </cell>
          <cell r="I2267">
            <v>76.099999999999994</v>
          </cell>
          <cell r="J2267">
            <v>2</v>
          </cell>
          <cell r="K2267">
            <v>6.5</v>
          </cell>
          <cell r="L2267">
            <v>117.97</v>
          </cell>
          <cell r="N2267">
            <v>32.64</v>
          </cell>
          <cell r="O2267">
            <v>2.2000000000000002</v>
          </cell>
          <cell r="P2267">
            <v>9</v>
          </cell>
          <cell r="S2267">
            <v>7.8</v>
          </cell>
          <cell r="U2267">
            <v>2</v>
          </cell>
        </row>
        <row r="2268">
          <cell r="B2268" t="str">
            <v>Female</v>
          </cell>
          <cell r="F2268">
            <v>14</v>
          </cell>
          <cell r="G2268">
            <v>35.5</v>
          </cell>
          <cell r="H2268">
            <v>9.3000000000000007</v>
          </cell>
          <cell r="I2268">
            <v>58.1</v>
          </cell>
          <cell r="J2268">
            <v>7</v>
          </cell>
          <cell r="K2268">
            <v>15</v>
          </cell>
          <cell r="L2268">
            <v>104.08</v>
          </cell>
          <cell r="M2268">
            <v>14</v>
          </cell>
          <cell r="N2268">
            <v>76.7</v>
          </cell>
          <cell r="O2268">
            <v>10.7</v>
          </cell>
          <cell r="P2268">
            <v>30</v>
          </cell>
          <cell r="S2268">
            <v>60.2</v>
          </cell>
          <cell r="T2268">
            <v>37.6</v>
          </cell>
          <cell r="U2268">
            <v>3</v>
          </cell>
        </row>
        <row r="2269">
          <cell r="B2269" t="str">
            <v>Male</v>
          </cell>
          <cell r="F2269">
            <v>7</v>
          </cell>
          <cell r="G2269">
            <v>22.6</v>
          </cell>
          <cell r="H2269">
            <v>7.6</v>
          </cell>
          <cell r="I2269">
            <v>74</v>
          </cell>
          <cell r="J2269">
            <v>0</v>
          </cell>
          <cell r="K2269">
            <v>9.1</v>
          </cell>
          <cell r="L2269">
            <v>129.86000000000001</v>
          </cell>
          <cell r="M2269">
            <v>4</v>
          </cell>
          <cell r="N2269" t="str">
            <v>43.440000000000005</v>
          </cell>
          <cell r="O2269">
            <v>8.1999999999999993</v>
          </cell>
          <cell r="P2269">
            <v>3.8</v>
          </cell>
          <cell r="S2269">
            <v>0</v>
          </cell>
          <cell r="T2269">
            <v>15.3</v>
          </cell>
          <cell r="U2269">
            <v>3</v>
          </cell>
        </row>
        <row r="2270">
          <cell r="B2270" t="str">
            <v>Male</v>
          </cell>
          <cell r="F2270">
            <v>15</v>
          </cell>
          <cell r="G2270">
            <v>40.6</v>
          </cell>
          <cell r="H2270">
            <v>10.8</v>
          </cell>
          <cell r="I2270">
            <v>57.8</v>
          </cell>
          <cell r="J2270">
            <v>6</v>
          </cell>
          <cell r="K2270">
            <v>15</v>
          </cell>
          <cell r="L2270">
            <v>175.26</v>
          </cell>
          <cell r="M2270">
            <v>10</v>
          </cell>
          <cell r="N2270">
            <v>58.5</v>
          </cell>
          <cell r="O2270">
            <v>4.5</v>
          </cell>
          <cell r="P2270">
            <v>60.9</v>
          </cell>
          <cell r="S2270">
            <v>40.700000000000003</v>
          </cell>
          <cell r="U2270">
            <v>2</v>
          </cell>
        </row>
        <row r="2271">
          <cell r="B2271" t="str">
            <v>Female</v>
          </cell>
          <cell r="F2271">
            <v>10</v>
          </cell>
          <cell r="G2271">
            <v>21.8</v>
          </cell>
          <cell r="H2271">
            <v>3</v>
          </cell>
          <cell r="I2271">
            <v>73.599999999999994</v>
          </cell>
          <cell r="J2271">
            <v>4</v>
          </cell>
          <cell r="K2271">
            <v>7</v>
          </cell>
          <cell r="L2271">
            <v>105.95</v>
          </cell>
          <cell r="M2271">
            <v>45</v>
          </cell>
          <cell r="N2271">
            <v>75.2</v>
          </cell>
          <cell r="O2271">
            <v>3.4</v>
          </cell>
          <cell r="P2271">
            <v>5.6</v>
          </cell>
          <cell r="S2271">
            <v>17.3</v>
          </cell>
          <cell r="T2271">
            <v>13.6</v>
          </cell>
          <cell r="U2271">
            <v>3</v>
          </cell>
        </row>
        <row r="2272">
          <cell r="B2272" t="str">
            <v>Female</v>
          </cell>
          <cell r="F2272">
            <v>0</v>
          </cell>
          <cell r="H2272">
            <v>3.5</v>
          </cell>
          <cell r="I2272">
            <v>88.4</v>
          </cell>
          <cell r="J2272">
            <v>0</v>
          </cell>
          <cell r="K2272" t="str">
            <v>11.700000000000001</v>
          </cell>
          <cell r="L2272">
            <v>103.65</v>
          </cell>
          <cell r="M2272">
            <v>28</v>
          </cell>
          <cell r="N2272">
            <v>92.28</v>
          </cell>
          <cell r="O2272">
            <v>15</v>
          </cell>
          <cell r="S2272">
            <v>16.600000000000001</v>
          </cell>
          <cell r="T2272">
            <v>9</v>
          </cell>
          <cell r="U2272">
            <v>1</v>
          </cell>
        </row>
        <row r="2273">
          <cell r="B2273" t="str">
            <v>Male</v>
          </cell>
          <cell r="F2273">
            <v>0</v>
          </cell>
          <cell r="G2273">
            <v>16.899999999999999</v>
          </cell>
          <cell r="H2273">
            <v>3.4</v>
          </cell>
          <cell r="I2273">
            <v>93.9</v>
          </cell>
          <cell r="K2273">
            <v>7</v>
          </cell>
          <cell r="L2273">
            <v>148.35</v>
          </cell>
          <cell r="M2273">
            <v>17</v>
          </cell>
          <cell r="N2273">
            <v>62.3</v>
          </cell>
          <cell r="O2273">
            <v>6.5</v>
          </cell>
          <cell r="S2273">
            <v>15.8</v>
          </cell>
          <cell r="T2273">
            <v>1</v>
          </cell>
          <cell r="U2273">
            <v>3</v>
          </cell>
        </row>
        <row r="2274">
          <cell r="B2274" t="str">
            <v>Male</v>
          </cell>
          <cell r="F2274">
            <v>12</v>
          </cell>
          <cell r="G2274">
            <v>21.4</v>
          </cell>
          <cell r="H2274">
            <v>6.7</v>
          </cell>
          <cell r="I2274">
            <v>79.900000000000006</v>
          </cell>
          <cell r="J2274">
            <v>0</v>
          </cell>
          <cell r="K2274">
            <v>5.2</v>
          </cell>
          <cell r="L2274">
            <v>105.78</v>
          </cell>
          <cell r="M2274">
            <v>2</v>
          </cell>
          <cell r="N2274">
            <v>11.16</v>
          </cell>
          <cell r="O2274">
            <v>1.7</v>
          </cell>
          <cell r="P2274">
            <v>22.8</v>
          </cell>
          <cell r="S2274">
            <v>16.2</v>
          </cell>
          <cell r="U2274">
            <v>3</v>
          </cell>
        </row>
        <row r="2275">
          <cell r="B2275" t="str">
            <v>Male</v>
          </cell>
          <cell r="F2275">
            <v>7</v>
          </cell>
          <cell r="G2275">
            <v>10.3</v>
          </cell>
          <cell r="H2275">
            <v>4</v>
          </cell>
          <cell r="I2275">
            <v>89.4</v>
          </cell>
          <cell r="J2275">
            <v>3</v>
          </cell>
          <cell r="K2275">
            <v>5</v>
          </cell>
          <cell r="L2275">
            <v>95.32</v>
          </cell>
          <cell r="M2275">
            <v>13</v>
          </cell>
          <cell r="N2275">
            <v>28.2</v>
          </cell>
          <cell r="O2275">
            <v>10.9</v>
          </cell>
          <cell r="P2275">
            <v>20.399999999999999</v>
          </cell>
          <cell r="S2275">
            <v>10.199999999999999</v>
          </cell>
          <cell r="T2275">
            <v>13</v>
          </cell>
          <cell r="U2275">
            <v>3</v>
          </cell>
        </row>
        <row r="2276">
          <cell r="B2276" t="str">
            <v>Male</v>
          </cell>
          <cell r="F2276">
            <v>12</v>
          </cell>
          <cell r="G2276">
            <v>26.4</v>
          </cell>
          <cell r="H2276">
            <v>9.3000000000000007</v>
          </cell>
          <cell r="I2276">
            <v>61</v>
          </cell>
          <cell r="K2276">
            <v>13</v>
          </cell>
          <cell r="L2276">
            <v>103.32</v>
          </cell>
          <cell r="M2276">
            <v>44</v>
          </cell>
          <cell r="N2276">
            <v>57.7</v>
          </cell>
          <cell r="O2276">
            <v>2.7</v>
          </cell>
          <cell r="P2276">
            <v>2</v>
          </cell>
          <cell r="S2276">
            <v>64.3</v>
          </cell>
          <cell r="T2276">
            <v>22.8</v>
          </cell>
          <cell r="U2276">
            <v>2</v>
          </cell>
        </row>
        <row r="2277">
          <cell r="B2277" t="str">
            <v>Female</v>
          </cell>
          <cell r="F2277">
            <v>22</v>
          </cell>
          <cell r="G2277">
            <v>41</v>
          </cell>
          <cell r="H2277">
            <v>11.5</v>
          </cell>
          <cell r="I2277">
            <v>55.2</v>
          </cell>
          <cell r="K2277">
            <v>19</v>
          </cell>
          <cell r="L2277">
            <v>119.8</v>
          </cell>
          <cell r="M2277">
            <v>67</v>
          </cell>
          <cell r="N2277">
            <v>19.2</v>
          </cell>
          <cell r="O2277">
            <v>1.6</v>
          </cell>
          <cell r="P2277">
            <v>23.6</v>
          </cell>
          <cell r="S2277">
            <v>40.1</v>
          </cell>
          <cell r="T2277">
            <v>31</v>
          </cell>
        </row>
        <row r="2278">
          <cell r="B2278" t="str">
            <v>Female</v>
          </cell>
          <cell r="F2278">
            <v>10</v>
          </cell>
          <cell r="G2278">
            <v>36.9</v>
          </cell>
          <cell r="H2278">
            <v>8.1</v>
          </cell>
          <cell r="I2278">
            <v>58.5</v>
          </cell>
          <cell r="J2278">
            <v>6</v>
          </cell>
          <cell r="K2278">
            <v>20</v>
          </cell>
          <cell r="L2278">
            <v>108.58</v>
          </cell>
          <cell r="M2278">
            <v>89</v>
          </cell>
          <cell r="N2278">
            <v>12.3</v>
          </cell>
          <cell r="O2278">
            <v>14.3</v>
          </cell>
          <cell r="P2278">
            <v>39.700000000000003</v>
          </cell>
          <cell r="S2278">
            <v>41.1</v>
          </cell>
          <cell r="T2278">
            <v>22.2</v>
          </cell>
          <cell r="U2278">
            <v>1</v>
          </cell>
        </row>
        <row r="2279">
          <cell r="B2279" t="str">
            <v>Male</v>
          </cell>
          <cell r="F2279">
            <v>7</v>
          </cell>
          <cell r="G2279">
            <v>40.1</v>
          </cell>
          <cell r="H2279">
            <v>11.9</v>
          </cell>
          <cell r="I2279">
            <v>69.2</v>
          </cell>
          <cell r="J2279">
            <v>3</v>
          </cell>
          <cell r="K2279">
            <v>8</v>
          </cell>
          <cell r="L2279">
            <v>105.03</v>
          </cell>
          <cell r="M2279">
            <v>1</v>
          </cell>
          <cell r="N2279">
            <v>14.7</v>
          </cell>
          <cell r="O2279">
            <v>14.6</v>
          </cell>
          <cell r="P2279">
            <v>9.1</v>
          </cell>
          <cell r="S2279">
            <v>31.9</v>
          </cell>
          <cell r="T2279">
            <v>18.100000000000001</v>
          </cell>
          <cell r="U2279">
            <v>4</v>
          </cell>
        </row>
        <row r="2280">
          <cell r="B2280" t="str">
            <v>Male</v>
          </cell>
          <cell r="F2280">
            <v>12</v>
          </cell>
          <cell r="G2280">
            <v>27</v>
          </cell>
          <cell r="H2280">
            <v>7.7</v>
          </cell>
          <cell r="I2280">
            <v>67.599999999999994</v>
          </cell>
          <cell r="K2280">
            <v>12</v>
          </cell>
          <cell r="L2280">
            <v>89.03</v>
          </cell>
          <cell r="M2280">
            <v>17</v>
          </cell>
          <cell r="O2280">
            <v>12.5</v>
          </cell>
          <cell r="P2280">
            <v>33.9</v>
          </cell>
          <cell r="T2280">
            <v>14.3</v>
          </cell>
          <cell r="U2280">
            <v>1</v>
          </cell>
        </row>
        <row r="2281">
          <cell r="B2281" t="str">
            <v>Female</v>
          </cell>
          <cell r="F2281">
            <v>23</v>
          </cell>
          <cell r="G2281">
            <v>34.700000000000003</v>
          </cell>
          <cell r="H2281">
            <v>15.2</v>
          </cell>
          <cell r="I2281">
            <v>35.1</v>
          </cell>
          <cell r="J2281">
            <v>9</v>
          </cell>
          <cell r="K2281">
            <v>20</v>
          </cell>
          <cell r="L2281">
            <v>127.97</v>
          </cell>
          <cell r="M2281">
            <v>34</v>
          </cell>
          <cell r="N2281">
            <v>13.1</v>
          </cell>
          <cell r="O2281">
            <v>0.9</v>
          </cell>
          <cell r="P2281">
            <v>40.5</v>
          </cell>
          <cell r="S2281">
            <v>24.4</v>
          </cell>
          <cell r="U2281">
            <v>4</v>
          </cell>
        </row>
        <row r="2282">
          <cell r="B2282" t="str">
            <v>Male</v>
          </cell>
          <cell r="F2282">
            <v>10</v>
          </cell>
          <cell r="G2282">
            <v>27.5</v>
          </cell>
          <cell r="H2282">
            <v>7.6</v>
          </cell>
          <cell r="I2282">
            <v>75.7</v>
          </cell>
          <cell r="J2282">
            <v>4</v>
          </cell>
          <cell r="K2282">
            <v>8</v>
          </cell>
          <cell r="L2282">
            <v>111.15</v>
          </cell>
          <cell r="M2282">
            <v>31</v>
          </cell>
          <cell r="N2282">
            <v>40.4</v>
          </cell>
          <cell r="P2282">
            <v>16.100000000000001</v>
          </cell>
          <cell r="S2282">
            <v>33.6</v>
          </cell>
          <cell r="T2282">
            <v>18.600000000000001</v>
          </cell>
          <cell r="U2282">
            <v>2</v>
          </cell>
        </row>
        <row r="2283">
          <cell r="B2283" t="str">
            <v>Female</v>
          </cell>
          <cell r="F2283">
            <v>4</v>
          </cell>
          <cell r="G2283">
            <v>12.4</v>
          </cell>
          <cell r="H2283">
            <v>5.0999999999999996</v>
          </cell>
          <cell r="I2283">
            <v>56.4</v>
          </cell>
          <cell r="J2283">
            <v>3</v>
          </cell>
          <cell r="K2283">
            <v>6</v>
          </cell>
          <cell r="L2283">
            <v>109.39</v>
          </cell>
          <cell r="M2283">
            <v>22</v>
          </cell>
          <cell r="N2283">
            <v>44.6</v>
          </cell>
          <cell r="O2283">
            <v>3.7</v>
          </cell>
          <cell r="P2283">
            <v>22.4</v>
          </cell>
          <cell r="S2283">
            <v>25.3</v>
          </cell>
          <cell r="T2283">
            <v>14.3</v>
          </cell>
        </row>
        <row r="2284">
          <cell r="B2284" t="str">
            <v>Male</v>
          </cell>
          <cell r="F2284">
            <v>3</v>
          </cell>
          <cell r="G2284">
            <v>18.8</v>
          </cell>
          <cell r="H2284">
            <v>2.6</v>
          </cell>
          <cell r="I2284">
            <v>68.400000000000006</v>
          </cell>
          <cell r="J2284">
            <v>1</v>
          </cell>
          <cell r="K2284">
            <v>9</v>
          </cell>
          <cell r="L2284">
            <v>97.09</v>
          </cell>
          <cell r="M2284">
            <v>5</v>
          </cell>
          <cell r="N2284">
            <v>70.8</v>
          </cell>
          <cell r="O2284">
            <v>3</v>
          </cell>
          <cell r="P2284">
            <v>17.3</v>
          </cell>
          <cell r="S2284">
            <v>12.1</v>
          </cell>
          <cell r="T2284">
            <v>8.1</v>
          </cell>
          <cell r="U2284">
            <v>3</v>
          </cell>
        </row>
        <row r="2285">
          <cell r="B2285" t="str">
            <v>Female</v>
          </cell>
          <cell r="F2285">
            <v>32</v>
          </cell>
          <cell r="G2285">
            <v>46.2</v>
          </cell>
          <cell r="H2285">
            <v>14.1</v>
          </cell>
          <cell r="I2285">
            <v>15</v>
          </cell>
          <cell r="J2285">
            <v>8</v>
          </cell>
          <cell r="K2285">
            <v>20</v>
          </cell>
          <cell r="L2285">
            <v>80.569999999999993</v>
          </cell>
          <cell r="M2285">
            <v>13</v>
          </cell>
          <cell r="N2285">
            <v>22.8</v>
          </cell>
          <cell r="P2285">
            <v>40</v>
          </cell>
          <cell r="S2285">
            <v>68.599999999999994</v>
          </cell>
          <cell r="T2285">
            <v>41.2</v>
          </cell>
          <cell r="U2285">
            <v>3</v>
          </cell>
        </row>
        <row r="2286">
          <cell r="B2286" t="str">
            <v>Male</v>
          </cell>
          <cell r="F2286">
            <v>14</v>
          </cell>
          <cell r="G2286">
            <v>27.2</v>
          </cell>
          <cell r="H2286">
            <v>9.5</v>
          </cell>
          <cell r="I2286">
            <v>68.2</v>
          </cell>
          <cell r="J2286">
            <v>3</v>
          </cell>
          <cell r="K2286">
            <v>13</v>
          </cell>
          <cell r="L2286">
            <v>140.32</v>
          </cell>
          <cell r="M2286">
            <v>23</v>
          </cell>
          <cell r="N2286">
            <v>94.6</v>
          </cell>
          <cell r="O2286">
            <v>14.8</v>
          </cell>
          <cell r="P2286">
            <v>19.600000000000001</v>
          </cell>
          <cell r="S2286">
            <v>38.799999999999997</v>
          </cell>
          <cell r="T2286">
            <v>25.7</v>
          </cell>
          <cell r="U2286">
            <v>3</v>
          </cell>
        </row>
        <row r="2287">
          <cell r="B2287" t="str">
            <v>Male</v>
          </cell>
          <cell r="F2287">
            <v>17</v>
          </cell>
          <cell r="G2287">
            <v>19.2</v>
          </cell>
          <cell r="H2287">
            <v>7.6</v>
          </cell>
          <cell r="I2287">
            <v>68.400000000000006</v>
          </cell>
          <cell r="J2287">
            <v>4</v>
          </cell>
          <cell r="K2287">
            <v>18</v>
          </cell>
          <cell r="L2287">
            <v>88.83</v>
          </cell>
          <cell r="M2287">
            <v>44</v>
          </cell>
          <cell r="O2287">
            <v>3.1</v>
          </cell>
          <cell r="P2287">
            <v>23.1</v>
          </cell>
          <cell r="T2287">
            <v>15.3</v>
          </cell>
          <cell r="U2287">
            <v>2</v>
          </cell>
        </row>
        <row r="2288">
          <cell r="B2288" t="str">
            <v>Female</v>
          </cell>
          <cell r="F2288">
            <v>3</v>
          </cell>
          <cell r="G2288">
            <v>11.7</v>
          </cell>
          <cell r="H2288">
            <v>4.5999999999999996</v>
          </cell>
          <cell r="I2288">
            <v>67.900000000000006</v>
          </cell>
          <cell r="J2288">
            <v>1</v>
          </cell>
          <cell r="K2288">
            <v>5</v>
          </cell>
          <cell r="L2288">
            <v>206.29</v>
          </cell>
          <cell r="M2288">
            <v>11</v>
          </cell>
          <cell r="N2288">
            <v>8.9</v>
          </cell>
          <cell r="O2288">
            <v>18.5</v>
          </cell>
          <cell r="S2288">
            <v>14.2</v>
          </cell>
          <cell r="T2288">
            <v>9.9</v>
          </cell>
          <cell r="U2288">
            <v>3</v>
          </cell>
        </row>
        <row r="2289">
          <cell r="B2289" t="str">
            <v>Male</v>
          </cell>
          <cell r="F2289">
            <v>13</v>
          </cell>
          <cell r="G2289">
            <v>30.3</v>
          </cell>
          <cell r="H2289">
            <v>9.6999999999999993</v>
          </cell>
          <cell r="I2289">
            <v>50.3</v>
          </cell>
          <cell r="J2289">
            <v>3</v>
          </cell>
          <cell r="K2289">
            <v>18.2</v>
          </cell>
          <cell r="L2289">
            <v>108.02</v>
          </cell>
          <cell r="M2289">
            <v>8</v>
          </cell>
          <cell r="N2289" t="str">
            <v>77.39999999999999</v>
          </cell>
          <cell r="O2289">
            <v>14.7</v>
          </cell>
          <cell r="P2289">
            <v>30.1</v>
          </cell>
          <cell r="T2289">
            <v>21.4</v>
          </cell>
          <cell r="U2289">
            <v>2</v>
          </cell>
        </row>
        <row r="2290">
          <cell r="B2290" t="str">
            <v>Female</v>
          </cell>
          <cell r="F2290">
            <v>14</v>
          </cell>
          <cell r="G2290">
            <v>35.299999999999997</v>
          </cell>
          <cell r="H2290">
            <v>11.8</v>
          </cell>
          <cell r="I2290">
            <v>55.5</v>
          </cell>
          <cell r="J2290">
            <v>3</v>
          </cell>
          <cell r="K2290">
            <v>9</v>
          </cell>
          <cell r="L2290">
            <v>107.46</v>
          </cell>
          <cell r="M2290">
            <v>6</v>
          </cell>
          <cell r="N2290">
            <v>24.8</v>
          </cell>
          <cell r="O2290">
            <v>1.8</v>
          </cell>
          <cell r="P2290">
            <v>26.7</v>
          </cell>
          <cell r="S2290">
            <v>18.3</v>
          </cell>
          <cell r="T2290">
            <v>25</v>
          </cell>
          <cell r="U2290">
            <v>1</v>
          </cell>
        </row>
        <row r="2291">
          <cell r="B2291" t="str">
            <v>Male</v>
          </cell>
          <cell r="F2291">
            <v>12</v>
          </cell>
          <cell r="G2291">
            <v>30.1</v>
          </cell>
          <cell r="H2291">
            <v>11.8</v>
          </cell>
          <cell r="I2291">
            <v>39</v>
          </cell>
          <cell r="J2291">
            <v>10</v>
          </cell>
          <cell r="K2291">
            <v>13</v>
          </cell>
          <cell r="L2291">
            <v>138.02000000000001</v>
          </cell>
          <cell r="M2291">
            <v>50</v>
          </cell>
          <cell r="N2291">
            <v>17.2</v>
          </cell>
          <cell r="O2291">
            <v>5</v>
          </cell>
          <cell r="P2291">
            <v>22.2</v>
          </cell>
          <cell r="S2291">
            <v>35.200000000000003</v>
          </cell>
          <cell r="T2291">
            <v>21.1</v>
          </cell>
          <cell r="U2291">
            <v>3</v>
          </cell>
        </row>
        <row r="2292">
          <cell r="B2292" t="str">
            <v>Female</v>
          </cell>
          <cell r="F2292">
            <v>9</v>
          </cell>
          <cell r="G2292">
            <v>26.2</v>
          </cell>
          <cell r="H2292">
            <v>5.8</v>
          </cell>
          <cell r="I2292">
            <v>64.5</v>
          </cell>
          <cell r="J2292">
            <v>3</v>
          </cell>
          <cell r="K2292">
            <v>7</v>
          </cell>
          <cell r="L2292">
            <v>87.79</v>
          </cell>
          <cell r="M2292">
            <v>10</v>
          </cell>
          <cell r="O2292">
            <v>7.1</v>
          </cell>
          <cell r="P2292">
            <v>0</v>
          </cell>
          <cell r="S2292">
            <v>31.4</v>
          </cell>
          <cell r="T2292">
            <v>19.3</v>
          </cell>
          <cell r="U2292">
            <v>3</v>
          </cell>
        </row>
        <row r="2293">
          <cell r="B2293" t="str">
            <v>Male</v>
          </cell>
          <cell r="F2293">
            <v>8</v>
          </cell>
          <cell r="G2293">
            <v>19</v>
          </cell>
          <cell r="H2293">
            <v>5.5</v>
          </cell>
          <cell r="I2293">
            <v>69.900000000000006</v>
          </cell>
          <cell r="J2293">
            <v>0</v>
          </cell>
          <cell r="K2293">
            <v>5.2</v>
          </cell>
          <cell r="L2293">
            <v>141.88</v>
          </cell>
          <cell r="M2293">
            <v>6</v>
          </cell>
          <cell r="N2293" t="str">
            <v>59.879999999999995</v>
          </cell>
          <cell r="O2293">
            <v>1.1000000000000001</v>
          </cell>
          <cell r="P2293">
            <v>7</v>
          </cell>
          <cell r="S2293">
            <v>36.6</v>
          </cell>
          <cell r="T2293">
            <v>15.3</v>
          </cell>
          <cell r="U2293">
            <v>3</v>
          </cell>
        </row>
        <row r="2294">
          <cell r="B2294" t="str">
            <v>Male</v>
          </cell>
          <cell r="F2294">
            <v>8</v>
          </cell>
          <cell r="G2294">
            <v>19.3</v>
          </cell>
          <cell r="H2294">
            <v>3.8</v>
          </cell>
          <cell r="I2294">
            <v>89.8</v>
          </cell>
          <cell r="J2294">
            <v>2</v>
          </cell>
          <cell r="K2294">
            <v>12</v>
          </cell>
          <cell r="L2294">
            <v>138.13999999999999</v>
          </cell>
          <cell r="M2294">
            <v>17</v>
          </cell>
          <cell r="N2294">
            <v>35.1</v>
          </cell>
          <cell r="O2294">
            <v>7.3</v>
          </cell>
          <cell r="P2294">
            <v>18.2</v>
          </cell>
          <cell r="T2294">
            <v>12.4</v>
          </cell>
          <cell r="U2294">
            <v>1</v>
          </cell>
        </row>
        <row r="2295">
          <cell r="B2295" t="str">
            <v>Female</v>
          </cell>
          <cell r="F2295">
            <v>0</v>
          </cell>
          <cell r="H2295">
            <v>6.5</v>
          </cell>
          <cell r="I2295">
            <v>90.8</v>
          </cell>
          <cell r="J2295">
            <v>1</v>
          </cell>
          <cell r="K2295" t="str">
            <v>3.9000000000000004</v>
          </cell>
          <cell r="L2295">
            <v>126.2</v>
          </cell>
          <cell r="M2295">
            <v>3</v>
          </cell>
          <cell r="N2295">
            <v>68.16</v>
          </cell>
          <cell r="O2295">
            <v>5</v>
          </cell>
          <cell r="P2295">
            <v>0</v>
          </cell>
          <cell r="S2295">
            <v>10.1</v>
          </cell>
          <cell r="T2295">
            <v>10.9</v>
          </cell>
          <cell r="U2295">
            <v>3</v>
          </cell>
        </row>
        <row r="2296">
          <cell r="B2296" t="str">
            <v>Female</v>
          </cell>
          <cell r="F2296">
            <v>9</v>
          </cell>
          <cell r="G2296">
            <v>23.2</v>
          </cell>
          <cell r="H2296">
            <v>11.2</v>
          </cell>
          <cell r="I2296">
            <v>64.099999999999994</v>
          </cell>
          <cell r="J2296">
            <v>4</v>
          </cell>
          <cell r="K2296" t="str">
            <v>15.600000000000001</v>
          </cell>
          <cell r="L2296">
            <v>66.13</v>
          </cell>
          <cell r="M2296">
            <v>2</v>
          </cell>
          <cell r="N2296">
            <v>90.84</v>
          </cell>
          <cell r="O2296">
            <v>12.3</v>
          </cell>
          <cell r="P2296">
            <v>27.2</v>
          </cell>
          <cell r="S2296">
            <v>38.5</v>
          </cell>
          <cell r="T2296">
            <v>24</v>
          </cell>
          <cell r="U2296">
            <v>4</v>
          </cell>
        </row>
        <row r="2297">
          <cell r="B2297" t="str">
            <v>Male</v>
          </cell>
          <cell r="F2297">
            <v>9</v>
          </cell>
          <cell r="H2297">
            <v>6</v>
          </cell>
          <cell r="I2297">
            <v>71.099999999999994</v>
          </cell>
          <cell r="J2297">
            <v>4</v>
          </cell>
          <cell r="K2297">
            <v>10</v>
          </cell>
          <cell r="L2297">
            <v>85.06</v>
          </cell>
          <cell r="N2297">
            <v>24.7</v>
          </cell>
          <cell r="O2297">
            <v>9.6</v>
          </cell>
          <cell r="P2297">
            <v>16.899999999999999</v>
          </cell>
          <cell r="S2297">
            <v>35.9</v>
          </cell>
          <cell r="U2297">
            <v>1</v>
          </cell>
        </row>
        <row r="2298">
          <cell r="B2298" t="str">
            <v>Female</v>
          </cell>
          <cell r="F2298">
            <v>26</v>
          </cell>
          <cell r="G2298">
            <v>42.8</v>
          </cell>
          <cell r="H2298">
            <v>14.7</v>
          </cell>
          <cell r="I2298">
            <v>18.5</v>
          </cell>
          <cell r="J2298">
            <v>9</v>
          </cell>
          <cell r="K2298" t="str">
            <v>31.200000000000003</v>
          </cell>
          <cell r="L2298">
            <v>179.54</v>
          </cell>
          <cell r="M2298">
            <v>101</v>
          </cell>
          <cell r="N2298" t="str">
            <v>57.599999999999994</v>
          </cell>
          <cell r="O2298">
            <v>8.8000000000000007</v>
          </cell>
          <cell r="P2298">
            <v>40.299999999999997</v>
          </cell>
          <cell r="S2298">
            <v>74.2</v>
          </cell>
          <cell r="T2298">
            <v>37.299999999999997</v>
          </cell>
          <cell r="U2298">
            <v>1</v>
          </cell>
        </row>
        <row r="2299">
          <cell r="B2299" t="str">
            <v>Female</v>
          </cell>
          <cell r="F2299">
            <v>6</v>
          </cell>
          <cell r="G2299">
            <v>16.2</v>
          </cell>
          <cell r="H2299">
            <v>9</v>
          </cell>
          <cell r="I2299">
            <v>64.3</v>
          </cell>
          <cell r="J2299">
            <v>7</v>
          </cell>
          <cell r="K2299">
            <v>10.4</v>
          </cell>
          <cell r="L2299">
            <v>134.94999999999999</v>
          </cell>
          <cell r="M2299">
            <v>15</v>
          </cell>
          <cell r="N2299">
            <v>41.76</v>
          </cell>
          <cell r="O2299">
            <v>3</v>
          </cell>
          <cell r="S2299">
            <v>0</v>
          </cell>
          <cell r="T2299">
            <v>15.6</v>
          </cell>
          <cell r="U2299">
            <v>3</v>
          </cell>
        </row>
        <row r="2300">
          <cell r="B2300" t="str">
            <v>Male</v>
          </cell>
          <cell r="F2300">
            <v>22</v>
          </cell>
          <cell r="G2300">
            <v>23.3</v>
          </cell>
          <cell r="H2300">
            <v>9.6999999999999993</v>
          </cell>
          <cell r="I2300">
            <v>65.099999999999994</v>
          </cell>
          <cell r="J2300">
            <v>8</v>
          </cell>
          <cell r="K2300">
            <v>13</v>
          </cell>
          <cell r="L2300">
            <v>122.58</v>
          </cell>
          <cell r="M2300">
            <v>29</v>
          </cell>
          <cell r="N2300">
            <v>57.9</v>
          </cell>
          <cell r="O2300">
            <v>1.6</v>
          </cell>
          <cell r="P2300">
            <v>28.2</v>
          </cell>
          <cell r="S2300">
            <v>0.8</v>
          </cell>
          <cell r="T2300">
            <v>12.4</v>
          </cell>
          <cell r="U2300">
            <v>2</v>
          </cell>
        </row>
        <row r="2301">
          <cell r="B2301" t="str">
            <v>Female</v>
          </cell>
          <cell r="F2301">
            <v>2</v>
          </cell>
          <cell r="G2301">
            <v>7.8</v>
          </cell>
          <cell r="H2301">
            <v>5.5</v>
          </cell>
          <cell r="I2301">
            <v>83.2</v>
          </cell>
          <cell r="J2301">
            <v>0</v>
          </cell>
          <cell r="K2301">
            <v>5</v>
          </cell>
          <cell r="L2301">
            <v>123.4</v>
          </cell>
          <cell r="M2301">
            <v>16</v>
          </cell>
          <cell r="N2301">
            <v>35</v>
          </cell>
          <cell r="O2301">
            <v>4.4000000000000004</v>
          </cell>
          <cell r="S2301">
            <v>19.600000000000001</v>
          </cell>
          <cell r="T2301">
            <v>7.9</v>
          </cell>
          <cell r="U2301">
            <v>2</v>
          </cell>
        </row>
        <row r="2302">
          <cell r="B2302" t="str">
            <v>Female</v>
          </cell>
          <cell r="F2302">
            <v>2</v>
          </cell>
          <cell r="G2302">
            <v>22</v>
          </cell>
          <cell r="H2302">
            <v>5.9</v>
          </cell>
          <cell r="I2302">
            <v>59.4</v>
          </cell>
          <cell r="J2302">
            <v>3</v>
          </cell>
          <cell r="K2302" t="str">
            <v>7.800000000000001</v>
          </cell>
          <cell r="L2302">
            <v>176.62</v>
          </cell>
          <cell r="M2302">
            <v>152</v>
          </cell>
          <cell r="N2302">
            <v>19.559999999999999</v>
          </cell>
          <cell r="O2302">
            <v>23.8</v>
          </cell>
          <cell r="P2302">
            <v>23.3</v>
          </cell>
          <cell r="S2302">
            <v>14.8</v>
          </cell>
          <cell r="T2302">
            <v>9</v>
          </cell>
        </row>
        <row r="2303">
          <cell r="B2303" t="str">
            <v>Female</v>
          </cell>
          <cell r="F2303">
            <v>7</v>
          </cell>
          <cell r="G2303">
            <v>13.5</v>
          </cell>
          <cell r="H2303">
            <v>1.7</v>
          </cell>
          <cell r="I2303">
            <v>51.9</v>
          </cell>
          <cell r="J2303">
            <v>4</v>
          </cell>
          <cell r="K2303">
            <v>6</v>
          </cell>
          <cell r="L2303">
            <v>69.97</v>
          </cell>
          <cell r="M2303">
            <v>3</v>
          </cell>
          <cell r="N2303">
            <v>17.8</v>
          </cell>
          <cell r="O2303">
            <v>1.7</v>
          </cell>
          <cell r="P2303">
            <v>7.2</v>
          </cell>
          <cell r="T2303">
            <v>16</v>
          </cell>
          <cell r="U2303">
            <v>3</v>
          </cell>
        </row>
        <row r="2304">
          <cell r="B2304" t="str">
            <v>Female</v>
          </cell>
          <cell r="F2304">
            <v>5</v>
          </cell>
          <cell r="G2304">
            <v>9</v>
          </cell>
          <cell r="I2304">
            <v>57.1</v>
          </cell>
          <cell r="K2304">
            <v>13</v>
          </cell>
          <cell r="L2304">
            <v>142.91</v>
          </cell>
          <cell r="M2304">
            <v>19</v>
          </cell>
          <cell r="N2304" t="str">
            <v>58.559999999999995</v>
          </cell>
          <cell r="O2304">
            <v>13.2</v>
          </cell>
          <cell r="P2304">
            <v>7.7</v>
          </cell>
          <cell r="S2304">
            <v>27</v>
          </cell>
          <cell r="T2304">
            <v>14.1</v>
          </cell>
          <cell r="U2304">
            <v>3</v>
          </cell>
        </row>
        <row r="2305">
          <cell r="B2305" t="str">
            <v>Female</v>
          </cell>
          <cell r="F2305">
            <v>1</v>
          </cell>
          <cell r="G2305">
            <v>31.9</v>
          </cell>
          <cell r="H2305">
            <v>9.6</v>
          </cell>
          <cell r="I2305">
            <v>64.2</v>
          </cell>
          <cell r="J2305">
            <v>8</v>
          </cell>
          <cell r="K2305">
            <v>19</v>
          </cell>
          <cell r="L2305">
            <v>162.66999999999999</v>
          </cell>
          <cell r="M2305">
            <v>85</v>
          </cell>
          <cell r="N2305">
            <v>19.2</v>
          </cell>
          <cell r="O2305">
            <v>9.1999999999999993</v>
          </cell>
          <cell r="S2305">
            <v>44.9</v>
          </cell>
          <cell r="T2305">
            <v>28.3</v>
          </cell>
          <cell r="U2305">
            <v>1</v>
          </cell>
        </row>
        <row r="2306">
          <cell r="B2306" t="str">
            <v>Male</v>
          </cell>
          <cell r="F2306">
            <v>17</v>
          </cell>
          <cell r="G2306">
            <v>26</v>
          </cell>
          <cell r="H2306">
            <v>12.5</v>
          </cell>
          <cell r="I2306">
            <v>41.8</v>
          </cell>
          <cell r="J2306">
            <v>11</v>
          </cell>
          <cell r="K2306" t="str">
            <v>16.900000000000002</v>
          </cell>
          <cell r="L2306">
            <v>113.65</v>
          </cell>
          <cell r="M2306">
            <v>4</v>
          </cell>
          <cell r="N2306">
            <v>51.12</v>
          </cell>
          <cell r="O2306">
            <v>14.1</v>
          </cell>
          <cell r="P2306">
            <v>46.6</v>
          </cell>
          <cell r="T2306">
            <v>25.1</v>
          </cell>
          <cell r="U2306">
            <v>2</v>
          </cell>
        </row>
        <row r="2307">
          <cell r="B2307" t="str">
            <v>Female</v>
          </cell>
          <cell r="F2307">
            <v>4</v>
          </cell>
          <cell r="G2307">
            <v>32.4</v>
          </cell>
          <cell r="H2307">
            <v>6.3</v>
          </cell>
          <cell r="I2307">
            <v>71.7</v>
          </cell>
          <cell r="J2307">
            <v>4</v>
          </cell>
          <cell r="K2307">
            <v>8</v>
          </cell>
          <cell r="L2307">
            <v>122.94</v>
          </cell>
          <cell r="M2307">
            <v>51</v>
          </cell>
          <cell r="N2307">
            <v>34.1</v>
          </cell>
          <cell r="O2307">
            <v>3.5</v>
          </cell>
          <cell r="S2307">
            <v>30.8</v>
          </cell>
          <cell r="T2307">
            <v>12.7</v>
          </cell>
          <cell r="U2307">
            <v>1</v>
          </cell>
        </row>
        <row r="2308">
          <cell r="B2308" t="str">
            <v>Male</v>
          </cell>
          <cell r="F2308">
            <v>6</v>
          </cell>
          <cell r="G2308">
            <v>31.5</v>
          </cell>
          <cell r="H2308">
            <v>8.4</v>
          </cell>
          <cell r="I2308">
            <v>74.900000000000006</v>
          </cell>
          <cell r="J2308">
            <v>2</v>
          </cell>
          <cell r="K2308">
            <v>12</v>
          </cell>
          <cell r="L2308">
            <v>257.48</v>
          </cell>
          <cell r="M2308">
            <v>10</v>
          </cell>
          <cell r="N2308">
            <v>76.599999999999994</v>
          </cell>
          <cell r="O2308">
            <v>12.5</v>
          </cell>
          <cell r="P2308">
            <v>24.6</v>
          </cell>
          <cell r="S2308">
            <v>34.700000000000003</v>
          </cell>
          <cell r="T2308">
            <v>16.7</v>
          </cell>
          <cell r="U2308">
            <v>3</v>
          </cell>
        </row>
        <row r="2309">
          <cell r="B2309" t="str">
            <v>Female</v>
          </cell>
          <cell r="F2309">
            <v>10</v>
          </cell>
          <cell r="G2309">
            <v>16.3</v>
          </cell>
          <cell r="H2309">
            <v>7.5</v>
          </cell>
          <cell r="I2309">
            <v>76.3</v>
          </cell>
          <cell r="J2309">
            <v>3</v>
          </cell>
          <cell r="K2309">
            <v>10.4</v>
          </cell>
          <cell r="L2309">
            <v>107.24</v>
          </cell>
          <cell r="M2309">
            <v>15</v>
          </cell>
          <cell r="N2309">
            <v>22.56</v>
          </cell>
          <cell r="O2309">
            <v>2</v>
          </cell>
          <cell r="P2309">
            <v>0</v>
          </cell>
          <cell r="S2309">
            <v>12.5</v>
          </cell>
          <cell r="T2309">
            <v>9.5</v>
          </cell>
          <cell r="U2309">
            <v>1</v>
          </cell>
        </row>
        <row r="2310">
          <cell r="B2310" t="str">
            <v>Female</v>
          </cell>
          <cell r="F2310">
            <v>12</v>
          </cell>
          <cell r="G2310">
            <v>28.4</v>
          </cell>
          <cell r="H2310">
            <v>8.3000000000000007</v>
          </cell>
          <cell r="I2310">
            <v>83.2</v>
          </cell>
          <cell r="J2310">
            <v>8</v>
          </cell>
          <cell r="K2310">
            <v>14.3</v>
          </cell>
          <cell r="L2310">
            <v>140.88999999999999</v>
          </cell>
          <cell r="M2310">
            <v>18</v>
          </cell>
          <cell r="N2310">
            <v>28.2</v>
          </cell>
          <cell r="O2310">
            <v>0.6</v>
          </cell>
          <cell r="P2310">
            <v>3.5</v>
          </cell>
          <cell r="S2310">
            <v>0</v>
          </cell>
          <cell r="T2310">
            <v>22</v>
          </cell>
          <cell r="U2310">
            <v>3</v>
          </cell>
        </row>
        <row r="2311">
          <cell r="B2311" t="str">
            <v>Female</v>
          </cell>
          <cell r="F2311">
            <v>3</v>
          </cell>
          <cell r="G2311">
            <v>15.3</v>
          </cell>
          <cell r="H2311">
            <v>4.4000000000000004</v>
          </cell>
          <cell r="I2311">
            <v>78.3</v>
          </cell>
          <cell r="J2311">
            <v>1</v>
          </cell>
          <cell r="K2311">
            <v>6</v>
          </cell>
          <cell r="L2311">
            <v>240.34</v>
          </cell>
          <cell r="M2311">
            <v>78</v>
          </cell>
          <cell r="N2311">
            <v>57.9</v>
          </cell>
          <cell r="O2311">
            <v>5.2</v>
          </cell>
          <cell r="P2311">
            <v>0.6</v>
          </cell>
          <cell r="S2311">
            <v>21.3</v>
          </cell>
          <cell r="U2311">
            <v>2</v>
          </cell>
        </row>
        <row r="2312">
          <cell r="B2312" t="str">
            <v>Female</v>
          </cell>
          <cell r="F2312">
            <v>5</v>
          </cell>
          <cell r="G2312">
            <v>29.3</v>
          </cell>
          <cell r="I2312">
            <v>67.099999999999994</v>
          </cell>
          <cell r="J2312">
            <v>7</v>
          </cell>
          <cell r="K2312">
            <v>9</v>
          </cell>
          <cell r="L2312">
            <v>132.22</v>
          </cell>
          <cell r="M2312">
            <v>28</v>
          </cell>
          <cell r="N2312">
            <v>49.6</v>
          </cell>
          <cell r="O2312">
            <v>4.9000000000000004</v>
          </cell>
          <cell r="P2312">
            <v>10.9</v>
          </cell>
          <cell r="T2312">
            <v>15.3</v>
          </cell>
          <cell r="U2312">
            <v>1</v>
          </cell>
        </row>
        <row r="2313">
          <cell r="B2313" t="str">
            <v>Male</v>
          </cell>
          <cell r="F2313">
            <v>11</v>
          </cell>
          <cell r="G2313">
            <v>33.799999999999997</v>
          </cell>
          <cell r="H2313">
            <v>8.5</v>
          </cell>
          <cell r="I2313">
            <v>48.8</v>
          </cell>
          <cell r="J2313">
            <v>9</v>
          </cell>
          <cell r="K2313">
            <v>21</v>
          </cell>
          <cell r="L2313">
            <v>129.04</v>
          </cell>
          <cell r="M2313">
            <v>104</v>
          </cell>
          <cell r="N2313">
            <v>19.899999999999999</v>
          </cell>
          <cell r="O2313">
            <v>8.9</v>
          </cell>
          <cell r="P2313">
            <v>41.1</v>
          </cell>
          <cell r="S2313">
            <v>33.5</v>
          </cell>
        </row>
        <row r="2314">
          <cell r="B2314" t="str">
            <v>Male</v>
          </cell>
          <cell r="F2314">
            <v>18</v>
          </cell>
          <cell r="G2314">
            <v>33.5</v>
          </cell>
          <cell r="H2314">
            <v>7.8</v>
          </cell>
          <cell r="I2314">
            <v>68.7</v>
          </cell>
          <cell r="J2314">
            <v>3</v>
          </cell>
          <cell r="K2314">
            <v>15</v>
          </cell>
          <cell r="L2314">
            <v>104.76</v>
          </cell>
          <cell r="M2314">
            <v>0</v>
          </cell>
          <cell r="N2314">
            <v>47.6</v>
          </cell>
          <cell r="O2314">
            <v>20.100000000000001</v>
          </cell>
          <cell r="P2314">
            <v>50.7</v>
          </cell>
          <cell r="S2314">
            <v>50.5</v>
          </cell>
        </row>
        <row r="2315">
          <cell r="B2315" t="str">
            <v>Female</v>
          </cell>
          <cell r="F2315">
            <v>15</v>
          </cell>
          <cell r="G2315">
            <v>29</v>
          </cell>
          <cell r="H2315">
            <v>11.1</v>
          </cell>
          <cell r="I2315">
            <v>72.7</v>
          </cell>
          <cell r="J2315">
            <v>3</v>
          </cell>
          <cell r="K2315">
            <v>13</v>
          </cell>
          <cell r="L2315">
            <v>123.14</v>
          </cell>
          <cell r="M2315">
            <v>25</v>
          </cell>
          <cell r="O2315">
            <v>9.8000000000000007</v>
          </cell>
          <cell r="P2315">
            <v>30.6</v>
          </cell>
          <cell r="S2315">
            <v>61.6</v>
          </cell>
          <cell r="T2315">
            <v>23.1</v>
          </cell>
          <cell r="U2315">
            <v>2</v>
          </cell>
        </row>
        <row r="2316">
          <cell r="B2316" t="str">
            <v>Female</v>
          </cell>
          <cell r="F2316">
            <v>10</v>
          </cell>
          <cell r="G2316">
            <v>27.2</v>
          </cell>
          <cell r="H2316">
            <v>7.5</v>
          </cell>
          <cell r="I2316">
            <v>78.7</v>
          </cell>
          <cell r="J2316">
            <v>3</v>
          </cell>
          <cell r="K2316">
            <v>18.2</v>
          </cell>
          <cell r="L2316">
            <v>50.17</v>
          </cell>
          <cell r="M2316">
            <v>10</v>
          </cell>
          <cell r="N2316" t="str">
            <v>64.55999999999999</v>
          </cell>
          <cell r="O2316">
            <v>5.7</v>
          </cell>
          <cell r="P2316">
            <v>6.4</v>
          </cell>
          <cell r="S2316">
            <v>79.8</v>
          </cell>
          <cell r="U2316">
            <v>2</v>
          </cell>
        </row>
        <row r="2317">
          <cell r="B2317" t="str">
            <v>Female</v>
          </cell>
          <cell r="F2317">
            <v>10</v>
          </cell>
          <cell r="G2317">
            <v>17.899999999999999</v>
          </cell>
          <cell r="H2317">
            <v>7.9</v>
          </cell>
          <cell r="I2317">
            <v>73.8</v>
          </cell>
          <cell r="J2317">
            <v>2</v>
          </cell>
          <cell r="K2317">
            <v>8</v>
          </cell>
          <cell r="L2317">
            <v>102.33</v>
          </cell>
          <cell r="M2317">
            <v>32</v>
          </cell>
          <cell r="N2317">
            <v>14.6</v>
          </cell>
          <cell r="O2317">
            <v>5.8</v>
          </cell>
          <cell r="P2317">
            <v>17.8</v>
          </cell>
          <cell r="S2317">
            <v>39.4</v>
          </cell>
          <cell r="T2317">
            <v>11.6</v>
          </cell>
          <cell r="U2317">
            <v>3</v>
          </cell>
        </row>
        <row r="2318">
          <cell r="B2318" t="str">
            <v>Female</v>
          </cell>
          <cell r="F2318">
            <v>5</v>
          </cell>
          <cell r="G2318">
            <v>21.7</v>
          </cell>
          <cell r="H2318">
            <v>3.9</v>
          </cell>
          <cell r="I2318">
            <v>73.8</v>
          </cell>
          <cell r="J2318">
            <v>3</v>
          </cell>
          <cell r="K2318">
            <v>19.5</v>
          </cell>
          <cell r="L2318">
            <v>79.45</v>
          </cell>
          <cell r="M2318">
            <v>1</v>
          </cell>
          <cell r="N2318">
            <v>77.64</v>
          </cell>
          <cell r="P2318">
            <v>2.8</v>
          </cell>
          <cell r="S2318">
            <v>14.7</v>
          </cell>
          <cell r="T2318">
            <v>10.7</v>
          </cell>
          <cell r="U2318">
            <v>2</v>
          </cell>
        </row>
        <row r="2319">
          <cell r="B2319" t="str">
            <v>Male</v>
          </cell>
          <cell r="F2319">
            <v>7</v>
          </cell>
          <cell r="G2319">
            <v>31.4</v>
          </cell>
          <cell r="H2319">
            <v>11.8</v>
          </cell>
          <cell r="I2319">
            <v>40.4</v>
          </cell>
          <cell r="J2319">
            <v>5</v>
          </cell>
          <cell r="K2319">
            <v>12</v>
          </cell>
          <cell r="L2319">
            <v>116.89</v>
          </cell>
          <cell r="M2319">
            <v>4</v>
          </cell>
          <cell r="N2319">
            <v>4.4000000000000004</v>
          </cell>
          <cell r="S2319">
            <v>6.3</v>
          </cell>
          <cell r="T2319">
            <v>23.4</v>
          </cell>
          <cell r="U2319">
            <v>1</v>
          </cell>
        </row>
        <row r="2320">
          <cell r="B2320" t="str">
            <v>Male</v>
          </cell>
          <cell r="F2320">
            <v>24</v>
          </cell>
          <cell r="G2320">
            <v>55.1</v>
          </cell>
          <cell r="H2320">
            <v>17</v>
          </cell>
          <cell r="I2320">
            <v>37.5</v>
          </cell>
          <cell r="J2320">
            <v>6</v>
          </cell>
          <cell r="K2320">
            <v>26</v>
          </cell>
          <cell r="L2320">
            <v>120.34</v>
          </cell>
          <cell r="M2320">
            <v>14</v>
          </cell>
          <cell r="N2320">
            <v>51.4</v>
          </cell>
          <cell r="O2320">
            <v>8.9</v>
          </cell>
          <cell r="P2320">
            <v>39.4</v>
          </cell>
          <cell r="S2320">
            <v>74.099999999999994</v>
          </cell>
          <cell r="T2320">
            <v>37.6</v>
          </cell>
          <cell r="U2320">
            <v>1</v>
          </cell>
        </row>
        <row r="2321">
          <cell r="B2321" t="str">
            <v>Female</v>
          </cell>
          <cell r="F2321">
            <v>8</v>
          </cell>
          <cell r="G2321">
            <v>24.6</v>
          </cell>
          <cell r="H2321">
            <v>6.3</v>
          </cell>
          <cell r="I2321">
            <v>66.2</v>
          </cell>
          <cell r="J2321">
            <v>3</v>
          </cell>
          <cell r="K2321">
            <v>13</v>
          </cell>
          <cell r="L2321">
            <v>106.34</v>
          </cell>
          <cell r="M2321">
            <v>22</v>
          </cell>
          <cell r="O2321">
            <v>8.8000000000000007</v>
          </cell>
          <cell r="P2321">
            <v>13.1</v>
          </cell>
          <cell r="S2321">
            <v>52.9</v>
          </cell>
          <cell r="T2321">
            <v>11.6</v>
          </cell>
          <cell r="U2321">
            <v>2</v>
          </cell>
        </row>
        <row r="2322">
          <cell r="B2322" t="str">
            <v>Female</v>
          </cell>
          <cell r="F2322">
            <v>15</v>
          </cell>
          <cell r="G2322">
            <v>30.6</v>
          </cell>
          <cell r="H2322">
            <v>10.7</v>
          </cell>
          <cell r="I2322">
            <v>25</v>
          </cell>
          <cell r="J2322">
            <v>4</v>
          </cell>
          <cell r="K2322">
            <v>26</v>
          </cell>
          <cell r="L2322">
            <v>81.38</v>
          </cell>
          <cell r="M2322">
            <v>35</v>
          </cell>
          <cell r="N2322" t="str">
            <v>25.679999999999996</v>
          </cell>
          <cell r="O2322">
            <v>10.9</v>
          </cell>
          <cell r="P2322">
            <v>23.6</v>
          </cell>
          <cell r="S2322">
            <v>38.6</v>
          </cell>
          <cell r="T2322">
            <v>16.8</v>
          </cell>
        </row>
        <row r="2323">
          <cell r="B2323" t="str">
            <v>Male</v>
          </cell>
          <cell r="F2323">
            <v>19</v>
          </cell>
          <cell r="G2323">
            <v>31</v>
          </cell>
          <cell r="H2323">
            <v>13.6</v>
          </cell>
          <cell r="I2323">
            <v>20.7</v>
          </cell>
          <cell r="J2323">
            <v>8</v>
          </cell>
          <cell r="K2323">
            <v>14</v>
          </cell>
          <cell r="L2323">
            <v>86.74</v>
          </cell>
          <cell r="M2323">
            <v>23</v>
          </cell>
          <cell r="N2323">
            <v>36.299999999999997</v>
          </cell>
          <cell r="O2323">
            <v>1.8</v>
          </cell>
          <cell r="P2323">
            <v>21.6</v>
          </cell>
          <cell r="S2323">
            <v>32.9</v>
          </cell>
          <cell r="T2323">
            <v>21.6</v>
          </cell>
          <cell r="U2323">
            <v>1</v>
          </cell>
        </row>
        <row r="2324">
          <cell r="B2324" t="str">
            <v>Male</v>
          </cell>
          <cell r="F2324">
            <v>16</v>
          </cell>
          <cell r="G2324">
            <v>35.5</v>
          </cell>
          <cell r="H2324">
            <v>9.8000000000000007</v>
          </cell>
          <cell r="I2324">
            <v>34.4</v>
          </cell>
          <cell r="J2324">
            <v>4</v>
          </cell>
          <cell r="K2324">
            <v>14</v>
          </cell>
          <cell r="L2324">
            <v>132.57</v>
          </cell>
          <cell r="M2324">
            <v>21</v>
          </cell>
          <cell r="N2324">
            <v>64.900000000000006</v>
          </cell>
          <cell r="P2324">
            <v>24.5</v>
          </cell>
          <cell r="S2324">
            <v>10.1</v>
          </cell>
          <cell r="T2324">
            <v>25.5</v>
          </cell>
          <cell r="U2324">
            <v>1</v>
          </cell>
        </row>
        <row r="2325">
          <cell r="B2325" t="str">
            <v>Female</v>
          </cell>
          <cell r="F2325">
            <v>17</v>
          </cell>
          <cell r="H2325">
            <v>6.6</v>
          </cell>
          <cell r="I2325">
            <v>62.1</v>
          </cell>
          <cell r="J2325">
            <v>6</v>
          </cell>
          <cell r="K2325" t="str">
            <v>15.600000000000001</v>
          </cell>
          <cell r="L2325">
            <v>240.71</v>
          </cell>
          <cell r="M2325">
            <v>7</v>
          </cell>
          <cell r="N2325">
            <v>59.64</v>
          </cell>
          <cell r="O2325">
            <v>9.9</v>
          </cell>
          <cell r="P2325">
            <v>29.6</v>
          </cell>
          <cell r="S2325">
            <v>10.9</v>
          </cell>
          <cell r="T2325">
            <v>29.5</v>
          </cell>
          <cell r="U2325">
            <v>2</v>
          </cell>
        </row>
        <row r="2326">
          <cell r="B2326" t="str">
            <v>Male</v>
          </cell>
          <cell r="F2326">
            <v>10</v>
          </cell>
          <cell r="G2326">
            <v>38.6</v>
          </cell>
          <cell r="H2326">
            <v>8.1999999999999993</v>
          </cell>
          <cell r="I2326">
            <v>42.1</v>
          </cell>
          <cell r="J2326">
            <v>8</v>
          </cell>
          <cell r="K2326">
            <v>13</v>
          </cell>
          <cell r="L2326">
            <v>115.41</v>
          </cell>
          <cell r="M2326">
            <v>18</v>
          </cell>
          <cell r="N2326">
            <v>59.6</v>
          </cell>
          <cell r="O2326">
            <v>5.9</v>
          </cell>
          <cell r="P2326">
            <v>31.3</v>
          </cell>
          <cell r="S2326">
            <v>26.3</v>
          </cell>
          <cell r="T2326">
            <v>26.2</v>
          </cell>
          <cell r="U2326">
            <v>1</v>
          </cell>
        </row>
        <row r="2327">
          <cell r="B2327" t="str">
            <v>Male</v>
          </cell>
          <cell r="F2327">
            <v>2</v>
          </cell>
          <cell r="G2327">
            <v>14</v>
          </cell>
          <cell r="H2327">
            <v>5.6</v>
          </cell>
          <cell r="I2327">
            <v>82</v>
          </cell>
          <cell r="J2327">
            <v>1</v>
          </cell>
          <cell r="K2327">
            <v>6</v>
          </cell>
          <cell r="L2327">
            <v>162.11000000000001</v>
          </cell>
          <cell r="M2327">
            <v>18</v>
          </cell>
          <cell r="N2327">
            <v>44.5</v>
          </cell>
          <cell r="O2327">
            <v>1.6</v>
          </cell>
          <cell r="P2327">
            <v>2.5</v>
          </cell>
          <cell r="S2327">
            <v>0</v>
          </cell>
          <cell r="T2327">
            <v>17.399999999999999</v>
          </cell>
          <cell r="U2327">
            <v>3</v>
          </cell>
        </row>
        <row r="2328">
          <cell r="B2328" t="str">
            <v>Male</v>
          </cell>
          <cell r="F2328">
            <v>11</v>
          </cell>
          <cell r="G2328">
            <v>41.3</v>
          </cell>
          <cell r="H2328">
            <v>17.8</v>
          </cell>
          <cell r="I2328">
            <v>37.1</v>
          </cell>
          <cell r="J2328">
            <v>11</v>
          </cell>
          <cell r="K2328">
            <v>17</v>
          </cell>
          <cell r="L2328">
            <v>144.74</v>
          </cell>
          <cell r="M2328">
            <v>56</v>
          </cell>
          <cell r="N2328">
            <v>33.5</v>
          </cell>
          <cell r="O2328">
            <v>2.2000000000000002</v>
          </cell>
          <cell r="P2328">
            <v>25.5</v>
          </cell>
          <cell r="S2328">
            <v>48.4</v>
          </cell>
          <cell r="T2328">
            <v>35.299999999999997</v>
          </cell>
          <cell r="U2328">
            <v>5</v>
          </cell>
        </row>
        <row r="2329">
          <cell r="B2329" t="str">
            <v>Female</v>
          </cell>
          <cell r="F2329">
            <v>12</v>
          </cell>
          <cell r="G2329">
            <v>19.600000000000001</v>
          </cell>
          <cell r="H2329">
            <v>3.9</v>
          </cell>
          <cell r="I2329">
            <v>73.3</v>
          </cell>
          <cell r="J2329">
            <v>1</v>
          </cell>
          <cell r="K2329">
            <v>10</v>
          </cell>
          <cell r="L2329">
            <v>228.18</v>
          </cell>
          <cell r="M2329">
            <v>9</v>
          </cell>
          <cell r="N2329">
            <v>11</v>
          </cell>
          <cell r="O2329">
            <v>0.9</v>
          </cell>
          <cell r="P2329">
            <v>25.4</v>
          </cell>
          <cell r="S2329">
            <v>0</v>
          </cell>
          <cell r="T2329">
            <v>8.6</v>
          </cell>
          <cell r="U2329">
            <v>2</v>
          </cell>
        </row>
        <row r="2330">
          <cell r="B2330" t="str">
            <v>Male</v>
          </cell>
          <cell r="F2330">
            <v>12</v>
          </cell>
          <cell r="G2330">
            <v>24.5</v>
          </cell>
          <cell r="H2330">
            <v>9.5</v>
          </cell>
          <cell r="I2330">
            <v>68.400000000000006</v>
          </cell>
          <cell r="J2330">
            <v>2</v>
          </cell>
          <cell r="K2330">
            <v>9.1</v>
          </cell>
          <cell r="L2330">
            <v>96.28</v>
          </cell>
          <cell r="M2330">
            <v>102</v>
          </cell>
          <cell r="N2330">
            <v>27</v>
          </cell>
          <cell r="O2330">
            <v>4.5</v>
          </cell>
          <cell r="P2330">
            <v>4.5999999999999996</v>
          </cell>
          <cell r="S2330">
            <v>22.7</v>
          </cell>
          <cell r="T2330">
            <v>22.9</v>
          </cell>
          <cell r="U2330">
            <v>3</v>
          </cell>
        </row>
        <row r="2331">
          <cell r="B2331" t="str">
            <v>Female</v>
          </cell>
          <cell r="F2331">
            <v>15</v>
          </cell>
          <cell r="G2331">
            <v>28</v>
          </cell>
          <cell r="H2331">
            <v>11.1</v>
          </cell>
          <cell r="I2331">
            <v>57.5</v>
          </cell>
          <cell r="J2331">
            <v>6</v>
          </cell>
          <cell r="K2331">
            <v>13</v>
          </cell>
          <cell r="L2331">
            <v>119.15</v>
          </cell>
          <cell r="M2331">
            <v>21</v>
          </cell>
          <cell r="N2331">
            <v>78.5</v>
          </cell>
          <cell r="O2331">
            <v>15.5</v>
          </cell>
          <cell r="P2331">
            <v>19.600000000000001</v>
          </cell>
          <cell r="S2331">
            <v>42.2</v>
          </cell>
          <cell r="T2331">
            <v>10.8</v>
          </cell>
          <cell r="U2331">
            <v>5</v>
          </cell>
        </row>
        <row r="2332">
          <cell r="B2332" t="str">
            <v>Female</v>
          </cell>
          <cell r="F2332">
            <v>18</v>
          </cell>
          <cell r="G2332">
            <v>28.5</v>
          </cell>
          <cell r="H2332">
            <v>11.2</v>
          </cell>
          <cell r="I2332">
            <v>40.799999999999997</v>
          </cell>
          <cell r="J2332">
            <v>13</v>
          </cell>
          <cell r="K2332">
            <v>19</v>
          </cell>
          <cell r="L2332">
            <v>96.25</v>
          </cell>
          <cell r="M2332">
            <v>52</v>
          </cell>
          <cell r="N2332">
            <v>31.2</v>
          </cell>
          <cell r="O2332">
            <v>4</v>
          </cell>
          <cell r="P2332">
            <v>32.9</v>
          </cell>
          <cell r="S2332">
            <v>56.9</v>
          </cell>
          <cell r="T2332">
            <v>25.1</v>
          </cell>
          <cell r="U2332">
            <v>2</v>
          </cell>
        </row>
        <row r="2333">
          <cell r="B2333" t="str">
            <v>Female</v>
          </cell>
          <cell r="F2333">
            <v>9</v>
          </cell>
          <cell r="G2333">
            <v>24.5</v>
          </cell>
          <cell r="H2333">
            <v>9.4</v>
          </cell>
          <cell r="I2333">
            <v>45.8</v>
          </cell>
          <cell r="J2333">
            <v>4</v>
          </cell>
          <cell r="K2333">
            <v>14</v>
          </cell>
          <cell r="L2333">
            <v>193.71</v>
          </cell>
          <cell r="N2333">
            <v>22.2</v>
          </cell>
          <cell r="O2333">
            <v>7.6</v>
          </cell>
          <cell r="S2333">
            <v>26.8</v>
          </cell>
          <cell r="T2333">
            <v>29</v>
          </cell>
          <cell r="U2333">
            <v>3</v>
          </cell>
        </row>
        <row r="2334">
          <cell r="B2334" t="str">
            <v>Female</v>
          </cell>
          <cell r="F2334">
            <v>14</v>
          </cell>
          <cell r="G2334">
            <v>28.7</v>
          </cell>
          <cell r="H2334">
            <v>11.8</v>
          </cell>
          <cell r="I2334">
            <v>58.1</v>
          </cell>
          <cell r="J2334">
            <v>8</v>
          </cell>
          <cell r="K2334">
            <v>12</v>
          </cell>
          <cell r="L2334">
            <v>74.680000000000007</v>
          </cell>
          <cell r="M2334">
            <v>44</v>
          </cell>
          <cell r="N2334">
            <v>51.9</v>
          </cell>
          <cell r="O2334">
            <v>7.1</v>
          </cell>
          <cell r="P2334">
            <v>30.9</v>
          </cell>
          <cell r="S2334">
            <v>30</v>
          </cell>
          <cell r="T2334">
            <v>20.100000000000001</v>
          </cell>
          <cell r="U2334">
            <v>1</v>
          </cell>
        </row>
        <row r="2335">
          <cell r="B2335" t="str">
            <v>Female</v>
          </cell>
          <cell r="F2335">
            <v>29</v>
          </cell>
          <cell r="G2335">
            <v>32.9</v>
          </cell>
          <cell r="H2335">
            <v>14.3</v>
          </cell>
          <cell r="I2335">
            <v>38.799999999999997</v>
          </cell>
          <cell r="J2335">
            <v>7</v>
          </cell>
          <cell r="K2335">
            <v>24</v>
          </cell>
          <cell r="L2335">
            <v>101.32</v>
          </cell>
          <cell r="N2335">
            <v>21.8</v>
          </cell>
          <cell r="O2335">
            <v>2.5</v>
          </cell>
          <cell r="P2335">
            <v>31.3</v>
          </cell>
          <cell r="S2335">
            <v>36.700000000000003</v>
          </cell>
          <cell r="T2335">
            <v>29.9</v>
          </cell>
          <cell r="U2335">
            <v>2</v>
          </cell>
        </row>
        <row r="2336">
          <cell r="B2336" t="str">
            <v>Female</v>
          </cell>
          <cell r="F2336">
            <v>16</v>
          </cell>
          <cell r="G2336">
            <v>22.2</v>
          </cell>
          <cell r="H2336">
            <v>10.7</v>
          </cell>
          <cell r="I2336">
            <v>41.6</v>
          </cell>
          <cell r="J2336">
            <v>7</v>
          </cell>
          <cell r="K2336">
            <v>11</v>
          </cell>
          <cell r="L2336">
            <v>185.54</v>
          </cell>
          <cell r="M2336">
            <v>33</v>
          </cell>
          <cell r="N2336">
            <v>8.9</v>
          </cell>
          <cell r="O2336">
            <v>13.1</v>
          </cell>
          <cell r="P2336">
            <v>16.7</v>
          </cell>
          <cell r="S2336">
            <v>19.399999999999999</v>
          </cell>
          <cell r="T2336">
            <v>29.6</v>
          </cell>
          <cell r="U2336">
            <v>2</v>
          </cell>
        </row>
        <row r="2337">
          <cell r="B2337" t="str">
            <v>Male</v>
          </cell>
          <cell r="F2337">
            <v>12</v>
          </cell>
          <cell r="H2337">
            <v>3.2</v>
          </cell>
          <cell r="I2337">
            <v>61.9</v>
          </cell>
          <cell r="J2337">
            <v>5</v>
          </cell>
          <cell r="K2337">
            <v>12</v>
          </cell>
          <cell r="L2337">
            <v>110.68</v>
          </cell>
          <cell r="M2337">
            <v>17</v>
          </cell>
          <cell r="N2337">
            <v>65.2</v>
          </cell>
          <cell r="P2337">
            <v>20.2</v>
          </cell>
          <cell r="S2337">
            <v>57.3</v>
          </cell>
          <cell r="T2337">
            <v>22.9</v>
          </cell>
        </row>
        <row r="2338">
          <cell r="B2338" t="str">
            <v>Male</v>
          </cell>
          <cell r="F2338">
            <v>22</v>
          </cell>
          <cell r="G2338">
            <v>33.799999999999997</v>
          </cell>
          <cell r="H2338">
            <v>7.1</v>
          </cell>
          <cell r="I2338">
            <v>48.1</v>
          </cell>
          <cell r="K2338">
            <v>10</v>
          </cell>
          <cell r="L2338">
            <v>98.35</v>
          </cell>
          <cell r="M2338">
            <v>10</v>
          </cell>
          <cell r="N2338">
            <v>33.700000000000003</v>
          </cell>
          <cell r="O2338">
            <v>0.8</v>
          </cell>
          <cell r="P2338">
            <v>35.200000000000003</v>
          </cell>
          <cell r="S2338">
            <v>43.6</v>
          </cell>
          <cell r="T2338">
            <v>25.9</v>
          </cell>
          <cell r="U2338">
            <v>2</v>
          </cell>
        </row>
        <row r="2339">
          <cell r="B2339" t="str">
            <v>Female</v>
          </cell>
          <cell r="F2339">
            <v>1</v>
          </cell>
          <cell r="G2339">
            <v>11.3</v>
          </cell>
          <cell r="H2339">
            <v>8.1</v>
          </cell>
          <cell r="I2339">
            <v>67.900000000000006</v>
          </cell>
          <cell r="J2339">
            <v>2</v>
          </cell>
          <cell r="K2339">
            <v>8</v>
          </cell>
          <cell r="L2339">
            <v>95.98</v>
          </cell>
          <cell r="M2339">
            <v>15</v>
          </cell>
          <cell r="N2339">
            <v>36</v>
          </cell>
          <cell r="O2339">
            <v>2.5</v>
          </cell>
          <cell r="P2339">
            <v>0</v>
          </cell>
          <cell r="S2339">
            <v>0</v>
          </cell>
          <cell r="U2339">
            <v>2</v>
          </cell>
        </row>
        <row r="2340">
          <cell r="B2340" t="str">
            <v>Female</v>
          </cell>
          <cell r="F2340">
            <v>13</v>
          </cell>
          <cell r="G2340">
            <v>33.4</v>
          </cell>
          <cell r="H2340">
            <v>10.9</v>
          </cell>
          <cell r="I2340">
            <v>63.2</v>
          </cell>
          <cell r="J2340">
            <v>9</v>
          </cell>
          <cell r="K2340">
            <v>11</v>
          </cell>
          <cell r="L2340">
            <v>85.23</v>
          </cell>
          <cell r="M2340">
            <v>11</v>
          </cell>
          <cell r="N2340">
            <v>53.6</v>
          </cell>
          <cell r="O2340">
            <v>11</v>
          </cell>
          <cell r="P2340">
            <v>36.9</v>
          </cell>
          <cell r="S2340">
            <v>52.7</v>
          </cell>
          <cell r="T2340">
            <v>25.5</v>
          </cell>
          <cell r="U2340">
            <v>5</v>
          </cell>
        </row>
        <row r="2341">
          <cell r="B2341" t="str">
            <v>Male</v>
          </cell>
          <cell r="F2341">
            <v>23</v>
          </cell>
          <cell r="G2341">
            <v>34</v>
          </cell>
          <cell r="H2341">
            <v>11.8</v>
          </cell>
          <cell r="I2341">
            <v>49.3</v>
          </cell>
          <cell r="J2341">
            <v>0</v>
          </cell>
          <cell r="K2341">
            <v>14</v>
          </cell>
          <cell r="L2341">
            <v>104.96</v>
          </cell>
          <cell r="M2341">
            <v>12</v>
          </cell>
          <cell r="N2341">
            <v>10.7</v>
          </cell>
          <cell r="O2341">
            <v>2.4</v>
          </cell>
          <cell r="P2341">
            <v>29.8</v>
          </cell>
          <cell r="S2341">
            <v>21.8</v>
          </cell>
          <cell r="T2341">
            <v>15.3</v>
          </cell>
          <cell r="U2341">
            <v>2</v>
          </cell>
        </row>
        <row r="2342">
          <cell r="B2342" t="str">
            <v>Female</v>
          </cell>
          <cell r="F2342">
            <v>8</v>
          </cell>
          <cell r="G2342">
            <v>24</v>
          </cell>
          <cell r="H2342">
            <v>4.3</v>
          </cell>
          <cell r="I2342">
            <v>57.2</v>
          </cell>
          <cell r="J2342">
            <v>5</v>
          </cell>
          <cell r="K2342">
            <v>10.4</v>
          </cell>
          <cell r="L2342">
            <v>213.01</v>
          </cell>
          <cell r="M2342">
            <v>50</v>
          </cell>
          <cell r="N2342">
            <v>19.8</v>
          </cell>
          <cell r="P2342">
            <v>9.5</v>
          </cell>
          <cell r="S2342">
            <v>30.9</v>
          </cell>
          <cell r="T2342">
            <v>8.8000000000000007</v>
          </cell>
          <cell r="U2342">
            <v>2</v>
          </cell>
        </row>
        <row r="2343">
          <cell r="B2343" t="str">
            <v>Male</v>
          </cell>
          <cell r="F2343">
            <v>7</v>
          </cell>
          <cell r="G2343">
            <v>31.1</v>
          </cell>
          <cell r="H2343">
            <v>7.8</v>
          </cell>
          <cell r="I2343">
            <v>68.599999999999994</v>
          </cell>
          <cell r="J2343">
            <v>3</v>
          </cell>
          <cell r="K2343">
            <v>10.4</v>
          </cell>
          <cell r="L2343">
            <v>88.94</v>
          </cell>
          <cell r="M2343">
            <v>60</v>
          </cell>
          <cell r="N2343">
            <v>65.52</v>
          </cell>
          <cell r="O2343">
            <v>7.9</v>
          </cell>
          <cell r="P2343">
            <v>27.3</v>
          </cell>
          <cell r="S2343">
            <v>24.8</v>
          </cell>
          <cell r="T2343">
            <v>19.5</v>
          </cell>
          <cell r="U2343">
            <v>1</v>
          </cell>
        </row>
        <row r="2344">
          <cell r="B2344" t="str">
            <v>Male</v>
          </cell>
          <cell r="F2344">
            <v>0</v>
          </cell>
          <cell r="G2344">
            <v>24.6</v>
          </cell>
          <cell r="H2344">
            <v>1.6</v>
          </cell>
          <cell r="I2344">
            <v>72.5</v>
          </cell>
          <cell r="J2344">
            <v>0</v>
          </cell>
          <cell r="K2344">
            <v>5.2</v>
          </cell>
          <cell r="L2344">
            <v>128.66999999999999</v>
          </cell>
          <cell r="M2344">
            <v>6</v>
          </cell>
          <cell r="N2344">
            <v>24.24</v>
          </cell>
          <cell r="O2344">
            <v>3.2</v>
          </cell>
          <cell r="P2344">
            <v>5.4</v>
          </cell>
          <cell r="S2344">
            <v>12.5</v>
          </cell>
          <cell r="T2344">
            <v>13.5</v>
          </cell>
          <cell r="U2344">
            <v>2</v>
          </cell>
        </row>
        <row r="2345">
          <cell r="B2345" t="str">
            <v>Male</v>
          </cell>
          <cell r="F2345">
            <v>3</v>
          </cell>
          <cell r="G2345">
            <v>18.7</v>
          </cell>
          <cell r="H2345">
            <v>10.9</v>
          </cell>
          <cell r="I2345">
            <v>65.599999999999994</v>
          </cell>
          <cell r="J2345">
            <v>7</v>
          </cell>
          <cell r="K2345">
            <v>12</v>
          </cell>
          <cell r="L2345">
            <v>108.38</v>
          </cell>
          <cell r="M2345">
            <v>41</v>
          </cell>
          <cell r="N2345">
            <v>24.8</v>
          </cell>
          <cell r="O2345">
            <v>5.5</v>
          </cell>
          <cell r="P2345">
            <v>26.4</v>
          </cell>
          <cell r="T2345">
            <v>25.6</v>
          </cell>
          <cell r="U2345">
            <v>1</v>
          </cell>
        </row>
        <row r="2346">
          <cell r="B2346" t="str">
            <v>Male</v>
          </cell>
          <cell r="F2346">
            <v>11</v>
          </cell>
          <cell r="I2346">
            <v>62</v>
          </cell>
          <cell r="J2346">
            <v>4</v>
          </cell>
          <cell r="K2346">
            <v>11</v>
          </cell>
          <cell r="L2346">
            <v>200.46</v>
          </cell>
          <cell r="M2346">
            <v>22</v>
          </cell>
          <cell r="N2346">
            <v>16.600000000000001</v>
          </cell>
          <cell r="O2346">
            <v>12.7</v>
          </cell>
          <cell r="P2346">
            <v>36.700000000000003</v>
          </cell>
          <cell r="T2346">
            <v>14</v>
          </cell>
          <cell r="U2346">
            <v>2</v>
          </cell>
        </row>
        <row r="2347">
          <cell r="B2347" t="str">
            <v>Male</v>
          </cell>
          <cell r="F2347">
            <v>8</v>
          </cell>
          <cell r="G2347">
            <v>23.7</v>
          </cell>
          <cell r="H2347">
            <v>8.6999999999999993</v>
          </cell>
          <cell r="I2347">
            <v>72.3</v>
          </cell>
          <cell r="J2347">
            <v>5</v>
          </cell>
          <cell r="K2347">
            <v>13</v>
          </cell>
          <cell r="L2347">
            <v>73.02</v>
          </cell>
          <cell r="M2347">
            <v>10</v>
          </cell>
          <cell r="N2347">
            <v>47.6</v>
          </cell>
          <cell r="O2347">
            <v>9.9</v>
          </cell>
          <cell r="P2347">
            <v>27.8</v>
          </cell>
          <cell r="S2347">
            <v>27.3</v>
          </cell>
          <cell r="T2347">
            <v>25.7</v>
          </cell>
          <cell r="U2347">
            <v>2</v>
          </cell>
        </row>
        <row r="2348">
          <cell r="B2348" t="str">
            <v>Female</v>
          </cell>
          <cell r="F2348">
            <v>9</v>
          </cell>
          <cell r="G2348">
            <v>15.6</v>
          </cell>
          <cell r="H2348">
            <v>9.5</v>
          </cell>
          <cell r="I2348">
            <v>54.1</v>
          </cell>
          <cell r="J2348">
            <v>4</v>
          </cell>
          <cell r="K2348">
            <v>13</v>
          </cell>
          <cell r="L2348">
            <v>124.63</v>
          </cell>
          <cell r="M2348">
            <v>21</v>
          </cell>
          <cell r="N2348">
            <v>12.2</v>
          </cell>
          <cell r="O2348">
            <v>12.4</v>
          </cell>
          <cell r="S2348">
            <v>29.7</v>
          </cell>
          <cell r="T2348">
            <v>23.9</v>
          </cell>
          <cell r="U2348">
            <v>4</v>
          </cell>
        </row>
        <row r="2349">
          <cell r="B2349" t="str">
            <v>Male</v>
          </cell>
          <cell r="F2349">
            <v>11</v>
          </cell>
          <cell r="G2349">
            <v>15.1</v>
          </cell>
          <cell r="H2349">
            <v>2.4</v>
          </cell>
          <cell r="I2349">
            <v>83</v>
          </cell>
          <cell r="J2349">
            <v>1</v>
          </cell>
          <cell r="K2349">
            <v>6</v>
          </cell>
          <cell r="L2349">
            <v>200.79</v>
          </cell>
          <cell r="M2349">
            <v>17</v>
          </cell>
          <cell r="O2349">
            <v>7.6</v>
          </cell>
          <cell r="P2349">
            <v>0</v>
          </cell>
          <cell r="S2349">
            <v>31.7</v>
          </cell>
          <cell r="T2349">
            <v>12.7</v>
          </cell>
          <cell r="U2349">
            <v>1</v>
          </cell>
        </row>
        <row r="2350">
          <cell r="B2350" t="str">
            <v>Female</v>
          </cell>
          <cell r="F2350">
            <v>0</v>
          </cell>
          <cell r="G2350">
            <v>16.100000000000001</v>
          </cell>
          <cell r="H2350">
            <v>7.7</v>
          </cell>
          <cell r="I2350">
            <v>58.6</v>
          </cell>
          <cell r="J2350">
            <v>2</v>
          </cell>
          <cell r="K2350">
            <v>7</v>
          </cell>
          <cell r="L2350">
            <v>120.09</v>
          </cell>
          <cell r="M2350">
            <v>6</v>
          </cell>
          <cell r="N2350">
            <v>31.6</v>
          </cell>
          <cell r="O2350">
            <v>1.3</v>
          </cell>
          <cell r="P2350">
            <v>7.1</v>
          </cell>
          <cell r="S2350">
            <v>6.2</v>
          </cell>
          <cell r="T2350">
            <v>26.6</v>
          </cell>
          <cell r="U2350">
            <v>3</v>
          </cell>
        </row>
        <row r="2351">
          <cell r="B2351" t="str">
            <v>Male</v>
          </cell>
          <cell r="F2351">
            <v>9</v>
          </cell>
          <cell r="G2351">
            <v>23.4</v>
          </cell>
          <cell r="I2351">
            <v>65.8</v>
          </cell>
          <cell r="J2351">
            <v>2</v>
          </cell>
          <cell r="K2351" t="str">
            <v>11.700000000000001</v>
          </cell>
          <cell r="L2351">
            <v>201.87</v>
          </cell>
          <cell r="N2351">
            <v>42.24</v>
          </cell>
          <cell r="O2351">
            <v>2.9</v>
          </cell>
          <cell r="P2351">
            <v>21.6</v>
          </cell>
          <cell r="T2351">
            <v>16.600000000000001</v>
          </cell>
          <cell r="U2351">
            <v>2</v>
          </cell>
        </row>
        <row r="2352">
          <cell r="B2352" t="str">
            <v>Female</v>
          </cell>
          <cell r="F2352">
            <v>13</v>
          </cell>
          <cell r="G2352">
            <v>25.6</v>
          </cell>
          <cell r="H2352">
            <v>12.4</v>
          </cell>
          <cell r="I2352">
            <v>75.599999999999994</v>
          </cell>
          <cell r="J2352">
            <v>4</v>
          </cell>
          <cell r="K2352">
            <v>6</v>
          </cell>
          <cell r="L2352">
            <v>133.22</v>
          </cell>
          <cell r="M2352">
            <v>3</v>
          </cell>
          <cell r="N2352">
            <v>29.2</v>
          </cell>
          <cell r="O2352">
            <v>11.4</v>
          </cell>
          <cell r="P2352">
            <v>7</v>
          </cell>
          <cell r="S2352">
            <v>0</v>
          </cell>
          <cell r="T2352">
            <v>13.9</v>
          </cell>
          <cell r="U2352">
            <v>1</v>
          </cell>
        </row>
        <row r="2353">
          <cell r="B2353" t="str">
            <v>Female</v>
          </cell>
          <cell r="F2353">
            <v>9</v>
          </cell>
          <cell r="G2353">
            <v>19.2</v>
          </cell>
          <cell r="H2353">
            <v>6.1</v>
          </cell>
          <cell r="I2353">
            <v>91.3</v>
          </cell>
          <cell r="J2353">
            <v>1</v>
          </cell>
          <cell r="K2353">
            <v>5</v>
          </cell>
          <cell r="L2353">
            <v>67.819999999999993</v>
          </cell>
          <cell r="M2353">
            <v>62</v>
          </cell>
          <cell r="N2353">
            <v>80.099999999999994</v>
          </cell>
          <cell r="O2353">
            <v>1.1000000000000001</v>
          </cell>
          <cell r="P2353">
            <v>6.2</v>
          </cell>
          <cell r="S2353">
            <v>12.9</v>
          </cell>
          <cell r="T2353">
            <v>6.1</v>
          </cell>
          <cell r="U2353">
            <v>1</v>
          </cell>
        </row>
        <row r="2354">
          <cell r="B2354" t="str">
            <v>Male</v>
          </cell>
          <cell r="F2354">
            <v>0</v>
          </cell>
          <cell r="G2354">
            <v>16.100000000000001</v>
          </cell>
          <cell r="H2354">
            <v>4.4000000000000004</v>
          </cell>
          <cell r="I2354">
            <v>77</v>
          </cell>
          <cell r="J2354">
            <v>0</v>
          </cell>
          <cell r="K2354">
            <v>5</v>
          </cell>
          <cell r="L2354">
            <v>74.98</v>
          </cell>
          <cell r="M2354">
            <v>0</v>
          </cell>
          <cell r="N2354">
            <v>87.8</v>
          </cell>
          <cell r="O2354">
            <v>7.6</v>
          </cell>
          <cell r="S2354">
            <v>17.3</v>
          </cell>
          <cell r="T2354">
            <v>17.5</v>
          </cell>
          <cell r="U2354">
            <v>2</v>
          </cell>
        </row>
        <row r="2355">
          <cell r="B2355" t="str">
            <v>Male</v>
          </cell>
          <cell r="F2355">
            <v>5</v>
          </cell>
          <cell r="G2355">
            <v>16</v>
          </cell>
          <cell r="H2355">
            <v>6.5</v>
          </cell>
          <cell r="I2355">
            <v>75.7</v>
          </cell>
          <cell r="K2355">
            <v>8</v>
          </cell>
          <cell r="L2355">
            <v>85.97</v>
          </cell>
          <cell r="M2355">
            <v>3</v>
          </cell>
          <cell r="N2355">
            <v>32.700000000000003</v>
          </cell>
          <cell r="O2355">
            <v>12.8</v>
          </cell>
          <cell r="P2355">
            <v>17.7</v>
          </cell>
          <cell r="S2355">
            <v>6.2</v>
          </cell>
          <cell r="T2355">
            <v>20.2</v>
          </cell>
          <cell r="U2355">
            <v>1</v>
          </cell>
        </row>
        <row r="2356">
          <cell r="B2356" t="str">
            <v>Male</v>
          </cell>
          <cell r="F2356">
            <v>12</v>
          </cell>
          <cell r="G2356">
            <v>36.9</v>
          </cell>
          <cell r="H2356">
            <v>12.2</v>
          </cell>
          <cell r="I2356">
            <v>60.8</v>
          </cell>
          <cell r="J2356">
            <v>4</v>
          </cell>
          <cell r="K2356" t="str">
            <v>15.600000000000001</v>
          </cell>
          <cell r="L2356">
            <v>106.47</v>
          </cell>
          <cell r="M2356">
            <v>51</v>
          </cell>
          <cell r="N2356">
            <v>38.04</v>
          </cell>
          <cell r="O2356">
            <v>4.7</v>
          </cell>
          <cell r="P2356">
            <v>16.7</v>
          </cell>
          <cell r="S2356">
            <v>45.6</v>
          </cell>
          <cell r="T2356">
            <v>26.3</v>
          </cell>
          <cell r="U2356">
            <v>1</v>
          </cell>
        </row>
        <row r="2357">
          <cell r="B2357" t="str">
            <v>Male</v>
          </cell>
          <cell r="F2357">
            <v>3</v>
          </cell>
          <cell r="H2357">
            <v>7.5</v>
          </cell>
          <cell r="I2357">
            <v>68.5</v>
          </cell>
          <cell r="J2357">
            <v>2</v>
          </cell>
          <cell r="K2357">
            <v>15</v>
          </cell>
          <cell r="L2357">
            <v>119.12</v>
          </cell>
          <cell r="M2357">
            <v>88</v>
          </cell>
          <cell r="N2357">
            <v>29.6</v>
          </cell>
          <cell r="O2357">
            <v>5.7</v>
          </cell>
          <cell r="P2357">
            <v>19.600000000000001</v>
          </cell>
          <cell r="S2357">
            <v>0</v>
          </cell>
          <cell r="T2357">
            <v>24.6</v>
          </cell>
          <cell r="U2357">
            <v>3</v>
          </cell>
        </row>
        <row r="2358">
          <cell r="B2358" t="str">
            <v>Male</v>
          </cell>
          <cell r="F2358">
            <v>15</v>
          </cell>
          <cell r="G2358">
            <v>54.1</v>
          </cell>
          <cell r="I2358">
            <v>44.7</v>
          </cell>
          <cell r="J2358">
            <v>13</v>
          </cell>
          <cell r="K2358">
            <v>22.1</v>
          </cell>
          <cell r="L2358">
            <v>160.01</v>
          </cell>
          <cell r="M2358">
            <v>85</v>
          </cell>
          <cell r="N2358">
            <v>61.08</v>
          </cell>
          <cell r="O2358">
            <v>10.9</v>
          </cell>
          <cell r="P2358">
            <v>31.8</v>
          </cell>
          <cell r="S2358">
            <v>42.7</v>
          </cell>
          <cell r="T2358">
            <v>37.299999999999997</v>
          </cell>
          <cell r="U2358">
            <v>2</v>
          </cell>
        </row>
        <row r="2359">
          <cell r="B2359" t="str">
            <v>Female</v>
          </cell>
          <cell r="F2359">
            <v>16</v>
          </cell>
          <cell r="G2359">
            <v>38.200000000000003</v>
          </cell>
          <cell r="H2359">
            <v>9.9</v>
          </cell>
          <cell r="I2359">
            <v>36.799999999999997</v>
          </cell>
          <cell r="J2359">
            <v>7</v>
          </cell>
          <cell r="K2359" t="str">
            <v>16.900000000000002</v>
          </cell>
          <cell r="L2359">
            <v>99.15</v>
          </cell>
          <cell r="M2359">
            <v>89</v>
          </cell>
          <cell r="N2359">
            <v>10.68</v>
          </cell>
          <cell r="O2359">
            <v>0.9</v>
          </cell>
          <cell r="P2359">
            <v>55.4</v>
          </cell>
          <cell r="S2359">
            <v>44.9</v>
          </cell>
          <cell r="T2359">
            <v>20.9</v>
          </cell>
          <cell r="U2359">
            <v>1</v>
          </cell>
        </row>
        <row r="2360">
          <cell r="B2360" t="str">
            <v>Female</v>
          </cell>
          <cell r="F2360">
            <v>24</v>
          </cell>
          <cell r="G2360">
            <v>46.2</v>
          </cell>
          <cell r="H2360">
            <v>14.5</v>
          </cell>
          <cell r="I2360">
            <v>32.9</v>
          </cell>
          <cell r="J2360">
            <v>12</v>
          </cell>
          <cell r="K2360">
            <v>24.7</v>
          </cell>
          <cell r="L2360">
            <v>112.52</v>
          </cell>
          <cell r="M2360">
            <v>13</v>
          </cell>
          <cell r="N2360">
            <v>33.36</v>
          </cell>
          <cell r="O2360">
            <v>9.8000000000000007</v>
          </cell>
          <cell r="P2360">
            <v>49.4</v>
          </cell>
          <cell r="S2360">
            <v>42.2</v>
          </cell>
          <cell r="U2360">
            <v>1</v>
          </cell>
        </row>
        <row r="2361">
          <cell r="B2361" t="str">
            <v>Female</v>
          </cell>
          <cell r="F2361">
            <v>20</v>
          </cell>
          <cell r="G2361">
            <v>29</v>
          </cell>
          <cell r="H2361">
            <v>13.5</v>
          </cell>
          <cell r="I2361">
            <v>41.6</v>
          </cell>
          <cell r="J2361">
            <v>13</v>
          </cell>
          <cell r="K2361">
            <v>18</v>
          </cell>
          <cell r="L2361">
            <v>99.82</v>
          </cell>
          <cell r="M2361">
            <v>29</v>
          </cell>
          <cell r="O2361">
            <v>1.7</v>
          </cell>
          <cell r="P2361">
            <v>46.3</v>
          </cell>
          <cell r="T2361">
            <v>30.5</v>
          </cell>
          <cell r="U2361">
            <v>1</v>
          </cell>
        </row>
        <row r="2362">
          <cell r="B2362" t="str">
            <v>Female</v>
          </cell>
          <cell r="F2362">
            <v>13</v>
          </cell>
          <cell r="G2362">
            <v>24.5</v>
          </cell>
          <cell r="H2362">
            <v>10.8</v>
          </cell>
          <cell r="I2362">
            <v>40.5</v>
          </cell>
          <cell r="J2362">
            <v>10</v>
          </cell>
          <cell r="K2362">
            <v>10</v>
          </cell>
          <cell r="L2362">
            <v>50.64</v>
          </cell>
          <cell r="M2362">
            <v>37</v>
          </cell>
          <cell r="N2362">
            <v>39.299999999999997</v>
          </cell>
          <cell r="O2362">
            <v>5.8</v>
          </cell>
          <cell r="P2362">
            <v>19.5</v>
          </cell>
          <cell r="S2362">
            <v>42.9</v>
          </cell>
          <cell r="T2362">
            <v>16.899999999999999</v>
          </cell>
          <cell r="U2362">
            <v>2</v>
          </cell>
        </row>
        <row r="2363">
          <cell r="B2363" t="str">
            <v>Female</v>
          </cell>
          <cell r="F2363">
            <v>5</v>
          </cell>
          <cell r="G2363">
            <v>25.3</v>
          </cell>
          <cell r="H2363">
            <v>8.4</v>
          </cell>
          <cell r="I2363">
            <v>71.7</v>
          </cell>
          <cell r="J2363">
            <v>2</v>
          </cell>
          <cell r="K2363">
            <v>5</v>
          </cell>
          <cell r="L2363">
            <v>103.35</v>
          </cell>
          <cell r="M2363">
            <v>38</v>
          </cell>
          <cell r="N2363">
            <v>75</v>
          </cell>
          <cell r="O2363">
            <v>11.2</v>
          </cell>
          <cell r="P2363">
            <v>6.8</v>
          </cell>
          <cell r="S2363">
            <v>31.8</v>
          </cell>
          <cell r="U2363">
            <v>1</v>
          </cell>
        </row>
        <row r="2364">
          <cell r="B2364" t="str">
            <v>Male</v>
          </cell>
          <cell r="F2364">
            <v>10</v>
          </cell>
          <cell r="G2364">
            <v>15</v>
          </cell>
          <cell r="H2364">
            <v>8.5</v>
          </cell>
          <cell r="I2364">
            <v>54.4</v>
          </cell>
          <cell r="J2364">
            <v>3</v>
          </cell>
          <cell r="K2364" t="str">
            <v>11.700000000000001</v>
          </cell>
          <cell r="L2364">
            <v>111.07</v>
          </cell>
          <cell r="O2364">
            <v>8.1</v>
          </cell>
          <cell r="P2364">
            <v>4.5999999999999996</v>
          </cell>
          <cell r="S2364">
            <v>52.6</v>
          </cell>
          <cell r="T2364">
            <v>18</v>
          </cell>
          <cell r="U2364">
            <v>2</v>
          </cell>
        </row>
        <row r="2365">
          <cell r="B2365" t="str">
            <v>Female</v>
          </cell>
          <cell r="F2365">
            <v>8</v>
          </cell>
          <cell r="G2365">
            <v>9.1999999999999993</v>
          </cell>
          <cell r="H2365">
            <v>5.7</v>
          </cell>
          <cell r="I2365">
            <v>84.4</v>
          </cell>
          <cell r="J2365">
            <v>2</v>
          </cell>
          <cell r="K2365">
            <v>10</v>
          </cell>
          <cell r="L2365">
            <v>106.02</v>
          </cell>
          <cell r="M2365">
            <v>7</v>
          </cell>
          <cell r="N2365">
            <v>42.1</v>
          </cell>
          <cell r="P2365">
            <v>0</v>
          </cell>
          <cell r="S2365">
            <v>10.4</v>
          </cell>
          <cell r="T2365">
            <v>11.3</v>
          </cell>
          <cell r="U2365">
            <v>2</v>
          </cell>
        </row>
        <row r="2366">
          <cell r="B2366" t="str">
            <v>Male</v>
          </cell>
          <cell r="F2366">
            <v>9</v>
          </cell>
          <cell r="G2366">
            <v>14.3</v>
          </cell>
          <cell r="H2366">
            <v>7.9</v>
          </cell>
          <cell r="I2366">
            <v>77.900000000000006</v>
          </cell>
          <cell r="J2366">
            <v>2</v>
          </cell>
          <cell r="K2366">
            <v>15</v>
          </cell>
          <cell r="L2366">
            <v>136.11000000000001</v>
          </cell>
          <cell r="M2366">
            <v>1</v>
          </cell>
          <cell r="N2366">
            <v>28.8</v>
          </cell>
          <cell r="O2366">
            <v>0.4</v>
          </cell>
          <cell r="P2366">
            <v>16.3</v>
          </cell>
          <cell r="S2366">
            <v>6</v>
          </cell>
          <cell r="T2366">
            <v>13.4</v>
          </cell>
          <cell r="U2366">
            <v>4</v>
          </cell>
        </row>
        <row r="2367">
          <cell r="B2367" t="str">
            <v>Female</v>
          </cell>
          <cell r="F2367">
            <v>14</v>
          </cell>
          <cell r="G2367">
            <v>33.299999999999997</v>
          </cell>
          <cell r="H2367">
            <v>12</v>
          </cell>
          <cell r="I2367">
            <v>60.6</v>
          </cell>
          <cell r="J2367">
            <v>8</v>
          </cell>
          <cell r="K2367">
            <v>12</v>
          </cell>
          <cell r="L2367">
            <v>104.22</v>
          </cell>
          <cell r="M2367">
            <v>11</v>
          </cell>
          <cell r="N2367">
            <v>8.4</v>
          </cell>
          <cell r="P2367">
            <v>27.5</v>
          </cell>
          <cell r="S2367">
            <v>32.6</v>
          </cell>
          <cell r="T2367">
            <v>24.9</v>
          </cell>
          <cell r="U2367">
            <v>2</v>
          </cell>
        </row>
        <row r="2368">
          <cell r="B2368" t="str">
            <v>Male</v>
          </cell>
          <cell r="F2368">
            <v>16</v>
          </cell>
          <cell r="G2368">
            <v>34.1</v>
          </cell>
          <cell r="H2368">
            <v>12</v>
          </cell>
          <cell r="I2368">
            <v>59.5</v>
          </cell>
          <cell r="J2368">
            <v>3</v>
          </cell>
          <cell r="K2368">
            <v>13</v>
          </cell>
          <cell r="L2368">
            <v>99.39</v>
          </cell>
          <cell r="M2368">
            <v>37</v>
          </cell>
          <cell r="N2368">
            <v>11.4</v>
          </cell>
          <cell r="O2368">
            <v>1</v>
          </cell>
          <cell r="P2368">
            <v>32</v>
          </cell>
          <cell r="S2368">
            <v>40.9</v>
          </cell>
          <cell r="T2368">
            <v>22.3</v>
          </cell>
          <cell r="U2368">
            <v>4</v>
          </cell>
        </row>
        <row r="2369">
          <cell r="B2369" t="str">
            <v>Female</v>
          </cell>
          <cell r="F2369">
            <v>15</v>
          </cell>
          <cell r="G2369">
            <v>21.3</v>
          </cell>
          <cell r="H2369">
            <v>8.1999999999999993</v>
          </cell>
          <cell r="I2369">
            <v>69.900000000000006</v>
          </cell>
          <cell r="J2369">
            <v>3</v>
          </cell>
          <cell r="K2369">
            <v>8</v>
          </cell>
          <cell r="L2369">
            <v>183.94</v>
          </cell>
          <cell r="M2369">
            <v>2</v>
          </cell>
          <cell r="N2369">
            <v>39</v>
          </cell>
          <cell r="O2369">
            <v>13</v>
          </cell>
          <cell r="P2369">
            <v>26.5</v>
          </cell>
          <cell r="S2369">
            <v>14.7</v>
          </cell>
          <cell r="T2369">
            <v>11.1</v>
          </cell>
          <cell r="U2369">
            <v>1</v>
          </cell>
        </row>
        <row r="2370">
          <cell r="B2370" t="str">
            <v>Female</v>
          </cell>
          <cell r="F2370">
            <v>16</v>
          </cell>
          <cell r="G2370">
            <v>25.8</v>
          </cell>
          <cell r="H2370">
            <v>11.3</v>
          </cell>
          <cell r="I2370">
            <v>56</v>
          </cell>
          <cell r="J2370">
            <v>4</v>
          </cell>
          <cell r="K2370">
            <v>11</v>
          </cell>
          <cell r="L2370">
            <v>141.08000000000001</v>
          </cell>
          <cell r="M2370">
            <v>38</v>
          </cell>
          <cell r="N2370">
            <v>11.3</v>
          </cell>
          <cell r="O2370">
            <v>2.2000000000000002</v>
          </cell>
          <cell r="P2370">
            <v>25.8</v>
          </cell>
          <cell r="S2370">
            <v>10.7</v>
          </cell>
          <cell r="T2370">
            <v>15.8</v>
          </cell>
          <cell r="U2370">
            <v>2</v>
          </cell>
        </row>
        <row r="2371">
          <cell r="B2371" t="str">
            <v>Male</v>
          </cell>
          <cell r="F2371">
            <v>18</v>
          </cell>
          <cell r="G2371">
            <v>23.5</v>
          </cell>
          <cell r="H2371">
            <v>7.7</v>
          </cell>
          <cell r="I2371">
            <v>60.7</v>
          </cell>
          <cell r="J2371">
            <v>4</v>
          </cell>
          <cell r="K2371">
            <v>17</v>
          </cell>
          <cell r="L2371">
            <v>100.34</v>
          </cell>
          <cell r="M2371">
            <v>4</v>
          </cell>
          <cell r="N2371">
            <v>49.7</v>
          </cell>
          <cell r="O2371">
            <v>7.1</v>
          </cell>
          <cell r="P2371">
            <v>27.3</v>
          </cell>
          <cell r="S2371">
            <v>43</v>
          </cell>
          <cell r="T2371">
            <v>12.7</v>
          </cell>
          <cell r="U2371">
            <v>2</v>
          </cell>
        </row>
        <row r="2372">
          <cell r="B2372" t="str">
            <v>Female</v>
          </cell>
          <cell r="F2372">
            <v>10</v>
          </cell>
          <cell r="G2372">
            <v>14.9</v>
          </cell>
          <cell r="H2372">
            <v>1.7</v>
          </cell>
          <cell r="I2372">
            <v>72</v>
          </cell>
          <cell r="J2372">
            <v>2</v>
          </cell>
          <cell r="K2372">
            <v>13</v>
          </cell>
          <cell r="L2372">
            <v>122.3</v>
          </cell>
          <cell r="M2372">
            <v>56</v>
          </cell>
          <cell r="N2372">
            <v>30.9</v>
          </cell>
          <cell r="O2372">
            <v>8.4</v>
          </cell>
          <cell r="P2372">
            <v>6.6</v>
          </cell>
          <cell r="T2372">
            <v>5.5</v>
          </cell>
          <cell r="U2372">
            <v>3</v>
          </cell>
        </row>
        <row r="2373">
          <cell r="B2373" t="str">
            <v>Female</v>
          </cell>
          <cell r="F2373">
            <v>8</v>
          </cell>
          <cell r="G2373">
            <v>23.5</v>
          </cell>
          <cell r="H2373">
            <v>5.8</v>
          </cell>
          <cell r="I2373">
            <v>59.9</v>
          </cell>
          <cell r="J2373">
            <v>8</v>
          </cell>
          <cell r="K2373">
            <v>14</v>
          </cell>
          <cell r="L2373">
            <v>131.71</v>
          </cell>
          <cell r="M2373">
            <v>15</v>
          </cell>
          <cell r="N2373">
            <v>31.1</v>
          </cell>
          <cell r="O2373">
            <v>5.6</v>
          </cell>
          <cell r="P2373">
            <v>10.6</v>
          </cell>
          <cell r="S2373">
            <v>17.2</v>
          </cell>
          <cell r="T2373">
            <v>12.6</v>
          </cell>
          <cell r="U2373">
            <v>1</v>
          </cell>
        </row>
        <row r="2374">
          <cell r="B2374" t="str">
            <v>Female</v>
          </cell>
          <cell r="F2374">
            <v>18</v>
          </cell>
          <cell r="H2374">
            <v>4.2</v>
          </cell>
          <cell r="I2374">
            <v>71.2</v>
          </cell>
          <cell r="J2374">
            <v>1</v>
          </cell>
          <cell r="K2374">
            <v>9.1</v>
          </cell>
          <cell r="L2374">
            <v>146.94999999999999</v>
          </cell>
          <cell r="M2374">
            <v>12</v>
          </cell>
          <cell r="N2374">
            <v>64.8</v>
          </cell>
          <cell r="O2374">
            <v>8.4</v>
          </cell>
          <cell r="P2374">
            <v>6.3</v>
          </cell>
          <cell r="S2374">
            <v>8.9</v>
          </cell>
          <cell r="T2374">
            <v>12.6</v>
          </cell>
          <cell r="U2374">
            <v>3</v>
          </cell>
        </row>
        <row r="2375">
          <cell r="B2375" t="str">
            <v>Female</v>
          </cell>
          <cell r="F2375">
            <v>9</v>
          </cell>
          <cell r="G2375">
            <v>19.7</v>
          </cell>
          <cell r="H2375">
            <v>6.3</v>
          </cell>
          <cell r="I2375">
            <v>68.7</v>
          </cell>
          <cell r="J2375">
            <v>4</v>
          </cell>
          <cell r="K2375">
            <v>7</v>
          </cell>
          <cell r="L2375">
            <v>104.83</v>
          </cell>
          <cell r="M2375">
            <v>4</v>
          </cell>
          <cell r="N2375">
            <v>26.2</v>
          </cell>
          <cell r="O2375">
            <v>5.6</v>
          </cell>
          <cell r="P2375">
            <v>7.5</v>
          </cell>
          <cell r="S2375">
            <v>17.100000000000001</v>
          </cell>
          <cell r="T2375">
            <v>19</v>
          </cell>
          <cell r="U2375">
            <v>3</v>
          </cell>
        </row>
        <row r="2376">
          <cell r="B2376" t="str">
            <v>Female</v>
          </cell>
          <cell r="F2376">
            <v>2</v>
          </cell>
          <cell r="H2376">
            <v>6.2</v>
          </cell>
          <cell r="I2376">
            <v>68.099999999999994</v>
          </cell>
          <cell r="J2376">
            <v>4</v>
          </cell>
          <cell r="K2376">
            <v>13</v>
          </cell>
          <cell r="L2376">
            <v>126.91</v>
          </cell>
          <cell r="M2376">
            <v>7</v>
          </cell>
          <cell r="N2376">
            <v>45.4</v>
          </cell>
          <cell r="O2376">
            <v>14.6</v>
          </cell>
          <cell r="P2376">
            <v>17.399999999999999</v>
          </cell>
          <cell r="S2376">
            <v>23.9</v>
          </cell>
          <cell r="T2376">
            <v>10.199999999999999</v>
          </cell>
          <cell r="U2376">
            <v>4</v>
          </cell>
        </row>
        <row r="2377">
          <cell r="B2377" t="str">
            <v>Male</v>
          </cell>
          <cell r="F2377">
            <v>16</v>
          </cell>
          <cell r="G2377">
            <v>30.5</v>
          </cell>
          <cell r="H2377">
            <v>8.6</v>
          </cell>
          <cell r="I2377">
            <v>50.9</v>
          </cell>
          <cell r="J2377">
            <v>3</v>
          </cell>
          <cell r="K2377">
            <v>10</v>
          </cell>
          <cell r="L2377">
            <v>75.989999999999995</v>
          </cell>
          <cell r="M2377">
            <v>46</v>
          </cell>
          <cell r="O2377">
            <v>5.5</v>
          </cell>
          <cell r="P2377">
            <v>18.3</v>
          </cell>
          <cell r="S2377">
            <v>53.7</v>
          </cell>
          <cell r="T2377">
            <v>24.4</v>
          </cell>
          <cell r="U2377">
            <v>4</v>
          </cell>
        </row>
        <row r="2378">
          <cell r="B2378" t="str">
            <v>Female</v>
          </cell>
          <cell r="F2378">
            <v>19</v>
          </cell>
          <cell r="G2378">
            <v>44.6</v>
          </cell>
          <cell r="H2378">
            <v>9.9</v>
          </cell>
          <cell r="I2378">
            <v>31</v>
          </cell>
          <cell r="J2378">
            <v>4</v>
          </cell>
          <cell r="K2378">
            <v>16</v>
          </cell>
          <cell r="L2378">
            <v>100.11</v>
          </cell>
          <cell r="M2378">
            <v>14</v>
          </cell>
          <cell r="N2378">
            <v>6.3</v>
          </cell>
          <cell r="O2378">
            <v>2.8</v>
          </cell>
          <cell r="P2378">
            <v>26.3</v>
          </cell>
          <cell r="S2378">
            <v>50.1</v>
          </cell>
          <cell r="T2378">
            <v>28.5</v>
          </cell>
          <cell r="U2378">
            <v>2</v>
          </cell>
        </row>
        <row r="2379">
          <cell r="B2379" t="str">
            <v>Male</v>
          </cell>
          <cell r="F2379">
            <v>20</v>
          </cell>
          <cell r="H2379">
            <v>12</v>
          </cell>
          <cell r="I2379">
            <v>60.3</v>
          </cell>
          <cell r="J2379">
            <v>4</v>
          </cell>
          <cell r="K2379">
            <v>13</v>
          </cell>
          <cell r="L2379">
            <v>142.38</v>
          </cell>
          <cell r="M2379">
            <v>17</v>
          </cell>
          <cell r="N2379">
            <v>51.9</v>
          </cell>
          <cell r="O2379">
            <v>1.6</v>
          </cell>
          <cell r="P2379">
            <v>24.6</v>
          </cell>
          <cell r="S2379">
            <v>48.9</v>
          </cell>
          <cell r="T2379">
            <v>21</v>
          </cell>
          <cell r="U2379">
            <v>2</v>
          </cell>
        </row>
        <row r="2380">
          <cell r="B2380" t="str">
            <v>Female</v>
          </cell>
          <cell r="F2380">
            <v>22</v>
          </cell>
          <cell r="G2380">
            <v>36.6</v>
          </cell>
          <cell r="H2380">
            <v>9.1999999999999993</v>
          </cell>
          <cell r="I2380">
            <v>26.1</v>
          </cell>
          <cell r="J2380">
            <v>4</v>
          </cell>
          <cell r="K2380">
            <v>20</v>
          </cell>
          <cell r="L2380">
            <v>185.93</v>
          </cell>
          <cell r="M2380">
            <v>68</v>
          </cell>
          <cell r="N2380">
            <v>45.2</v>
          </cell>
          <cell r="O2380">
            <v>12.2</v>
          </cell>
          <cell r="P2380">
            <v>32.299999999999997</v>
          </cell>
          <cell r="S2380">
            <v>47.1</v>
          </cell>
          <cell r="T2380">
            <v>25.5</v>
          </cell>
          <cell r="U2380">
            <v>2</v>
          </cell>
        </row>
        <row r="2381">
          <cell r="B2381" t="str">
            <v>Female</v>
          </cell>
          <cell r="F2381">
            <v>8</v>
          </cell>
          <cell r="G2381">
            <v>26.1</v>
          </cell>
          <cell r="H2381">
            <v>6.8</v>
          </cell>
          <cell r="I2381">
            <v>64.5</v>
          </cell>
          <cell r="J2381">
            <v>4</v>
          </cell>
          <cell r="K2381">
            <v>8</v>
          </cell>
          <cell r="L2381">
            <v>76.319999999999993</v>
          </cell>
          <cell r="N2381">
            <v>22.3</v>
          </cell>
          <cell r="O2381">
            <v>6.8</v>
          </cell>
          <cell r="P2381">
            <v>4.4000000000000004</v>
          </cell>
          <cell r="T2381">
            <v>10.1</v>
          </cell>
          <cell r="U2381">
            <v>3</v>
          </cell>
        </row>
        <row r="2382">
          <cell r="B2382" t="str">
            <v>Female</v>
          </cell>
          <cell r="F2382">
            <v>11</v>
          </cell>
          <cell r="G2382">
            <v>26.1</v>
          </cell>
          <cell r="H2382">
            <v>6.6</v>
          </cell>
          <cell r="I2382">
            <v>51.2</v>
          </cell>
          <cell r="J2382">
            <v>5</v>
          </cell>
          <cell r="K2382">
            <v>12</v>
          </cell>
          <cell r="L2382">
            <v>233.73</v>
          </cell>
          <cell r="M2382">
            <v>22</v>
          </cell>
          <cell r="N2382">
            <v>11.1</v>
          </cell>
          <cell r="O2382">
            <v>3.6</v>
          </cell>
          <cell r="P2382">
            <v>7.4</v>
          </cell>
          <cell r="S2382">
            <v>26.3</v>
          </cell>
          <cell r="T2382">
            <v>15.8</v>
          </cell>
          <cell r="U2382">
            <v>1</v>
          </cell>
        </row>
        <row r="2383">
          <cell r="B2383" t="str">
            <v>Male</v>
          </cell>
          <cell r="F2383">
            <v>0</v>
          </cell>
          <cell r="G2383">
            <v>7.9</v>
          </cell>
          <cell r="H2383">
            <v>2.8</v>
          </cell>
          <cell r="I2383">
            <v>100</v>
          </cell>
          <cell r="J2383">
            <v>2</v>
          </cell>
          <cell r="K2383">
            <v>2</v>
          </cell>
          <cell r="L2383">
            <v>109.87</v>
          </cell>
          <cell r="M2383">
            <v>83</v>
          </cell>
          <cell r="N2383">
            <v>20.6</v>
          </cell>
          <cell r="O2383">
            <v>9.6</v>
          </cell>
          <cell r="P2383">
            <v>4.5</v>
          </cell>
          <cell r="S2383">
            <v>0</v>
          </cell>
          <cell r="T2383">
            <v>5.2</v>
          </cell>
          <cell r="U2383">
            <v>3</v>
          </cell>
        </row>
        <row r="2384">
          <cell r="B2384" t="str">
            <v>Male</v>
          </cell>
          <cell r="F2384">
            <v>23</v>
          </cell>
          <cell r="G2384">
            <v>44.1</v>
          </cell>
          <cell r="H2384">
            <v>16.100000000000001</v>
          </cell>
          <cell r="I2384">
            <v>27.7</v>
          </cell>
          <cell r="J2384">
            <v>5</v>
          </cell>
          <cell r="K2384">
            <v>23</v>
          </cell>
          <cell r="L2384">
            <v>183.34</v>
          </cell>
          <cell r="M2384">
            <v>24</v>
          </cell>
          <cell r="N2384">
            <v>49.1</v>
          </cell>
          <cell r="O2384">
            <v>2</v>
          </cell>
          <cell r="P2384">
            <v>54.8</v>
          </cell>
          <cell r="S2384">
            <v>50.6</v>
          </cell>
          <cell r="T2384">
            <v>33.200000000000003</v>
          </cell>
          <cell r="U2384">
            <v>1</v>
          </cell>
        </row>
        <row r="2385">
          <cell r="B2385" t="str">
            <v>Male</v>
          </cell>
          <cell r="F2385">
            <v>2</v>
          </cell>
          <cell r="G2385">
            <v>15.4</v>
          </cell>
          <cell r="H2385">
            <v>7.1</v>
          </cell>
          <cell r="I2385">
            <v>57.1</v>
          </cell>
          <cell r="K2385" t="str">
            <v>3.9000000000000004</v>
          </cell>
          <cell r="L2385">
            <v>52.33</v>
          </cell>
          <cell r="M2385">
            <v>35</v>
          </cell>
          <cell r="N2385">
            <v>88.08</v>
          </cell>
          <cell r="O2385">
            <v>12.6</v>
          </cell>
          <cell r="P2385">
            <v>9.8000000000000007</v>
          </cell>
          <cell r="S2385">
            <v>9.1999999999999993</v>
          </cell>
          <cell r="T2385">
            <v>6.8</v>
          </cell>
          <cell r="U2385">
            <v>3</v>
          </cell>
        </row>
        <row r="2386">
          <cell r="B2386" t="str">
            <v>Male</v>
          </cell>
          <cell r="F2386">
            <v>14</v>
          </cell>
          <cell r="G2386">
            <v>28.2</v>
          </cell>
          <cell r="H2386">
            <v>6.2</v>
          </cell>
          <cell r="I2386">
            <v>60.2</v>
          </cell>
          <cell r="J2386">
            <v>5</v>
          </cell>
          <cell r="K2386">
            <v>9</v>
          </cell>
          <cell r="L2386">
            <v>144.68</v>
          </cell>
          <cell r="M2386">
            <v>13</v>
          </cell>
          <cell r="N2386">
            <v>24.5</v>
          </cell>
          <cell r="O2386">
            <v>2.1</v>
          </cell>
          <cell r="P2386">
            <v>8.8000000000000007</v>
          </cell>
          <cell r="S2386">
            <v>31.3</v>
          </cell>
          <cell r="T2386">
            <v>23.9</v>
          </cell>
          <cell r="U2386">
            <v>1</v>
          </cell>
        </row>
        <row r="2387">
          <cell r="B2387" t="str">
            <v>Female</v>
          </cell>
          <cell r="F2387">
            <v>0</v>
          </cell>
          <cell r="H2387">
            <v>5.7</v>
          </cell>
          <cell r="I2387">
            <v>79.599999999999994</v>
          </cell>
          <cell r="J2387">
            <v>1</v>
          </cell>
          <cell r="K2387">
            <v>7</v>
          </cell>
          <cell r="L2387">
            <v>137.09</v>
          </cell>
          <cell r="M2387">
            <v>75</v>
          </cell>
          <cell r="N2387">
            <v>83.2</v>
          </cell>
          <cell r="O2387">
            <v>3.1</v>
          </cell>
          <cell r="P2387">
            <v>1.6</v>
          </cell>
          <cell r="S2387">
            <v>33.6</v>
          </cell>
          <cell r="T2387">
            <v>6.1</v>
          </cell>
          <cell r="U2387">
            <v>3</v>
          </cell>
        </row>
        <row r="2388">
          <cell r="B2388" t="str">
            <v>Male</v>
          </cell>
          <cell r="F2388">
            <v>4</v>
          </cell>
          <cell r="G2388">
            <v>6.2</v>
          </cell>
          <cell r="H2388">
            <v>1.6</v>
          </cell>
          <cell r="I2388">
            <v>76.400000000000006</v>
          </cell>
          <cell r="J2388">
            <v>0</v>
          </cell>
          <cell r="K2388">
            <v>5</v>
          </cell>
          <cell r="L2388">
            <v>90.89</v>
          </cell>
          <cell r="M2388">
            <v>15</v>
          </cell>
          <cell r="N2388">
            <v>21.1</v>
          </cell>
          <cell r="O2388">
            <v>1.3</v>
          </cell>
          <cell r="P2388">
            <v>16.2</v>
          </cell>
          <cell r="S2388">
            <v>0</v>
          </cell>
          <cell r="U2388">
            <v>2</v>
          </cell>
        </row>
        <row r="2389">
          <cell r="B2389" t="str">
            <v>Female</v>
          </cell>
          <cell r="F2389">
            <v>12</v>
          </cell>
          <cell r="G2389">
            <v>33.1</v>
          </cell>
          <cell r="H2389">
            <v>9</v>
          </cell>
          <cell r="I2389">
            <v>40.4</v>
          </cell>
          <cell r="J2389">
            <v>9</v>
          </cell>
          <cell r="K2389">
            <v>15</v>
          </cell>
          <cell r="L2389">
            <v>99.68</v>
          </cell>
          <cell r="M2389">
            <v>14</v>
          </cell>
          <cell r="N2389">
            <v>47.9</v>
          </cell>
          <cell r="O2389">
            <v>3.9</v>
          </cell>
          <cell r="P2389">
            <v>63.7</v>
          </cell>
          <cell r="S2389">
            <v>51.9</v>
          </cell>
          <cell r="T2389">
            <v>31.8</v>
          </cell>
          <cell r="U2389">
            <v>4</v>
          </cell>
        </row>
        <row r="2390">
          <cell r="B2390" t="str">
            <v>Female</v>
          </cell>
          <cell r="F2390">
            <v>14</v>
          </cell>
          <cell r="G2390">
            <v>24.3</v>
          </cell>
          <cell r="H2390">
            <v>8.9</v>
          </cell>
          <cell r="I2390">
            <v>52.7</v>
          </cell>
          <cell r="J2390">
            <v>6</v>
          </cell>
          <cell r="K2390">
            <v>14.3</v>
          </cell>
          <cell r="L2390">
            <v>80.86</v>
          </cell>
          <cell r="M2390">
            <v>27</v>
          </cell>
          <cell r="N2390" t="str">
            <v>49.440000000000005</v>
          </cell>
          <cell r="O2390">
            <v>0.4</v>
          </cell>
          <cell r="P2390">
            <v>19.600000000000001</v>
          </cell>
          <cell r="S2390">
            <v>40.6</v>
          </cell>
          <cell r="T2390">
            <v>21.9</v>
          </cell>
          <cell r="U2390">
            <v>3</v>
          </cell>
        </row>
        <row r="2391">
          <cell r="B2391" t="str">
            <v>Male</v>
          </cell>
          <cell r="F2391">
            <v>16</v>
          </cell>
          <cell r="G2391">
            <v>23.7</v>
          </cell>
          <cell r="H2391">
            <v>12</v>
          </cell>
          <cell r="I2391">
            <v>55.7</v>
          </cell>
          <cell r="J2391">
            <v>9</v>
          </cell>
          <cell r="K2391">
            <v>13</v>
          </cell>
          <cell r="L2391">
            <v>77.959999999999994</v>
          </cell>
          <cell r="M2391">
            <v>71</v>
          </cell>
          <cell r="N2391">
            <v>47.5</v>
          </cell>
          <cell r="O2391">
            <v>6.2</v>
          </cell>
          <cell r="P2391">
            <v>37</v>
          </cell>
          <cell r="S2391">
            <v>25.3</v>
          </cell>
          <cell r="T2391">
            <v>16.5</v>
          </cell>
          <cell r="U2391">
            <v>3</v>
          </cell>
        </row>
        <row r="2392">
          <cell r="B2392" t="str">
            <v>Female</v>
          </cell>
          <cell r="F2392">
            <v>14</v>
          </cell>
          <cell r="G2392">
            <v>19.8</v>
          </cell>
          <cell r="H2392">
            <v>6.3</v>
          </cell>
          <cell r="I2392">
            <v>81.400000000000006</v>
          </cell>
          <cell r="J2392">
            <v>4</v>
          </cell>
          <cell r="K2392">
            <v>10</v>
          </cell>
          <cell r="L2392">
            <v>59.63</v>
          </cell>
          <cell r="M2392">
            <v>74</v>
          </cell>
          <cell r="N2392">
            <v>0.8</v>
          </cell>
          <cell r="O2392">
            <v>9.8000000000000007</v>
          </cell>
          <cell r="P2392">
            <v>11.6</v>
          </cell>
          <cell r="S2392">
            <v>44.3</v>
          </cell>
          <cell r="T2392">
            <v>8.9</v>
          </cell>
          <cell r="U2392">
            <v>1</v>
          </cell>
        </row>
        <row r="2393">
          <cell r="B2393" t="str">
            <v>Female</v>
          </cell>
          <cell r="F2393">
            <v>13</v>
          </cell>
          <cell r="G2393">
            <v>39</v>
          </cell>
          <cell r="H2393">
            <v>10.3</v>
          </cell>
          <cell r="I2393">
            <v>30</v>
          </cell>
          <cell r="J2393">
            <v>6</v>
          </cell>
          <cell r="K2393">
            <v>19</v>
          </cell>
          <cell r="L2393">
            <v>181.91</v>
          </cell>
          <cell r="M2393">
            <v>37</v>
          </cell>
          <cell r="N2393">
            <v>32.299999999999997</v>
          </cell>
          <cell r="O2393">
            <v>11.5</v>
          </cell>
          <cell r="P2393">
            <v>29.6</v>
          </cell>
          <cell r="S2393">
            <v>63.8</v>
          </cell>
          <cell r="T2393">
            <v>13.8</v>
          </cell>
          <cell r="U2393">
            <v>4</v>
          </cell>
        </row>
        <row r="2394">
          <cell r="B2394" t="str">
            <v>Female</v>
          </cell>
          <cell r="F2394">
            <v>12</v>
          </cell>
          <cell r="G2394">
            <v>29.8</v>
          </cell>
          <cell r="H2394">
            <v>7.2</v>
          </cell>
          <cell r="I2394">
            <v>54.2</v>
          </cell>
          <cell r="J2394">
            <v>3</v>
          </cell>
          <cell r="K2394">
            <v>14</v>
          </cell>
          <cell r="L2394">
            <v>115.33</v>
          </cell>
          <cell r="M2394">
            <v>17</v>
          </cell>
          <cell r="N2394">
            <v>7.5</v>
          </cell>
          <cell r="O2394">
            <v>1</v>
          </cell>
          <cell r="P2394">
            <v>21.1</v>
          </cell>
          <cell r="S2394">
            <v>34.6</v>
          </cell>
          <cell r="T2394">
            <v>14.9</v>
          </cell>
          <cell r="U2394">
            <v>3</v>
          </cell>
        </row>
        <row r="2395">
          <cell r="B2395" t="str">
            <v>Male</v>
          </cell>
          <cell r="F2395">
            <v>23</v>
          </cell>
          <cell r="G2395">
            <v>36.4</v>
          </cell>
          <cell r="H2395">
            <v>11.8</v>
          </cell>
          <cell r="I2395">
            <v>44.2</v>
          </cell>
          <cell r="J2395">
            <v>2</v>
          </cell>
          <cell r="K2395">
            <v>19.5</v>
          </cell>
          <cell r="L2395">
            <v>80.790000000000006</v>
          </cell>
          <cell r="M2395">
            <v>1</v>
          </cell>
          <cell r="N2395" t="str">
            <v>48.35999999999999</v>
          </cell>
          <cell r="O2395">
            <v>7.2</v>
          </cell>
          <cell r="P2395">
            <v>22.2</v>
          </cell>
          <cell r="S2395">
            <v>38.4</v>
          </cell>
          <cell r="T2395">
            <v>21.4</v>
          </cell>
          <cell r="U2395">
            <v>1</v>
          </cell>
        </row>
        <row r="2396">
          <cell r="B2396" t="str">
            <v>Female</v>
          </cell>
          <cell r="F2396">
            <v>3</v>
          </cell>
          <cell r="H2396">
            <v>6.6</v>
          </cell>
          <cell r="I2396">
            <v>89.1</v>
          </cell>
          <cell r="J2396">
            <v>1</v>
          </cell>
          <cell r="K2396" t="str">
            <v>15.600000000000001</v>
          </cell>
          <cell r="L2396">
            <v>202.33</v>
          </cell>
          <cell r="M2396">
            <v>36</v>
          </cell>
          <cell r="N2396" t="str">
            <v>74.75999999999999</v>
          </cell>
          <cell r="O2396">
            <v>4.3</v>
          </cell>
          <cell r="P2396">
            <v>0.7</v>
          </cell>
          <cell r="S2396">
            <v>5</v>
          </cell>
          <cell r="U2396">
            <v>3</v>
          </cell>
        </row>
        <row r="2397">
          <cell r="B2397" t="str">
            <v>Male</v>
          </cell>
          <cell r="F2397">
            <v>9</v>
          </cell>
          <cell r="G2397">
            <v>33.799999999999997</v>
          </cell>
          <cell r="I2397">
            <v>55.6</v>
          </cell>
          <cell r="J2397">
            <v>5</v>
          </cell>
          <cell r="K2397">
            <v>12</v>
          </cell>
          <cell r="L2397">
            <v>156.97</v>
          </cell>
          <cell r="M2397">
            <v>0</v>
          </cell>
          <cell r="N2397">
            <v>27</v>
          </cell>
          <cell r="O2397">
            <v>17.8</v>
          </cell>
          <cell r="P2397">
            <v>17.100000000000001</v>
          </cell>
          <cell r="S2397">
            <v>33.6</v>
          </cell>
          <cell r="T2397">
            <v>18.8</v>
          </cell>
          <cell r="U2397">
            <v>1</v>
          </cell>
        </row>
        <row r="2398">
          <cell r="B2398" t="str">
            <v>Male</v>
          </cell>
          <cell r="F2398">
            <v>18</v>
          </cell>
          <cell r="G2398">
            <v>28.9</v>
          </cell>
          <cell r="H2398">
            <v>10.7</v>
          </cell>
          <cell r="I2398">
            <v>49</v>
          </cell>
          <cell r="K2398">
            <v>20</v>
          </cell>
          <cell r="L2398">
            <v>73.87</v>
          </cell>
          <cell r="M2398">
            <v>24</v>
          </cell>
          <cell r="N2398">
            <v>46.8</v>
          </cell>
          <cell r="O2398">
            <v>6.9</v>
          </cell>
          <cell r="P2398">
            <v>29.8</v>
          </cell>
          <cell r="S2398">
            <v>37.799999999999997</v>
          </cell>
          <cell r="T2398">
            <v>26.5</v>
          </cell>
          <cell r="U2398">
            <v>1</v>
          </cell>
        </row>
        <row r="2399">
          <cell r="B2399" t="str">
            <v>Female</v>
          </cell>
          <cell r="F2399">
            <v>13</v>
          </cell>
          <cell r="G2399">
            <v>34</v>
          </cell>
          <cell r="H2399">
            <v>7.6</v>
          </cell>
          <cell r="I2399">
            <v>66.900000000000006</v>
          </cell>
          <cell r="J2399">
            <v>3</v>
          </cell>
          <cell r="K2399">
            <v>13</v>
          </cell>
          <cell r="L2399">
            <v>133.27000000000001</v>
          </cell>
          <cell r="M2399">
            <v>54</v>
          </cell>
          <cell r="N2399">
            <v>47.76</v>
          </cell>
          <cell r="O2399">
            <v>4.9000000000000004</v>
          </cell>
          <cell r="P2399">
            <v>24</v>
          </cell>
          <cell r="S2399">
            <v>28</v>
          </cell>
          <cell r="T2399">
            <v>18.899999999999999</v>
          </cell>
          <cell r="U2399">
            <v>4</v>
          </cell>
        </row>
        <row r="2400">
          <cell r="B2400" t="str">
            <v>Male</v>
          </cell>
          <cell r="F2400">
            <v>24</v>
          </cell>
          <cell r="G2400">
            <v>30.8</v>
          </cell>
          <cell r="H2400">
            <v>9.4</v>
          </cell>
          <cell r="I2400">
            <v>49</v>
          </cell>
          <cell r="J2400">
            <v>6</v>
          </cell>
          <cell r="K2400">
            <v>16</v>
          </cell>
          <cell r="L2400">
            <v>47</v>
          </cell>
          <cell r="M2400">
            <v>21</v>
          </cell>
          <cell r="N2400">
            <v>5.3</v>
          </cell>
          <cell r="O2400">
            <v>4.3</v>
          </cell>
          <cell r="P2400">
            <v>39.9</v>
          </cell>
          <cell r="S2400">
            <v>27.7</v>
          </cell>
          <cell r="T2400">
            <v>24</v>
          </cell>
          <cell r="U2400">
            <v>3</v>
          </cell>
        </row>
        <row r="2401">
          <cell r="B2401" t="str">
            <v>Male</v>
          </cell>
          <cell r="F2401">
            <v>9</v>
          </cell>
          <cell r="G2401">
            <v>31.7</v>
          </cell>
          <cell r="H2401">
            <v>9.8000000000000007</v>
          </cell>
          <cell r="I2401">
            <v>67.2</v>
          </cell>
          <cell r="J2401">
            <v>4</v>
          </cell>
          <cell r="K2401">
            <v>12</v>
          </cell>
          <cell r="L2401">
            <v>146.85</v>
          </cell>
          <cell r="M2401">
            <v>16</v>
          </cell>
          <cell r="P2401">
            <v>11.9</v>
          </cell>
          <cell r="S2401">
            <v>6.2</v>
          </cell>
          <cell r="T2401">
            <v>17</v>
          </cell>
          <cell r="U2401">
            <v>3</v>
          </cell>
        </row>
        <row r="2402">
          <cell r="B2402" t="str">
            <v>Female</v>
          </cell>
          <cell r="F2402">
            <v>13</v>
          </cell>
          <cell r="G2402">
            <v>10.4</v>
          </cell>
          <cell r="H2402">
            <v>5.0999999999999996</v>
          </cell>
          <cell r="I2402">
            <v>63.5</v>
          </cell>
          <cell r="J2402">
            <v>4</v>
          </cell>
          <cell r="K2402">
            <v>12</v>
          </cell>
          <cell r="L2402">
            <v>222.71</v>
          </cell>
          <cell r="N2402">
            <v>33</v>
          </cell>
          <cell r="O2402">
            <v>5.6</v>
          </cell>
          <cell r="P2402">
            <v>15.9</v>
          </cell>
          <cell r="S2402">
            <v>30.3</v>
          </cell>
          <cell r="T2402">
            <v>29</v>
          </cell>
          <cell r="U2402">
            <v>2</v>
          </cell>
        </row>
        <row r="2403">
          <cell r="B2403" t="str">
            <v>Female</v>
          </cell>
          <cell r="F2403">
            <v>26</v>
          </cell>
          <cell r="G2403">
            <v>22.1</v>
          </cell>
          <cell r="H2403">
            <v>11.4</v>
          </cell>
          <cell r="I2403">
            <v>50.3</v>
          </cell>
          <cell r="J2403">
            <v>6</v>
          </cell>
          <cell r="K2403">
            <v>15</v>
          </cell>
          <cell r="L2403">
            <v>143.88</v>
          </cell>
          <cell r="M2403">
            <v>3</v>
          </cell>
          <cell r="N2403">
            <v>62.6</v>
          </cell>
          <cell r="O2403">
            <v>2.4</v>
          </cell>
          <cell r="P2403">
            <v>43.7</v>
          </cell>
          <cell r="S2403">
            <v>32.799999999999997</v>
          </cell>
          <cell r="T2403">
            <v>28.7</v>
          </cell>
          <cell r="U2403">
            <v>3</v>
          </cell>
        </row>
        <row r="2404">
          <cell r="B2404" t="str">
            <v>Female</v>
          </cell>
          <cell r="F2404">
            <v>8</v>
          </cell>
          <cell r="G2404">
            <v>36.1</v>
          </cell>
          <cell r="H2404">
            <v>10.1</v>
          </cell>
          <cell r="I2404">
            <v>45.3</v>
          </cell>
          <cell r="J2404">
            <v>7</v>
          </cell>
          <cell r="K2404">
            <v>15</v>
          </cell>
          <cell r="L2404">
            <v>71.92</v>
          </cell>
          <cell r="M2404">
            <v>69</v>
          </cell>
          <cell r="N2404">
            <v>13.1</v>
          </cell>
          <cell r="O2404">
            <v>1.5</v>
          </cell>
          <cell r="P2404">
            <v>25.1</v>
          </cell>
          <cell r="S2404">
            <v>40.5</v>
          </cell>
          <cell r="T2404">
            <v>19.5</v>
          </cell>
          <cell r="U2404">
            <v>1</v>
          </cell>
        </row>
        <row r="2405">
          <cell r="B2405" t="str">
            <v>Female</v>
          </cell>
          <cell r="F2405">
            <v>8</v>
          </cell>
          <cell r="G2405">
            <v>29.7</v>
          </cell>
          <cell r="H2405">
            <v>7.3</v>
          </cell>
          <cell r="I2405">
            <v>71.400000000000006</v>
          </cell>
          <cell r="J2405">
            <v>3</v>
          </cell>
          <cell r="K2405">
            <v>5</v>
          </cell>
          <cell r="L2405">
            <v>127.67</v>
          </cell>
          <cell r="M2405">
            <v>49</v>
          </cell>
          <cell r="N2405">
            <v>27.4</v>
          </cell>
          <cell r="O2405">
            <v>5.2</v>
          </cell>
          <cell r="P2405">
            <v>0</v>
          </cell>
          <cell r="S2405">
            <v>29.3</v>
          </cell>
          <cell r="T2405">
            <v>5.7</v>
          </cell>
          <cell r="U2405">
            <v>1</v>
          </cell>
        </row>
        <row r="2406">
          <cell r="B2406" t="str">
            <v>Male</v>
          </cell>
          <cell r="F2406">
            <v>30</v>
          </cell>
          <cell r="G2406">
            <v>45.2</v>
          </cell>
          <cell r="H2406">
            <v>8.1</v>
          </cell>
          <cell r="I2406">
            <v>42.5</v>
          </cell>
          <cell r="J2406">
            <v>8</v>
          </cell>
          <cell r="K2406">
            <v>20.8</v>
          </cell>
          <cell r="L2406">
            <v>114.5</v>
          </cell>
          <cell r="M2406">
            <v>2</v>
          </cell>
          <cell r="N2406">
            <v>36.72</v>
          </cell>
          <cell r="O2406">
            <v>9.8000000000000007</v>
          </cell>
          <cell r="P2406">
            <v>30.4</v>
          </cell>
          <cell r="S2406">
            <v>22</v>
          </cell>
          <cell r="T2406">
            <v>27.8</v>
          </cell>
          <cell r="U2406">
            <v>1</v>
          </cell>
        </row>
        <row r="2407">
          <cell r="B2407" t="str">
            <v>Female</v>
          </cell>
          <cell r="F2407">
            <v>0</v>
          </cell>
          <cell r="G2407">
            <v>15.1</v>
          </cell>
          <cell r="H2407">
            <v>4</v>
          </cell>
          <cell r="I2407">
            <v>71.599999999999994</v>
          </cell>
          <cell r="J2407">
            <v>2</v>
          </cell>
          <cell r="K2407">
            <v>5</v>
          </cell>
          <cell r="L2407">
            <v>191.38</v>
          </cell>
          <cell r="M2407">
            <v>43</v>
          </cell>
          <cell r="N2407">
            <v>70.7</v>
          </cell>
          <cell r="O2407">
            <v>1.2</v>
          </cell>
          <cell r="P2407">
            <v>0</v>
          </cell>
          <cell r="S2407">
            <v>0</v>
          </cell>
          <cell r="T2407">
            <v>6.4</v>
          </cell>
          <cell r="U2407">
            <v>2</v>
          </cell>
        </row>
        <row r="2408">
          <cell r="B2408" t="str">
            <v>Male</v>
          </cell>
          <cell r="F2408">
            <v>31</v>
          </cell>
          <cell r="G2408">
            <v>54.2</v>
          </cell>
          <cell r="H2408">
            <v>16.7</v>
          </cell>
          <cell r="I2408">
            <v>19.5</v>
          </cell>
          <cell r="J2408">
            <v>10</v>
          </cell>
          <cell r="K2408">
            <v>24</v>
          </cell>
          <cell r="L2408">
            <v>107.48</v>
          </cell>
          <cell r="N2408">
            <v>25.4</v>
          </cell>
          <cell r="P2408">
            <v>55.8</v>
          </cell>
          <cell r="S2408">
            <v>79.5</v>
          </cell>
          <cell r="T2408">
            <v>34.6</v>
          </cell>
          <cell r="U2408">
            <v>2</v>
          </cell>
        </row>
        <row r="2409">
          <cell r="B2409" t="str">
            <v>Female</v>
          </cell>
          <cell r="F2409">
            <v>16</v>
          </cell>
          <cell r="G2409">
            <v>20.7</v>
          </cell>
          <cell r="H2409">
            <v>6.4</v>
          </cell>
          <cell r="I2409">
            <v>59.5</v>
          </cell>
          <cell r="J2409">
            <v>4</v>
          </cell>
          <cell r="K2409">
            <v>12</v>
          </cell>
          <cell r="L2409">
            <v>120.12</v>
          </cell>
          <cell r="M2409">
            <v>13</v>
          </cell>
          <cell r="N2409">
            <v>64.900000000000006</v>
          </cell>
          <cell r="O2409">
            <v>3.6</v>
          </cell>
          <cell r="P2409">
            <v>22.8</v>
          </cell>
          <cell r="S2409">
            <v>21.7</v>
          </cell>
          <cell r="T2409">
            <v>15.9</v>
          </cell>
          <cell r="U2409">
            <v>3</v>
          </cell>
        </row>
        <row r="2410">
          <cell r="B2410" t="str">
            <v>Male</v>
          </cell>
          <cell r="F2410">
            <v>5</v>
          </cell>
          <cell r="G2410">
            <v>23.6</v>
          </cell>
          <cell r="H2410">
            <v>8.3000000000000007</v>
          </cell>
          <cell r="I2410">
            <v>67.599999999999994</v>
          </cell>
          <cell r="J2410">
            <v>1</v>
          </cell>
          <cell r="K2410">
            <v>11</v>
          </cell>
          <cell r="L2410">
            <v>76.39</v>
          </cell>
          <cell r="M2410">
            <v>46</v>
          </cell>
          <cell r="N2410">
            <v>26.2</v>
          </cell>
          <cell r="O2410">
            <v>12.4</v>
          </cell>
          <cell r="P2410">
            <v>39</v>
          </cell>
          <cell r="S2410">
            <v>11.9</v>
          </cell>
          <cell r="T2410">
            <v>14.6</v>
          </cell>
          <cell r="U2410">
            <v>3</v>
          </cell>
        </row>
        <row r="2411">
          <cell r="B2411" t="str">
            <v>Male</v>
          </cell>
          <cell r="F2411">
            <v>2</v>
          </cell>
          <cell r="G2411">
            <v>11.6</v>
          </cell>
          <cell r="H2411">
            <v>6.5</v>
          </cell>
          <cell r="I2411">
            <v>60.9</v>
          </cell>
          <cell r="J2411">
            <v>1</v>
          </cell>
          <cell r="K2411">
            <v>3</v>
          </cell>
          <cell r="L2411">
            <v>84.8</v>
          </cell>
          <cell r="M2411">
            <v>1</v>
          </cell>
          <cell r="N2411">
            <v>65.900000000000006</v>
          </cell>
          <cell r="O2411">
            <v>2.1</v>
          </cell>
          <cell r="P2411">
            <v>1.8</v>
          </cell>
          <cell r="S2411">
            <v>20.2</v>
          </cell>
          <cell r="T2411">
            <v>7.5</v>
          </cell>
          <cell r="U2411">
            <v>2</v>
          </cell>
        </row>
        <row r="2412">
          <cell r="B2412" t="str">
            <v>Female</v>
          </cell>
          <cell r="F2412">
            <v>12</v>
          </cell>
          <cell r="G2412">
            <v>22.9</v>
          </cell>
          <cell r="H2412">
            <v>8.3000000000000007</v>
          </cell>
          <cell r="I2412">
            <v>54</v>
          </cell>
          <cell r="K2412">
            <v>13</v>
          </cell>
          <cell r="L2412">
            <v>63.87</v>
          </cell>
          <cell r="M2412">
            <v>3</v>
          </cell>
          <cell r="N2412">
            <v>32.799999999999997</v>
          </cell>
          <cell r="O2412">
            <v>10.4</v>
          </cell>
          <cell r="P2412">
            <v>20.2</v>
          </cell>
          <cell r="S2412">
            <v>18.3</v>
          </cell>
          <cell r="T2412">
            <v>18.399999999999999</v>
          </cell>
          <cell r="U2412">
            <v>4</v>
          </cell>
        </row>
        <row r="2413">
          <cell r="B2413" t="str">
            <v>Male</v>
          </cell>
          <cell r="F2413">
            <v>5</v>
          </cell>
          <cell r="G2413">
            <v>23.6</v>
          </cell>
          <cell r="H2413">
            <v>6.5</v>
          </cell>
          <cell r="I2413">
            <v>91.4</v>
          </cell>
          <cell r="J2413">
            <v>3</v>
          </cell>
          <cell r="K2413">
            <v>10</v>
          </cell>
          <cell r="L2413">
            <v>171.82</v>
          </cell>
          <cell r="M2413">
            <v>12</v>
          </cell>
          <cell r="O2413">
            <v>9.6</v>
          </cell>
          <cell r="P2413">
            <v>14.5</v>
          </cell>
          <cell r="S2413">
            <v>14.3</v>
          </cell>
          <cell r="T2413">
            <v>18.2</v>
          </cell>
          <cell r="U2413">
            <v>1</v>
          </cell>
        </row>
        <row r="2414">
          <cell r="B2414" t="str">
            <v>Female</v>
          </cell>
          <cell r="F2414">
            <v>11</v>
          </cell>
          <cell r="G2414">
            <v>28.1</v>
          </cell>
          <cell r="I2414">
            <v>65.3</v>
          </cell>
          <cell r="J2414">
            <v>3</v>
          </cell>
          <cell r="K2414" t="str">
            <v>15.600000000000001</v>
          </cell>
          <cell r="L2414">
            <v>163.65</v>
          </cell>
          <cell r="M2414">
            <v>69</v>
          </cell>
          <cell r="N2414" t="str">
            <v>44.279999999999994</v>
          </cell>
          <cell r="O2414">
            <v>1.3</v>
          </cell>
          <cell r="P2414">
            <v>32.700000000000003</v>
          </cell>
          <cell r="S2414">
            <v>42.5</v>
          </cell>
          <cell r="T2414">
            <v>23.6</v>
          </cell>
        </row>
        <row r="2415">
          <cell r="B2415" t="str">
            <v>Male</v>
          </cell>
          <cell r="F2415">
            <v>20</v>
          </cell>
          <cell r="G2415">
            <v>27.9</v>
          </cell>
          <cell r="H2415">
            <v>15.7</v>
          </cell>
          <cell r="I2415">
            <v>57.5</v>
          </cell>
          <cell r="J2415">
            <v>5</v>
          </cell>
          <cell r="K2415" t="str">
            <v>16.900000000000002</v>
          </cell>
          <cell r="L2415">
            <v>152.88</v>
          </cell>
          <cell r="M2415">
            <v>8</v>
          </cell>
          <cell r="N2415" t="str">
            <v>30.479999999999997</v>
          </cell>
          <cell r="O2415">
            <v>0.9</v>
          </cell>
          <cell r="P2415">
            <v>23.3</v>
          </cell>
          <cell r="S2415">
            <v>52.5</v>
          </cell>
          <cell r="T2415">
            <v>29.5</v>
          </cell>
          <cell r="U2415">
            <v>3</v>
          </cell>
        </row>
        <row r="2416">
          <cell r="B2416" t="str">
            <v>Male</v>
          </cell>
          <cell r="F2416">
            <v>26</v>
          </cell>
          <cell r="G2416">
            <v>54.3</v>
          </cell>
          <cell r="H2416">
            <v>16</v>
          </cell>
          <cell r="I2416">
            <v>11.9</v>
          </cell>
          <cell r="J2416">
            <v>15</v>
          </cell>
          <cell r="K2416">
            <v>21</v>
          </cell>
          <cell r="L2416">
            <v>102.88</v>
          </cell>
          <cell r="M2416">
            <v>1</v>
          </cell>
          <cell r="N2416">
            <v>54.1</v>
          </cell>
          <cell r="O2416">
            <v>2</v>
          </cell>
          <cell r="P2416">
            <v>33.5</v>
          </cell>
          <cell r="S2416">
            <v>55.7</v>
          </cell>
          <cell r="T2416">
            <v>40.4</v>
          </cell>
          <cell r="U2416">
            <v>3</v>
          </cell>
        </row>
        <row r="2417">
          <cell r="B2417" t="str">
            <v>Female</v>
          </cell>
          <cell r="F2417">
            <v>9</v>
          </cell>
          <cell r="G2417">
            <v>30.5</v>
          </cell>
          <cell r="H2417">
            <v>12.2</v>
          </cell>
          <cell r="I2417">
            <v>17.899999999999999</v>
          </cell>
          <cell r="J2417">
            <v>2</v>
          </cell>
          <cell r="K2417">
            <v>15</v>
          </cell>
          <cell r="L2417">
            <v>116.08</v>
          </cell>
          <cell r="M2417">
            <v>5</v>
          </cell>
          <cell r="N2417">
            <v>83.9</v>
          </cell>
          <cell r="O2417">
            <v>6.7</v>
          </cell>
          <cell r="P2417">
            <v>38.799999999999997</v>
          </cell>
          <cell r="S2417">
            <v>19.399999999999999</v>
          </cell>
          <cell r="T2417">
            <v>23</v>
          </cell>
          <cell r="U2417">
            <v>2</v>
          </cell>
        </row>
        <row r="2418">
          <cell r="B2418" t="str">
            <v>Male</v>
          </cell>
          <cell r="F2418">
            <v>1</v>
          </cell>
          <cell r="G2418">
            <v>18.2</v>
          </cell>
          <cell r="H2418">
            <v>5.3</v>
          </cell>
          <cell r="I2418">
            <v>72.099999999999994</v>
          </cell>
          <cell r="J2418">
            <v>1</v>
          </cell>
          <cell r="K2418">
            <v>6</v>
          </cell>
          <cell r="L2418">
            <v>158.79</v>
          </cell>
          <cell r="M2418">
            <v>1</v>
          </cell>
          <cell r="N2418">
            <v>24.6</v>
          </cell>
          <cell r="O2418">
            <v>1.8</v>
          </cell>
          <cell r="P2418">
            <v>0</v>
          </cell>
          <cell r="S2418">
            <v>19.5</v>
          </cell>
          <cell r="T2418">
            <v>3.5</v>
          </cell>
          <cell r="U2418">
            <v>4</v>
          </cell>
        </row>
        <row r="2419">
          <cell r="B2419" t="str">
            <v>Male</v>
          </cell>
          <cell r="F2419">
            <v>3</v>
          </cell>
          <cell r="G2419">
            <v>9.6</v>
          </cell>
          <cell r="H2419">
            <v>5</v>
          </cell>
          <cell r="I2419">
            <v>83.1</v>
          </cell>
          <cell r="J2419">
            <v>1</v>
          </cell>
          <cell r="K2419">
            <v>3</v>
          </cell>
          <cell r="L2419">
            <v>170.77</v>
          </cell>
          <cell r="M2419">
            <v>12</v>
          </cell>
          <cell r="O2419">
            <v>1.9</v>
          </cell>
          <cell r="P2419">
            <v>15.4</v>
          </cell>
          <cell r="S2419">
            <v>15.9</v>
          </cell>
          <cell r="T2419">
            <v>11.2</v>
          </cell>
          <cell r="U2419">
            <v>4</v>
          </cell>
        </row>
        <row r="2420">
          <cell r="B2420" t="str">
            <v>Female</v>
          </cell>
          <cell r="F2420">
            <v>6</v>
          </cell>
          <cell r="G2420">
            <v>28.8</v>
          </cell>
          <cell r="H2420">
            <v>6.4</v>
          </cell>
          <cell r="I2420">
            <v>57.7</v>
          </cell>
          <cell r="J2420">
            <v>1</v>
          </cell>
          <cell r="K2420">
            <v>15</v>
          </cell>
          <cell r="L2420">
            <v>81.64</v>
          </cell>
          <cell r="N2420">
            <v>57.4</v>
          </cell>
          <cell r="O2420">
            <v>9</v>
          </cell>
          <cell r="P2420">
            <v>32.4</v>
          </cell>
          <cell r="S2420">
            <v>18.3</v>
          </cell>
          <cell r="T2420">
            <v>18</v>
          </cell>
          <cell r="U2420">
            <v>2</v>
          </cell>
        </row>
        <row r="2421">
          <cell r="B2421" t="str">
            <v>Male</v>
          </cell>
          <cell r="F2421">
            <v>6</v>
          </cell>
          <cell r="G2421">
            <v>17</v>
          </cell>
          <cell r="H2421">
            <v>3.6</v>
          </cell>
          <cell r="I2421">
            <v>92.3</v>
          </cell>
          <cell r="K2421">
            <v>5</v>
          </cell>
          <cell r="L2421">
            <v>156.27000000000001</v>
          </cell>
          <cell r="M2421">
            <v>12</v>
          </cell>
          <cell r="N2421">
            <v>28</v>
          </cell>
          <cell r="O2421">
            <v>16.7</v>
          </cell>
          <cell r="P2421">
            <v>8.6</v>
          </cell>
          <cell r="S2421">
            <v>9.5</v>
          </cell>
          <cell r="T2421">
            <v>6.2</v>
          </cell>
          <cell r="U2421">
            <v>1</v>
          </cell>
        </row>
        <row r="2422">
          <cell r="B2422" t="str">
            <v>Female</v>
          </cell>
          <cell r="F2422">
            <v>18</v>
          </cell>
          <cell r="G2422">
            <v>25.9</v>
          </cell>
          <cell r="H2422">
            <v>12</v>
          </cell>
          <cell r="I2422">
            <v>65.900000000000006</v>
          </cell>
          <cell r="J2422">
            <v>7</v>
          </cell>
          <cell r="K2422">
            <v>13</v>
          </cell>
          <cell r="L2422">
            <v>128.35</v>
          </cell>
          <cell r="M2422">
            <v>15</v>
          </cell>
          <cell r="N2422">
            <v>35.200000000000003</v>
          </cell>
          <cell r="O2422">
            <v>3.1</v>
          </cell>
          <cell r="P2422">
            <v>33.6</v>
          </cell>
          <cell r="S2422">
            <v>41.7</v>
          </cell>
          <cell r="T2422">
            <v>15.9</v>
          </cell>
          <cell r="U2422">
            <v>3</v>
          </cell>
        </row>
        <row r="2423">
          <cell r="B2423" t="str">
            <v>Female</v>
          </cell>
          <cell r="F2423">
            <v>5</v>
          </cell>
          <cell r="G2423">
            <v>17.100000000000001</v>
          </cell>
          <cell r="H2423">
            <v>2.8</v>
          </cell>
          <cell r="I2423">
            <v>52.6</v>
          </cell>
          <cell r="J2423">
            <v>3</v>
          </cell>
          <cell r="K2423">
            <v>9</v>
          </cell>
          <cell r="L2423">
            <v>105.15</v>
          </cell>
          <cell r="M2423">
            <v>10</v>
          </cell>
          <cell r="N2423">
            <v>63.9</v>
          </cell>
          <cell r="O2423">
            <v>4.0999999999999996</v>
          </cell>
          <cell r="P2423">
            <v>0</v>
          </cell>
          <cell r="T2423">
            <v>25.3</v>
          </cell>
          <cell r="U2423">
            <v>1</v>
          </cell>
        </row>
        <row r="2424">
          <cell r="B2424" t="str">
            <v>Female</v>
          </cell>
          <cell r="F2424">
            <v>21</v>
          </cell>
          <cell r="G2424">
            <v>14.1</v>
          </cell>
          <cell r="H2424">
            <v>8.8000000000000007</v>
          </cell>
          <cell r="I2424">
            <v>63.8</v>
          </cell>
          <cell r="J2424">
            <v>1</v>
          </cell>
          <cell r="K2424">
            <v>9</v>
          </cell>
          <cell r="L2424">
            <v>127.26</v>
          </cell>
          <cell r="M2424">
            <v>15</v>
          </cell>
          <cell r="N2424">
            <v>43.8</v>
          </cell>
          <cell r="O2424">
            <v>3.9</v>
          </cell>
          <cell r="P2424">
            <v>21.9</v>
          </cell>
          <cell r="S2424">
            <v>33.4</v>
          </cell>
          <cell r="T2424">
            <v>13.4</v>
          </cell>
          <cell r="U2424">
            <v>1</v>
          </cell>
        </row>
        <row r="2425">
          <cell r="B2425" t="str">
            <v>Female</v>
          </cell>
          <cell r="F2425">
            <v>14</v>
          </cell>
          <cell r="G2425">
            <v>27.7</v>
          </cell>
          <cell r="H2425">
            <v>11.1</v>
          </cell>
          <cell r="I2425">
            <v>53.5</v>
          </cell>
          <cell r="J2425">
            <v>2</v>
          </cell>
          <cell r="K2425">
            <v>11</v>
          </cell>
          <cell r="L2425">
            <v>141.76</v>
          </cell>
          <cell r="M2425">
            <v>31</v>
          </cell>
          <cell r="N2425">
            <v>18.7</v>
          </cell>
          <cell r="P2425">
            <v>13.9</v>
          </cell>
          <cell r="S2425">
            <v>44.9</v>
          </cell>
          <cell r="T2425">
            <v>14.3</v>
          </cell>
          <cell r="U2425">
            <v>1</v>
          </cell>
        </row>
        <row r="2426">
          <cell r="B2426" t="str">
            <v>Male</v>
          </cell>
          <cell r="F2426">
            <v>13</v>
          </cell>
          <cell r="G2426">
            <v>15</v>
          </cell>
          <cell r="H2426">
            <v>6.1</v>
          </cell>
          <cell r="I2426">
            <v>56.3</v>
          </cell>
          <cell r="J2426">
            <v>2</v>
          </cell>
          <cell r="K2426">
            <v>11</v>
          </cell>
          <cell r="L2426">
            <v>65.349999999999994</v>
          </cell>
          <cell r="M2426">
            <v>4</v>
          </cell>
          <cell r="N2426">
            <v>36.1</v>
          </cell>
          <cell r="P2426">
            <v>13.5</v>
          </cell>
          <cell r="T2426">
            <v>10.4</v>
          </cell>
          <cell r="U2426">
            <v>1</v>
          </cell>
        </row>
        <row r="2427">
          <cell r="B2427" t="str">
            <v>Male</v>
          </cell>
          <cell r="F2427">
            <v>10</v>
          </cell>
          <cell r="G2427">
            <v>10.7</v>
          </cell>
          <cell r="H2427">
            <v>3.1</v>
          </cell>
          <cell r="I2427">
            <v>83.5</v>
          </cell>
          <cell r="J2427">
            <v>3</v>
          </cell>
          <cell r="K2427">
            <v>9</v>
          </cell>
          <cell r="L2427">
            <v>136.16999999999999</v>
          </cell>
          <cell r="M2427">
            <v>32</v>
          </cell>
          <cell r="N2427">
            <v>71.400000000000006</v>
          </cell>
          <cell r="O2427">
            <v>7.9</v>
          </cell>
          <cell r="P2427">
            <v>0</v>
          </cell>
          <cell r="S2427">
            <v>0</v>
          </cell>
          <cell r="T2427">
            <v>0.6</v>
          </cell>
          <cell r="U2427">
            <v>2</v>
          </cell>
        </row>
        <row r="2428">
          <cell r="B2428" t="str">
            <v>Female</v>
          </cell>
          <cell r="F2428">
            <v>21</v>
          </cell>
          <cell r="G2428">
            <v>18.399999999999999</v>
          </cell>
          <cell r="H2428">
            <v>12.3</v>
          </cell>
          <cell r="I2428">
            <v>66.599999999999994</v>
          </cell>
          <cell r="J2428">
            <v>3</v>
          </cell>
          <cell r="K2428">
            <v>11</v>
          </cell>
          <cell r="L2428">
            <v>71.42</v>
          </cell>
          <cell r="M2428">
            <v>7</v>
          </cell>
          <cell r="N2428">
            <v>64.5</v>
          </cell>
          <cell r="O2428">
            <v>4</v>
          </cell>
          <cell r="P2428">
            <v>31.4</v>
          </cell>
          <cell r="S2428">
            <v>35.799999999999997</v>
          </cell>
          <cell r="T2428">
            <v>23.8</v>
          </cell>
        </row>
        <row r="2429">
          <cell r="B2429" t="str">
            <v>Male</v>
          </cell>
          <cell r="F2429">
            <v>19</v>
          </cell>
          <cell r="G2429">
            <v>33.200000000000003</v>
          </cell>
          <cell r="H2429">
            <v>14.4</v>
          </cell>
          <cell r="I2429">
            <v>30.2</v>
          </cell>
          <cell r="J2429">
            <v>8</v>
          </cell>
          <cell r="K2429">
            <v>17</v>
          </cell>
          <cell r="L2429">
            <v>76.58</v>
          </cell>
          <cell r="M2429">
            <v>37</v>
          </cell>
          <cell r="N2429">
            <v>65</v>
          </cell>
          <cell r="O2429">
            <v>2.5</v>
          </cell>
          <cell r="P2429">
            <v>25.4</v>
          </cell>
          <cell r="S2429">
            <v>78</v>
          </cell>
          <cell r="T2429">
            <v>29.5</v>
          </cell>
          <cell r="U2429">
            <v>1</v>
          </cell>
        </row>
        <row r="2430">
          <cell r="B2430" t="str">
            <v>Male</v>
          </cell>
          <cell r="F2430">
            <v>9</v>
          </cell>
          <cell r="G2430">
            <v>26.6</v>
          </cell>
          <cell r="H2430">
            <v>8.6</v>
          </cell>
          <cell r="I2430">
            <v>62.7</v>
          </cell>
          <cell r="J2430">
            <v>4</v>
          </cell>
          <cell r="K2430" t="str">
            <v>16.900000000000002</v>
          </cell>
          <cell r="L2430">
            <v>121.86</v>
          </cell>
          <cell r="M2430">
            <v>16</v>
          </cell>
          <cell r="N2430">
            <v>48.72</v>
          </cell>
          <cell r="O2430">
            <v>5.5</v>
          </cell>
          <cell r="P2430">
            <v>22.8</v>
          </cell>
          <cell r="S2430">
            <v>28.2</v>
          </cell>
          <cell r="T2430">
            <v>13.8</v>
          </cell>
          <cell r="U2430">
            <v>2</v>
          </cell>
        </row>
        <row r="2431">
          <cell r="B2431" t="str">
            <v>Male</v>
          </cell>
          <cell r="F2431">
            <v>13</v>
          </cell>
          <cell r="H2431">
            <v>5.8</v>
          </cell>
          <cell r="I2431">
            <v>63.1</v>
          </cell>
          <cell r="J2431">
            <v>2</v>
          </cell>
          <cell r="K2431">
            <v>7</v>
          </cell>
          <cell r="L2431">
            <v>144.43</v>
          </cell>
          <cell r="M2431">
            <v>50</v>
          </cell>
          <cell r="N2431">
            <v>33.9</v>
          </cell>
          <cell r="O2431">
            <v>0.9</v>
          </cell>
          <cell r="P2431">
            <v>28.6</v>
          </cell>
          <cell r="T2431">
            <v>18.8</v>
          </cell>
          <cell r="U2431">
            <v>4</v>
          </cell>
        </row>
        <row r="2432">
          <cell r="B2432" t="str">
            <v>Male</v>
          </cell>
          <cell r="F2432">
            <v>7</v>
          </cell>
          <cell r="G2432">
            <v>10.9</v>
          </cell>
          <cell r="H2432">
            <v>2.4</v>
          </cell>
          <cell r="I2432">
            <v>93.3</v>
          </cell>
          <cell r="J2432">
            <v>0</v>
          </cell>
          <cell r="K2432">
            <v>9.1</v>
          </cell>
          <cell r="L2432">
            <v>46.58</v>
          </cell>
          <cell r="M2432">
            <v>42</v>
          </cell>
          <cell r="O2432">
            <v>6.2</v>
          </cell>
          <cell r="P2432">
            <v>0</v>
          </cell>
          <cell r="S2432">
            <v>1.3</v>
          </cell>
          <cell r="T2432">
            <v>8.3000000000000007</v>
          </cell>
          <cell r="U2432">
            <v>1</v>
          </cell>
        </row>
        <row r="2433">
          <cell r="B2433" t="str">
            <v>Other</v>
          </cell>
          <cell r="F2433">
            <v>6</v>
          </cell>
          <cell r="G2433">
            <v>9.1</v>
          </cell>
          <cell r="H2433">
            <v>4.3</v>
          </cell>
          <cell r="I2433">
            <v>81.8</v>
          </cell>
          <cell r="J2433">
            <v>2</v>
          </cell>
          <cell r="K2433">
            <v>3</v>
          </cell>
          <cell r="L2433">
            <v>173.94</v>
          </cell>
          <cell r="M2433">
            <v>3</v>
          </cell>
          <cell r="N2433">
            <v>22</v>
          </cell>
          <cell r="O2433">
            <v>5.8</v>
          </cell>
          <cell r="P2433">
            <v>20</v>
          </cell>
          <cell r="S2433">
            <v>3.8</v>
          </cell>
          <cell r="T2433">
            <v>6.6</v>
          </cell>
          <cell r="U2433">
            <v>1</v>
          </cell>
        </row>
        <row r="2434">
          <cell r="B2434" t="str">
            <v>Female</v>
          </cell>
          <cell r="F2434">
            <v>8</v>
          </cell>
          <cell r="G2434">
            <v>8.6</v>
          </cell>
          <cell r="H2434">
            <v>3.4</v>
          </cell>
          <cell r="I2434">
            <v>68.400000000000006</v>
          </cell>
          <cell r="J2434">
            <v>3</v>
          </cell>
          <cell r="K2434">
            <v>4</v>
          </cell>
          <cell r="L2434">
            <v>132.22</v>
          </cell>
          <cell r="M2434">
            <v>16</v>
          </cell>
          <cell r="N2434">
            <v>17.7</v>
          </cell>
          <cell r="O2434">
            <v>4.9000000000000004</v>
          </cell>
          <cell r="P2434">
            <v>0</v>
          </cell>
          <cell r="S2434">
            <v>22.4</v>
          </cell>
          <cell r="T2434">
            <v>4.2</v>
          </cell>
          <cell r="U2434">
            <v>1</v>
          </cell>
        </row>
        <row r="2435">
          <cell r="B2435" t="str">
            <v>Female</v>
          </cell>
          <cell r="F2435">
            <v>26</v>
          </cell>
          <cell r="G2435">
            <v>55.5</v>
          </cell>
          <cell r="H2435">
            <v>12.5</v>
          </cell>
          <cell r="I2435">
            <v>47.9</v>
          </cell>
          <cell r="J2435">
            <v>7</v>
          </cell>
          <cell r="K2435">
            <v>27.3</v>
          </cell>
          <cell r="L2435">
            <v>103.25</v>
          </cell>
          <cell r="M2435">
            <v>53</v>
          </cell>
          <cell r="N2435">
            <v>75.36</v>
          </cell>
          <cell r="O2435">
            <v>4.0999999999999996</v>
          </cell>
          <cell r="P2435">
            <v>28.6</v>
          </cell>
          <cell r="S2435">
            <v>64.900000000000006</v>
          </cell>
          <cell r="T2435">
            <v>27</v>
          </cell>
          <cell r="U2435">
            <v>4</v>
          </cell>
        </row>
        <row r="2436">
          <cell r="B2436" t="str">
            <v>Other</v>
          </cell>
          <cell r="F2436">
            <v>4</v>
          </cell>
          <cell r="G2436">
            <v>17</v>
          </cell>
          <cell r="H2436">
            <v>1</v>
          </cell>
          <cell r="I2436">
            <v>68.8</v>
          </cell>
          <cell r="J2436">
            <v>0</v>
          </cell>
          <cell r="K2436">
            <v>8</v>
          </cell>
          <cell r="L2436">
            <v>104.85</v>
          </cell>
          <cell r="M2436">
            <v>23</v>
          </cell>
          <cell r="N2436">
            <v>70.8</v>
          </cell>
          <cell r="O2436">
            <v>2.1</v>
          </cell>
          <cell r="P2436">
            <v>17.600000000000001</v>
          </cell>
          <cell r="S2436">
            <v>17.5</v>
          </cell>
          <cell r="T2436">
            <v>6.9</v>
          </cell>
          <cell r="U2436">
            <v>2</v>
          </cell>
        </row>
        <row r="2437">
          <cell r="B2437" t="str">
            <v>Male</v>
          </cell>
          <cell r="F2437">
            <v>22</v>
          </cell>
          <cell r="G2437">
            <v>43.7</v>
          </cell>
          <cell r="H2437">
            <v>12.3</v>
          </cell>
          <cell r="I2437">
            <v>30.7</v>
          </cell>
          <cell r="J2437">
            <v>7</v>
          </cell>
          <cell r="K2437">
            <v>24.7</v>
          </cell>
          <cell r="L2437">
            <v>138.16999999999999</v>
          </cell>
          <cell r="M2437">
            <v>2</v>
          </cell>
          <cell r="N2437">
            <v>113.16</v>
          </cell>
          <cell r="O2437">
            <v>5.2</v>
          </cell>
          <cell r="P2437">
            <v>30.4</v>
          </cell>
          <cell r="S2437">
            <v>65.599999999999994</v>
          </cell>
          <cell r="T2437">
            <v>33.9</v>
          </cell>
          <cell r="U2437">
            <v>1</v>
          </cell>
        </row>
        <row r="2438">
          <cell r="B2438" t="str">
            <v>Male</v>
          </cell>
          <cell r="F2438">
            <v>8</v>
          </cell>
          <cell r="G2438">
            <v>20.9</v>
          </cell>
          <cell r="H2438">
            <v>10.199999999999999</v>
          </cell>
          <cell r="I2438">
            <v>53.1</v>
          </cell>
          <cell r="J2438">
            <v>2</v>
          </cell>
          <cell r="K2438">
            <v>9</v>
          </cell>
          <cell r="L2438">
            <v>87.21</v>
          </cell>
          <cell r="M2438">
            <v>25</v>
          </cell>
          <cell r="N2438">
            <v>13.1</v>
          </cell>
          <cell r="O2438">
            <v>4.4000000000000004</v>
          </cell>
          <cell r="P2438">
            <v>3.6</v>
          </cell>
          <cell r="S2438">
            <v>12.8</v>
          </cell>
          <cell r="T2438">
            <v>17.399999999999999</v>
          </cell>
          <cell r="U2438">
            <v>1</v>
          </cell>
        </row>
        <row r="2439">
          <cell r="B2439" t="str">
            <v>Female</v>
          </cell>
          <cell r="F2439">
            <v>15</v>
          </cell>
          <cell r="G2439">
            <v>15.8</v>
          </cell>
          <cell r="H2439">
            <v>6</v>
          </cell>
          <cell r="I2439">
            <v>77.900000000000006</v>
          </cell>
          <cell r="J2439">
            <v>1</v>
          </cell>
          <cell r="K2439">
            <v>10</v>
          </cell>
          <cell r="L2439">
            <v>94.43</v>
          </cell>
          <cell r="M2439">
            <v>11</v>
          </cell>
          <cell r="N2439">
            <v>19.3</v>
          </cell>
          <cell r="O2439">
            <v>5.0999999999999996</v>
          </cell>
          <cell r="P2439">
            <v>18.2</v>
          </cell>
          <cell r="S2439">
            <v>23</v>
          </cell>
          <cell r="T2439">
            <v>15.2</v>
          </cell>
          <cell r="U2439">
            <v>3</v>
          </cell>
        </row>
        <row r="2440">
          <cell r="B2440" t="str">
            <v>Male</v>
          </cell>
          <cell r="F2440">
            <v>22</v>
          </cell>
          <cell r="G2440">
            <v>42</v>
          </cell>
          <cell r="H2440">
            <v>11.3</v>
          </cell>
          <cell r="I2440">
            <v>45.4</v>
          </cell>
          <cell r="J2440">
            <v>4</v>
          </cell>
          <cell r="K2440">
            <v>19.5</v>
          </cell>
          <cell r="L2440">
            <v>68.540000000000006</v>
          </cell>
          <cell r="M2440">
            <v>13</v>
          </cell>
          <cell r="N2440">
            <v>87.24</v>
          </cell>
          <cell r="O2440">
            <v>2.2000000000000002</v>
          </cell>
          <cell r="P2440">
            <v>35.4</v>
          </cell>
          <cell r="S2440">
            <v>32.4</v>
          </cell>
          <cell r="T2440">
            <v>25.5</v>
          </cell>
          <cell r="U2440">
            <v>2</v>
          </cell>
        </row>
        <row r="2441">
          <cell r="B2441" t="str">
            <v>Female</v>
          </cell>
          <cell r="F2441">
            <v>4</v>
          </cell>
          <cell r="G2441">
            <v>15.3</v>
          </cell>
          <cell r="H2441">
            <v>8</v>
          </cell>
          <cell r="I2441">
            <v>70.599999999999994</v>
          </cell>
          <cell r="J2441">
            <v>0</v>
          </cell>
          <cell r="K2441">
            <v>5.2</v>
          </cell>
          <cell r="L2441">
            <v>123</v>
          </cell>
          <cell r="M2441">
            <v>19</v>
          </cell>
          <cell r="N2441">
            <v>60.84</v>
          </cell>
          <cell r="O2441">
            <v>9.4</v>
          </cell>
          <cell r="P2441">
            <v>9.5</v>
          </cell>
          <cell r="T2441">
            <v>3.3</v>
          </cell>
          <cell r="U2441">
            <v>1</v>
          </cell>
        </row>
        <row r="2442">
          <cell r="B2442" t="str">
            <v>Female</v>
          </cell>
          <cell r="F2442">
            <v>7</v>
          </cell>
          <cell r="G2442">
            <v>6.2</v>
          </cell>
          <cell r="H2442">
            <v>2.4</v>
          </cell>
          <cell r="I2442">
            <v>74</v>
          </cell>
          <cell r="K2442">
            <v>5</v>
          </cell>
          <cell r="L2442">
            <v>147.91999999999999</v>
          </cell>
          <cell r="M2442">
            <v>19</v>
          </cell>
          <cell r="N2442">
            <v>76.5</v>
          </cell>
          <cell r="O2442">
            <v>0.8</v>
          </cell>
          <cell r="P2442">
            <v>14.8</v>
          </cell>
          <cell r="S2442">
            <v>16.7</v>
          </cell>
          <cell r="T2442">
            <v>0</v>
          </cell>
          <cell r="U2442">
            <v>2</v>
          </cell>
        </row>
        <row r="2443">
          <cell r="B2443" t="str">
            <v>Male</v>
          </cell>
          <cell r="F2443">
            <v>0</v>
          </cell>
          <cell r="G2443">
            <v>15.8</v>
          </cell>
          <cell r="H2443">
            <v>5.7</v>
          </cell>
          <cell r="I2443">
            <v>65.400000000000006</v>
          </cell>
          <cell r="J2443">
            <v>0</v>
          </cell>
          <cell r="K2443">
            <v>3</v>
          </cell>
          <cell r="L2443">
            <v>128.38</v>
          </cell>
          <cell r="M2443">
            <v>112</v>
          </cell>
          <cell r="N2443">
            <v>8.6</v>
          </cell>
          <cell r="O2443">
            <v>1.6</v>
          </cell>
          <cell r="P2443">
            <v>0</v>
          </cell>
          <cell r="S2443">
            <v>0</v>
          </cell>
          <cell r="T2443">
            <v>6.2</v>
          </cell>
          <cell r="U2443">
            <v>3</v>
          </cell>
        </row>
        <row r="2444">
          <cell r="B2444" t="str">
            <v>Female</v>
          </cell>
          <cell r="F2444">
            <v>8</v>
          </cell>
          <cell r="G2444">
            <v>17.8</v>
          </cell>
          <cell r="H2444">
            <v>7.9</v>
          </cell>
          <cell r="I2444">
            <v>48.4</v>
          </cell>
          <cell r="J2444">
            <v>2</v>
          </cell>
          <cell r="K2444">
            <v>8</v>
          </cell>
          <cell r="L2444">
            <v>66.09</v>
          </cell>
          <cell r="M2444">
            <v>59</v>
          </cell>
          <cell r="N2444">
            <v>54.5</v>
          </cell>
          <cell r="O2444">
            <v>4.5999999999999996</v>
          </cell>
          <cell r="P2444">
            <v>4.5</v>
          </cell>
          <cell r="S2444">
            <v>23.1</v>
          </cell>
          <cell r="U2444">
            <v>2</v>
          </cell>
        </row>
        <row r="2445">
          <cell r="B2445" t="str">
            <v>Male</v>
          </cell>
          <cell r="F2445">
            <v>14</v>
          </cell>
          <cell r="G2445">
            <v>36.9</v>
          </cell>
          <cell r="H2445">
            <v>14.4</v>
          </cell>
          <cell r="I2445">
            <v>37.299999999999997</v>
          </cell>
          <cell r="J2445">
            <v>8</v>
          </cell>
          <cell r="K2445">
            <v>14</v>
          </cell>
          <cell r="L2445">
            <v>87.01</v>
          </cell>
          <cell r="M2445">
            <v>99</v>
          </cell>
          <cell r="N2445">
            <v>24.6</v>
          </cell>
          <cell r="O2445">
            <v>6.3</v>
          </cell>
          <cell r="P2445">
            <v>30.3</v>
          </cell>
          <cell r="S2445">
            <v>13.3</v>
          </cell>
          <cell r="T2445">
            <v>34.6</v>
          </cell>
          <cell r="U2445">
            <v>2</v>
          </cell>
        </row>
        <row r="2446">
          <cell r="B2446" t="str">
            <v>Male</v>
          </cell>
          <cell r="F2446">
            <v>15</v>
          </cell>
          <cell r="G2446">
            <v>45</v>
          </cell>
          <cell r="H2446">
            <v>14.3</v>
          </cell>
          <cell r="I2446">
            <v>40.799999999999997</v>
          </cell>
          <cell r="J2446">
            <v>10</v>
          </cell>
          <cell r="K2446">
            <v>23</v>
          </cell>
          <cell r="L2446">
            <v>119.54</v>
          </cell>
          <cell r="M2446">
            <v>5</v>
          </cell>
          <cell r="N2446">
            <v>44.9</v>
          </cell>
          <cell r="O2446">
            <v>3.8</v>
          </cell>
          <cell r="P2446">
            <v>42.9</v>
          </cell>
          <cell r="S2446">
            <v>47.6</v>
          </cell>
          <cell r="T2446">
            <v>30.7</v>
          </cell>
        </row>
        <row r="2447">
          <cell r="B2447" t="str">
            <v>Male</v>
          </cell>
          <cell r="F2447">
            <v>9</v>
          </cell>
          <cell r="G2447">
            <v>29.5</v>
          </cell>
          <cell r="I2447">
            <v>48.4</v>
          </cell>
          <cell r="J2447">
            <v>4</v>
          </cell>
          <cell r="K2447">
            <v>17</v>
          </cell>
          <cell r="L2447">
            <v>113.58</v>
          </cell>
          <cell r="M2447">
            <v>47</v>
          </cell>
          <cell r="N2447">
            <v>78.2</v>
          </cell>
          <cell r="O2447">
            <v>0.6</v>
          </cell>
          <cell r="P2447">
            <v>28.2</v>
          </cell>
          <cell r="S2447">
            <v>22</v>
          </cell>
          <cell r="T2447">
            <v>21.2</v>
          </cell>
          <cell r="U2447">
            <v>2</v>
          </cell>
        </row>
        <row r="2448">
          <cell r="B2448" t="str">
            <v>Female</v>
          </cell>
          <cell r="F2448">
            <v>5</v>
          </cell>
          <cell r="G2448">
            <v>15.7</v>
          </cell>
          <cell r="H2448">
            <v>6.8</v>
          </cell>
          <cell r="I2448">
            <v>79.900000000000006</v>
          </cell>
          <cell r="J2448">
            <v>1</v>
          </cell>
          <cell r="K2448">
            <v>14</v>
          </cell>
          <cell r="L2448">
            <v>104.2</v>
          </cell>
          <cell r="M2448">
            <v>5</v>
          </cell>
          <cell r="N2448">
            <v>46.5</v>
          </cell>
          <cell r="O2448">
            <v>10.8</v>
          </cell>
          <cell r="P2448">
            <v>2</v>
          </cell>
          <cell r="S2448">
            <v>28.1</v>
          </cell>
          <cell r="T2448">
            <v>17.2</v>
          </cell>
          <cell r="U2448">
            <v>1</v>
          </cell>
        </row>
        <row r="2449">
          <cell r="B2449" t="str">
            <v>Female</v>
          </cell>
          <cell r="F2449">
            <v>6</v>
          </cell>
          <cell r="G2449">
            <v>26.7</v>
          </cell>
          <cell r="H2449">
            <v>9.6999999999999993</v>
          </cell>
          <cell r="I2449">
            <v>56.1</v>
          </cell>
          <cell r="J2449">
            <v>0</v>
          </cell>
          <cell r="K2449">
            <v>13</v>
          </cell>
          <cell r="L2449">
            <v>166.58</v>
          </cell>
          <cell r="M2449">
            <v>19</v>
          </cell>
          <cell r="N2449">
            <v>59.9</v>
          </cell>
          <cell r="O2449">
            <v>3.7</v>
          </cell>
          <cell r="T2449">
            <v>12.8</v>
          </cell>
          <cell r="U2449">
            <v>3</v>
          </cell>
        </row>
        <row r="2450">
          <cell r="B2450" t="str">
            <v>Female</v>
          </cell>
          <cell r="F2450">
            <v>23</v>
          </cell>
          <cell r="G2450">
            <v>45</v>
          </cell>
          <cell r="H2450">
            <v>19</v>
          </cell>
          <cell r="I2450">
            <v>27.2</v>
          </cell>
          <cell r="J2450">
            <v>14</v>
          </cell>
          <cell r="K2450">
            <v>23</v>
          </cell>
          <cell r="L2450">
            <v>120.61</v>
          </cell>
          <cell r="M2450">
            <v>55</v>
          </cell>
          <cell r="N2450">
            <v>38.799999999999997</v>
          </cell>
          <cell r="O2450">
            <v>1.9</v>
          </cell>
          <cell r="P2450">
            <v>48.6</v>
          </cell>
          <cell r="S2450">
            <v>41</v>
          </cell>
          <cell r="T2450">
            <v>32.700000000000003</v>
          </cell>
          <cell r="U2450">
            <v>3</v>
          </cell>
        </row>
        <row r="2451">
          <cell r="B2451" t="str">
            <v>Female</v>
          </cell>
          <cell r="F2451">
            <v>21</v>
          </cell>
          <cell r="G2451">
            <v>31.7</v>
          </cell>
          <cell r="H2451">
            <v>7.6</v>
          </cell>
          <cell r="I2451">
            <v>58.2</v>
          </cell>
          <cell r="J2451">
            <v>5</v>
          </cell>
          <cell r="K2451">
            <v>11</v>
          </cell>
          <cell r="L2451">
            <v>152.97999999999999</v>
          </cell>
          <cell r="M2451">
            <v>91</v>
          </cell>
          <cell r="N2451">
            <v>51.8</v>
          </cell>
          <cell r="O2451">
            <v>16</v>
          </cell>
          <cell r="P2451">
            <v>16.3</v>
          </cell>
          <cell r="T2451">
            <v>23.4</v>
          </cell>
          <cell r="U2451">
            <v>1</v>
          </cell>
        </row>
        <row r="2452">
          <cell r="B2452" t="str">
            <v>Male</v>
          </cell>
          <cell r="F2452">
            <v>3</v>
          </cell>
          <cell r="H2452">
            <v>7.2</v>
          </cell>
          <cell r="I2452">
            <v>78.400000000000006</v>
          </cell>
          <cell r="J2452">
            <v>4</v>
          </cell>
          <cell r="K2452">
            <v>7</v>
          </cell>
          <cell r="L2452">
            <v>120.79</v>
          </cell>
          <cell r="M2452">
            <v>33</v>
          </cell>
          <cell r="N2452">
            <v>50.8</v>
          </cell>
          <cell r="O2452">
            <v>11.8</v>
          </cell>
          <cell r="P2452">
            <v>24.9</v>
          </cell>
          <cell r="S2452">
            <v>21.8</v>
          </cell>
          <cell r="T2452">
            <v>25.2</v>
          </cell>
          <cell r="U2452">
            <v>3</v>
          </cell>
        </row>
        <row r="2453">
          <cell r="B2453" t="str">
            <v>Female</v>
          </cell>
          <cell r="F2453">
            <v>3</v>
          </cell>
          <cell r="G2453">
            <v>11.2</v>
          </cell>
          <cell r="H2453">
            <v>1.4</v>
          </cell>
          <cell r="I2453">
            <v>66.3</v>
          </cell>
          <cell r="J2453">
            <v>0</v>
          </cell>
          <cell r="K2453">
            <v>2</v>
          </cell>
          <cell r="L2453">
            <v>166.82</v>
          </cell>
          <cell r="M2453">
            <v>29</v>
          </cell>
          <cell r="N2453">
            <v>24.9</v>
          </cell>
          <cell r="O2453">
            <v>5</v>
          </cell>
          <cell r="P2453">
            <v>2.9</v>
          </cell>
          <cell r="S2453">
            <v>7.9</v>
          </cell>
          <cell r="U2453">
            <v>4</v>
          </cell>
        </row>
        <row r="2454">
          <cell r="B2454" t="str">
            <v>Female</v>
          </cell>
          <cell r="F2454">
            <v>5</v>
          </cell>
          <cell r="G2454">
            <v>26.6</v>
          </cell>
          <cell r="H2454">
            <v>10.199999999999999</v>
          </cell>
          <cell r="I2454">
            <v>61.6</v>
          </cell>
          <cell r="J2454">
            <v>2</v>
          </cell>
          <cell r="K2454">
            <v>9</v>
          </cell>
          <cell r="L2454">
            <v>89.6</v>
          </cell>
          <cell r="M2454">
            <v>46</v>
          </cell>
          <cell r="N2454">
            <v>39.5</v>
          </cell>
          <cell r="O2454">
            <v>16.600000000000001</v>
          </cell>
          <cell r="P2454">
            <v>1.1000000000000001</v>
          </cell>
          <cell r="S2454">
            <v>34.700000000000003</v>
          </cell>
          <cell r="T2454">
            <v>15.8</v>
          </cell>
          <cell r="U2454">
            <v>1</v>
          </cell>
        </row>
        <row r="2455">
          <cell r="B2455" t="str">
            <v>Male</v>
          </cell>
          <cell r="F2455">
            <v>24</v>
          </cell>
          <cell r="G2455">
            <v>30.8</v>
          </cell>
          <cell r="H2455">
            <v>10.3</v>
          </cell>
          <cell r="I2455">
            <v>42.8</v>
          </cell>
          <cell r="J2455">
            <v>10</v>
          </cell>
          <cell r="K2455">
            <v>20</v>
          </cell>
          <cell r="L2455">
            <v>79.11</v>
          </cell>
          <cell r="M2455">
            <v>43</v>
          </cell>
          <cell r="N2455">
            <v>59.1</v>
          </cell>
          <cell r="O2455">
            <v>5</v>
          </cell>
          <cell r="P2455">
            <v>19.600000000000001</v>
          </cell>
          <cell r="S2455">
            <v>61.3</v>
          </cell>
          <cell r="U2455">
            <v>3</v>
          </cell>
        </row>
        <row r="2456">
          <cell r="B2456" t="str">
            <v>Male</v>
          </cell>
          <cell r="F2456">
            <v>24</v>
          </cell>
          <cell r="G2456">
            <v>45.1</v>
          </cell>
          <cell r="H2456">
            <v>17.7</v>
          </cell>
          <cell r="I2456">
            <v>42.2</v>
          </cell>
          <cell r="J2456">
            <v>5</v>
          </cell>
          <cell r="K2456">
            <v>20</v>
          </cell>
          <cell r="L2456">
            <v>114.56</v>
          </cell>
          <cell r="M2456">
            <v>96</v>
          </cell>
          <cell r="N2456">
            <v>5</v>
          </cell>
          <cell r="O2456">
            <v>9.9</v>
          </cell>
          <cell r="P2456">
            <v>45.2</v>
          </cell>
          <cell r="S2456">
            <v>54</v>
          </cell>
          <cell r="T2456">
            <v>35</v>
          </cell>
          <cell r="U2456">
            <v>1</v>
          </cell>
        </row>
        <row r="2457">
          <cell r="B2457" t="str">
            <v>Male</v>
          </cell>
          <cell r="F2457">
            <v>22</v>
          </cell>
          <cell r="G2457">
            <v>44</v>
          </cell>
          <cell r="H2457">
            <v>15.7</v>
          </cell>
          <cell r="I2457">
            <v>35.5</v>
          </cell>
          <cell r="J2457">
            <v>9</v>
          </cell>
          <cell r="K2457">
            <v>28.6</v>
          </cell>
          <cell r="L2457">
            <v>104.64</v>
          </cell>
          <cell r="M2457">
            <v>29</v>
          </cell>
          <cell r="N2457" t="str">
            <v>45.959999999999994</v>
          </cell>
          <cell r="O2457">
            <v>2.5</v>
          </cell>
          <cell r="P2457">
            <v>58.2</v>
          </cell>
          <cell r="T2457">
            <v>29.9</v>
          </cell>
          <cell r="U2457">
            <v>1</v>
          </cell>
        </row>
        <row r="2458">
          <cell r="B2458" t="str">
            <v>Male</v>
          </cell>
          <cell r="F2458">
            <v>6</v>
          </cell>
          <cell r="G2458">
            <v>19.600000000000001</v>
          </cell>
          <cell r="H2458">
            <v>4.9000000000000004</v>
          </cell>
          <cell r="I2458">
            <v>70.7</v>
          </cell>
          <cell r="J2458">
            <v>2</v>
          </cell>
          <cell r="K2458">
            <v>4</v>
          </cell>
          <cell r="L2458">
            <v>50.25</v>
          </cell>
          <cell r="N2458">
            <v>57</v>
          </cell>
          <cell r="O2458">
            <v>1.2</v>
          </cell>
          <cell r="P2458">
            <v>5.2</v>
          </cell>
          <cell r="S2458">
            <v>23</v>
          </cell>
          <cell r="T2458">
            <v>7.9</v>
          </cell>
          <cell r="U2458">
            <v>2</v>
          </cell>
        </row>
        <row r="2459">
          <cell r="B2459" t="str">
            <v>Female</v>
          </cell>
          <cell r="F2459">
            <v>2</v>
          </cell>
          <cell r="G2459">
            <v>19.100000000000001</v>
          </cell>
          <cell r="H2459">
            <v>6.6</v>
          </cell>
          <cell r="I2459">
            <v>61.1</v>
          </cell>
          <cell r="J2459">
            <v>2</v>
          </cell>
          <cell r="K2459">
            <v>5</v>
          </cell>
          <cell r="L2459">
            <v>114.71</v>
          </cell>
          <cell r="M2459">
            <v>101</v>
          </cell>
          <cell r="N2459">
            <v>36.6</v>
          </cell>
          <cell r="O2459">
            <v>9.8000000000000007</v>
          </cell>
          <cell r="P2459">
            <v>17.7</v>
          </cell>
          <cell r="S2459">
            <v>3</v>
          </cell>
          <cell r="T2459">
            <v>14.9</v>
          </cell>
          <cell r="U2459">
            <v>4</v>
          </cell>
        </row>
        <row r="2460">
          <cell r="B2460" t="str">
            <v>Male</v>
          </cell>
          <cell r="F2460">
            <v>11</v>
          </cell>
          <cell r="H2460">
            <v>5.9</v>
          </cell>
          <cell r="I2460">
            <v>60.9</v>
          </cell>
          <cell r="J2460">
            <v>1</v>
          </cell>
          <cell r="K2460" t="str">
            <v>11.700000000000001</v>
          </cell>
          <cell r="L2460">
            <v>112.28</v>
          </cell>
          <cell r="N2460">
            <v>74.88</v>
          </cell>
          <cell r="O2460">
            <v>13.9</v>
          </cell>
          <cell r="P2460">
            <v>4.5</v>
          </cell>
          <cell r="S2460">
            <v>34.200000000000003</v>
          </cell>
          <cell r="T2460">
            <v>3.9</v>
          </cell>
          <cell r="U2460">
            <v>3</v>
          </cell>
        </row>
        <row r="2461">
          <cell r="B2461" t="str">
            <v>Male</v>
          </cell>
          <cell r="F2461">
            <v>3</v>
          </cell>
          <cell r="G2461">
            <v>19</v>
          </cell>
          <cell r="H2461">
            <v>6.2</v>
          </cell>
          <cell r="I2461">
            <v>68.2</v>
          </cell>
          <cell r="J2461">
            <v>3</v>
          </cell>
          <cell r="K2461">
            <v>6.5</v>
          </cell>
          <cell r="L2461">
            <v>65.61</v>
          </cell>
          <cell r="M2461">
            <v>13</v>
          </cell>
          <cell r="N2461" t="str">
            <v>86.75999999999999</v>
          </cell>
          <cell r="O2461">
            <v>2.2999999999999998</v>
          </cell>
          <cell r="P2461">
            <v>5.0999999999999996</v>
          </cell>
          <cell r="S2461">
            <v>28.6</v>
          </cell>
          <cell r="T2461">
            <v>6.8</v>
          </cell>
          <cell r="U2461">
            <v>3</v>
          </cell>
        </row>
        <row r="2462">
          <cell r="B2462" t="str">
            <v>Female</v>
          </cell>
          <cell r="F2462">
            <v>18</v>
          </cell>
          <cell r="G2462">
            <v>30.7</v>
          </cell>
          <cell r="H2462">
            <v>10.199999999999999</v>
          </cell>
          <cell r="I2462">
            <v>57.6</v>
          </cell>
          <cell r="J2462">
            <v>1</v>
          </cell>
          <cell r="K2462">
            <v>12</v>
          </cell>
          <cell r="L2462">
            <v>145.43</v>
          </cell>
          <cell r="M2462">
            <v>7</v>
          </cell>
          <cell r="O2462">
            <v>2.6</v>
          </cell>
          <cell r="P2462">
            <v>16.5</v>
          </cell>
          <cell r="S2462">
            <v>34</v>
          </cell>
          <cell r="T2462">
            <v>15.9</v>
          </cell>
          <cell r="U2462">
            <v>2</v>
          </cell>
        </row>
        <row r="2463">
          <cell r="B2463" t="str">
            <v>Male</v>
          </cell>
          <cell r="F2463">
            <v>8</v>
          </cell>
          <cell r="G2463">
            <v>26.8</v>
          </cell>
          <cell r="H2463">
            <v>7.3</v>
          </cell>
          <cell r="I2463">
            <v>60.3</v>
          </cell>
          <cell r="K2463">
            <v>9</v>
          </cell>
          <cell r="L2463">
            <v>169.97</v>
          </cell>
          <cell r="M2463">
            <v>20</v>
          </cell>
          <cell r="N2463">
            <v>39.5</v>
          </cell>
          <cell r="O2463">
            <v>10.199999999999999</v>
          </cell>
          <cell r="P2463">
            <v>26.2</v>
          </cell>
          <cell r="S2463">
            <v>20.7</v>
          </cell>
          <cell r="T2463">
            <v>17.3</v>
          </cell>
          <cell r="U2463">
            <v>1</v>
          </cell>
        </row>
        <row r="2464">
          <cell r="B2464" t="str">
            <v>Male</v>
          </cell>
          <cell r="F2464">
            <v>8</v>
          </cell>
          <cell r="G2464">
            <v>30.6</v>
          </cell>
          <cell r="H2464">
            <v>7</v>
          </cell>
          <cell r="I2464">
            <v>68.7</v>
          </cell>
          <cell r="J2464">
            <v>2</v>
          </cell>
          <cell r="K2464">
            <v>8</v>
          </cell>
          <cell r="L2464">
            <v>113.16</v>
          </cell>
          <cell r="M2464">
            <v>17</v>
          </cell>
          <cell r="N2464">
            <v>21.8</v>
          </cell>
          <cell r="P2464">
            <v>13</v>
          </cell>
          <cell r="S2464">
            <v>38.6</v>
          </cell>
          <cell r="T2464">
            <v>9.1999999999999993</v>
          </cell>
          <cell r="U2464">
            <v>4</v>
          </cell>
        </row>
        <row r="2465">
          <cell r="B2465" t="str">
            <v>Female</v>
          </cell>
          <cell r="F2465">
            <v>8</v>
          </cell>
          <cell r="H2465">
            <v>6.5</v>
          </cell>
          <cell r="I2465">
            <v>65.5</v>
          </cell>
          <cell r="J2465">
            <v>6</v>
          </cell>
          <cell r="K2465">
            <v>7</v>
          </cell>
          <cell r="L2465">
            <v>180.76</v>
          </cell>
          <cell r="M2465">
            <v>3</v>
          </cell>
          <cell r="O2465">
            <v>3.4</v>
          </cell>
          <cell r="P2465">
            <v>3.3</v>
          </cell>
          <cell r="S2465">
            <v>25.2</v>
          </cell>
          <cell r="T2465">
            <v>18.100000000000001</v>
          </cell>
          <cell r="U2465">
            <v>2</v>
          </cell>
        </row>
        <row r="2466">
          <cell r="B2466" t="str">
            <v>Male</v>
          </cell>
          <cell r="F2466">
            <v>15</v>
          </cell>
          <cell r="H2466">
            <v>9.4</v>
          </cell>
          <cell r="I2466">
            <v>60.8</v>
          </cell>
          <cell r="K2466">
            <v>10</v>
          </cell>
          <cell r="L2466">
            <v>120.74</v>
          </cell>
          <cell r="M2466">
            <v>27</v>
          </cell>
          <cell r="N2466">
            <v>21.9</v>
          </cell>
          <cell r="O2466">
            <v>15.2</v>
          </cell>
          <cell r="P2466">
            <v>27.8</v>
          </cell>
          <cell r="T2466">
            <v>31.7</v>
          </cell>
          <cell r="U2466">
            <v>3</v>
          </cell>
        </row>
        <row r="2467">
          <cell r="B2467" t="str">
            <v>Female</v>
          </cell>
          <cell r="F2467">
            <v>15</v>
          </cell>
          <cell r="G2467">
            <v>39.9</v>
          </cell>
          <cell r="H2467">
            <v>11.5</v>
          </cell>
          <cell r="I2467">
            <v>35.6</v>
          </cell>
          <cell r="J2467">
            <v>5</v>
          </cell>
          <cell r="K2467">
            <v>23</v>
          </cell>
          <cell r="L2467">
            <v>117.71</v>
          </cell>
          <cell r="M2467">
            <v>13</v>
          </cell>
          <cell r="N2467">
            <v>57.6</v>
          </cell>
          <cell r="O2467">
            <v>16.100000000000001</v>
          </cell>
          <cell r="P2467">
            <v>18.8</v>
          </cell>
          <cell r="S2467">
            <v>62.5</v>
          </cell>
          <cell r="T2467">
            <v>26.4</v>
          </cell>
          <cell r="U2467">
            <v>1</v>
          </cell>
        </row>
        <row r="2468">
          <cell r="B2468" t="str">
            <v>Male</v>
          </cell>
          <cell r="F2468">
            <v>7</v>
          </cell>
          <cell r="G2468">
            <v>29.7</v>
          </cell>
          <cell r="H2468">
            <v>8.4</v>
          </cell>
          <cell r="I2468">
            <v>59.8</v>
          </cell>
          <cell r="J2468">
            <v>2</v>
          </cell>
          <cell r="K2468">
            <v>7</v>
          </cell>
          <cell r="L2468">
            <v>205.73</v>
          </cell>
          <cell r="M2468">
            <v>11</v>
          </cell>
          <cell r="N2468">
            <v>55.7</v>
          </cell>
          <cell r="O2468">
            <v>5.8</v>
          </cell>
          <cell r="P2468">
            <v>17.8</v>
          </cell>
          <cell r="S2468">
            <v>7.4</v>
          </cell>
          <cell r="T2468">
            <v>22.1</v>
          </cell>
          <cell r="U2468">
            <v>2</v>
          </cell>
        </row>
        <row r="2469">
          <cell r="B2469" t="str">
            <v>Male</v>
          </cell>
          <cell r="F2469">
            <v>13</v>
          </cell>
          <cell r="G2469">
            <v>36.5</v>
          </cell>
          <cell r="H2469">
            <v>5.6</v>
          </cell>
          <cell r="I2469">
            <v>63.3</v>
          </cell>
          <cell r="J2469">
            <v>11</v>
          </cell>
          <cell r="K2469">
            <v>10</v>
          </cell>
          <cell r="L2469">
            <v>95.88</v>
          </cell>
          <cell r="M2469">
            <v>121</v>
          </cell>
          <cell r="N2469">
            <v>10.199999999999999</v>
          </cell>
          <cell r="O2469">
            <v>2.1</v>
          </cell>
          <cell r="P2469">
            <v>12.5</v>
          </cell>
          <cell r="S2469">
            <v>32.700000000000003</v>
          </cell>
          <cell r="T2469">
            <v>22.2</v>
          </cell>
          <cell r="U2469">
            <v>1</v>
          </cell>
        </row>
        <row r="2470">
          <cell r="B2470" t="str">
            <v>Male</v>
          </cell>
          <cell r="F2470">
            <v>2</v>
          </cell>
          <cell r="G2470">
            <v>29.8</v>
          </cell>
          <cell r="H2470">
            <v>16</v>
          </cell>
          <cell r="I2470">
            <v>52.6</v>
          </cell>
          <cell r="J2470">
            <v>4</v>
          </cell>
          <cell r="K2470">
            <v>10</v>
          </cell>
          <cell r="L2470">
            <v>70.819999999999993</v>
          </cell>
          <cell r="M2470">
            <v>40</v>
          </cell>
          <cell r="N2470">
            <v>33.6</v>
          </cell>
          <cell r="O2470">
            <v>3</v>
          </cell>
          <cell r="P2470">
            <v>27.6</v>
          </cell>
          <cell r="S2470">
            <v>21.6</v>
          </cell>
          <cell r="U2470">
            <v>1</v>
          </cell>
        </row>
        <row r="2471">
          <cell r="B2471" t="str">
            <v>Male</v>
          </cell>
          <cell r="F2471">
            <v>10</v>
          </cell>
          <cell r="G2471">
            <v>10.9</v>
          </cell>
          <cell r="H2471">
            <v>4.8</v>
          </cell>
          <cell r="I2471">
            <v>70.2</v>
          </cell>
          <cell r="K2471">
            <v>6</v>
          </cell>
          <cell r="L2471">
            <v>119.62</v>
          </cell>
          <cell r="M2471">
            <v>92</v>
          </cell>
          <cell r="N2471">
            <v>37</v>
          </cell>
          <cell r="O2471">
            <v>2.7</v>
          </cell>
          <cell r="P2471">
            <v>29.8</v>
          </cell>
          <cell r="S2471">
            <v>24.4</v>
          </cell>
          <cell r="T2471">
            <v>14</v>
          </cell>
          <cell r="U2471">
            <v>2</v>
          </cell>
        </row>
        <row r="2472">
          <cell r="B2472" t="str">
            <v>Male</v>
          </cell>
          <cell r="F2472">
            <v>6</v>
          </cell>
          <cell r="G2472">
            <v>26.1</v>
          </cell>
          <cell r="H2472">
            <v>6</v>
          </cell>
          <cell r="I2472">
            <v>54.2</v>
          </cell>
          <cell r="J2472">
            <v>6</v>
          </cell>
          <cell r="K2472">
            <v>9</v>
          </cell>
          <cell r="L2472">
            <v>89.83</v>
          </cell>
          <cell r="M2472">
            <v>34</v>
          </cell>
          <cell r="N2472">
            <v>42.8</v>
          </cell>
          <cell r="O2472">
            <v>15.7</v>
          </cell>
          <cell r="P2472">
            <v>41.2</v>
          </cell>
          <cell r="S2472">
            <v>26</v>
          </cell>
          <cell r="T2472">
            <v>20.5</v>
          </cell>
          <cell r="U2472">
            <v>5</v>
          </cell>
        </row>
        <row r="2473">
          <cell r="B2473" t="str">
            <v>Male</v>
          </cell>
          <cell r="F2473">
            <v>0</v>
          </cell>
          <cell r="G2473">
            <v>23.5</v>
          </cell>
          <cell r="H2473">
            <v>6.5</v>
          </cell>
          <cell r="I2473">
            <v>89</v>
          </cell>
          <cell r="J2473">
            <v>1</v>
          </cell>
          <cell r="K2473" t="str">
            <v>7.800000000000001</v>
          </cell>
          <cell r="L2473">
            <v>183.11</v>
          </cell>
          <cell r="M2473">
            <v>24</v>
          </cell>
          <cell r="N2473" t="str">
            <v>26.639999999999997</v>
          </cell>
          <cell r="O2473">
            <v>1.6</v>
          </cell>
          <cell r="P2473">
            <v>14.2</v>
          </cell>
          <cell r="T2473">
            <v>15.7</v>
          </cell>
          <cell r="U2473">
            <v>2</v>
          </cell>
        </row>
        <row r="2474">
          <cell r="B2474" t="str">
            <v>Other</v>
          </cell>
          <cell r="F2474">
            <v>17</v>
          </cell>
          <cell r="G2474">
            <v>42.8</v>
          </cell>
          <cell r="I2474">
            <v>28.3</v>
          </cell>
          <cell r="J2474">
            <v>8</v>
          </cell>
          <cell r="K2474">
            <v>17</v>
          </cell>
          <cell r="L2474">
            <v>113.79</v>
          </cell>
          <cell r="M2474">
            <v>17</v>
          </cell>
          <cell r="N2474">
            <v>49.2</v>
          </cell>
          <cell r="P2474">
            <v>46.8</v>
          </cell>
          <cell r="T2474">
            <v>34.700000000000003</v>
          </cell>
          <cell r="U2474">
            <v>2</v>
          </cell>
        </row>
        <row r="2475">
          <cell r="B2475" t="str">
            <v>Male</v>
          </cell>
          <cell r="F2475">
            <v>20</v>
          </cell>
          <cell r="G2475">
            <v>42.5</v>
          </cell>
          <cell r="H2475">
            <v>11.5</v>
          </cell>
          <cell r="I2475">
            <v>47.5</v>
          </cell>
          <cell r="J2475">
            <v>4</v>
          </cell>
          <cell r="K2475">
            <v>15</v>
          </cell>
          <cell r="L2475">
            <v>80.13</v>
          </cell>
          <cell r="M2475">
            <v>11</v>
          </cell>
          <cell r="N2475">
            <v>12.9</v>
          </cell>
          <cell r="O2475">
            <v>2.5</v>
          </cell>
          <cell r="P2475">
            <v>27.6</v>
          </cell>
          <cell r="S2475">
            <v>51.7</v>
          </cell>
          <cell r="T2475">
            <v>32.200000000000003</v>
          </cell>
          <cell r="U2475">
            <v>2</v>
          </cell>
        </row>
        <row r="2476">
          <cell r="B2476" t="str">
            <v>Male</v>
          </cell>
          <cell r="F2476">
            <v>1</v>
          </cell>
          <cell r="G2476">
            <v>14.6</v>
          </cell>
          <cell r="H2476">
            <v>5.5</v>
          </cell>
          <cell r="I2476">
            <v>54.8</v>
          </cell>
          <cell r="J2476">
            <v>3</v>
          </cell>
          <cell r="K2476">
            <v>13</v>
          </cell>
          <cell r="L2476">
            <v>80.94</v>
          </cell>
          <cell r="M2476">
            <v>30</v>
          </cell>
          <cell r="N2476">
            <v>37.200000000000003</v>
          </cell>
          <cell r="O2476">
            <v>9.4</v>
          </cell>
          <cell r="P2476">
            <v>2.2000000000000002</v>
          </cell>
          <cell r="S2476">
            <v>15.5</v>
          </cell>
          <cell r="T2476">
            <v>17.2</v>
          </cell>
          <cell r="U2476">
            <v>2</v>
          </cell>
        </row>
        <row r="2477">
          <cell r="B2477" t="str">
            <v>Male</v>
          </cell>
          <cell r="F2477">
            <v>5</v>
          </cell>
          <cell r="G2477">
            <v>26.5</v>
          </cell>
          <cell r="H2477">
            <v>8</v>
          </cell>
          <cell r="I2477">
            <v>65.599999999999994</v>
          </cell>
          <cell r="J2477">
            <v>7</v>
          </cell>
          <cell r="K2477">
            <v>15</v>
          </cell>
          <cell r="L2477">
            <v>151.31</v>
          </cell>
          <cell r="M2477">
            <v>21</v>
          </cell>
          <cell r="N2477">
            <v>26.7</v>
          </cell>
          <cell r="O2477">
            <v>8.4</v>
          </cell>
          <cell r="S2477">
            <v>4</v>
          </cell>
          <cell r="T2477">
            <v>11.3</v>
          </cell>
          <cell r="U2477">
            <v>4</v>
          </cell>
        </row>
        <row r="2478">
          <cell r="B2478" t="str">
            <v>Female</v>
          </cell>
          <cell r="F2478">
            <v>18</v>
          </cell>
          <cell r="G2478">
            <v>25.4</v>
          </cell>
          <cell r="H2478">
            <v>9.4</v>
          </cell>
          <cell r="I2478">
            <v>64</v>
          </cell>
          <cell r="J2478">
            <v>4</v>
          </cell>
          <cell r="K2478">
            <v>11</v>
          </cell>
          <cell r="L2478">
            <v>128.16999999999999</v>
          </cell>
          <cell r="M2478">
            <v>16</v>
          </cell>
          <cell r="N2478">
            <v>43.3</v>
          </cell>
          <cell r="O2478">
            <v>10.4</v>
          </cell>
          <cell r="P2478">
            <v>25.3</v>
          </cell>
          <cell r="S2478">
            <v>20.399999999999999</v>
          </cell>
          <cell r="T2478">
            <v>26.5</v>
          </cell>
          <cell r="U2478">
            <v>3</v>
          </cell>
        </row>
        <row r="2479">
          <cell r="B2479" t="str">
            <v>Female</v>
          </cell>
          <cell r="F2479">
            <v>2</v>
          </cell>
          <cell r="G2479">
            <v>16.600000000000001</v>
          </cell>
          <cell r="H2479">
            <v>4.4000000000000004</v>
          </cell>
          <cell r="I2479">
            <v>78.599999999999994</v>
          </cell>
          <cell r="J2479">
            <v>0</v>
          </cell>
          <cell r="K2479">
            <v>7</v>
          </cell>
          <cell r="L2479">
            <v>90.01</v>
          </cell>
          <cell r="M2479">
            <v>5</v>
          </cell>
          <cell r="N2479">
            <v>44.4</v>
          </cell>
          <cell r="O2479">
            <v>0.6</v>
          </cell>
          <cell r="P2479">
            <v>21.9</v>
          </cell>
          <cell r="S2479">
            <v>6.9</v>
          </cell>
          <cell r="T2479">
            <v>10.5</v>
          </cell>
          <cell r="U2479">
            <v>1</v>
          </cell>
        </row>
        <row r="2480">
          <cell r="B2480" t="str">
            <v>Male</v>
          </cell>
          <cell r="F2480">
            <v>29</v>
          </cell>
          <cell r="G2480">
            <v>55.5</v>
          </cell>
          <cell r="H2480">
            <v>21.3</v>
          </cell>
          <cell r="I2480">
            <v>8.1</v>
          </cell>
          <cell r="J2480">
            <v>13</v>
          </cell>
          <cell r="K2480">
            <v>35.1</v>
          </cell>
          <cell r="L2480">
            <v>79.959999999999994</v>
          </cell>
          <cell r="M2480">
            <v>35</v>
          </cell>
          <cell r="N2480" t="str">
            <v>47.279999999999994</v>
          </cell>
          <cell r="O2480">
            <v>4.0999999999999996</v>
          </cell>
          <cell r="P2480">
            <v>53.8</v>
          </cell>
          <cell r="S2480">
            <v>84.2</v>
          </cell>
          <cell r="T2480">
            <v>38.799999999999997</v>
          </cell>
          <cell r="U2480">
            <v>4</v>
          </cell>
        </row>
        <row r="2481">
          <cell r="B2481" t="str">
            <v>Male</v>
          </cell>
          <cell r="F2481">
            <v>35</v>
          </cell>
          <cell r="G2481">
            <v>44.3</v>
          </cell>
          <cell r="H2481">
            <v>13.4</v>
          </cell>
          <cell r="I2481">
            <v>31.6</v>
          </cell>
          <cell r="K2481" t="str">
            <v>29.900000000000002</v>
          </cell>
          <cell r="L2481">
            <v>106.57</v>
          </cell>
          <cell r="M2481">
            <v>4</v>
          </cell>
          <cell r="N2481" t="str">
            <v>35.879999999999995</v>
          </cell>
          <cell r="O2481">
            <v>0.2</v>
          </cell>
          <cell r="P2481">
            <v>26</v>
          </cell>
          <cell r="S2481">
            <v>85</v>
          </cell>
          <cell r="T2481">
            <v>34.299999999999997</v>
          </cell>
        </row>
        <row r="2482">
          <cell r="B2482" t="str">
            <v>Male</v>
          </cell>
          <cell r="F2482">
            <v>10</v>
          </cell>
          <cell r="G2482">
            <v>22.1</v>
          </cell>
          <cell r="H2482">
            <v>8</v>
          </cell>
          <cell r="I2482">
            <v>57.4</v>
          </cell>
          <cell r="J2482">
            <v>1</v>
          </cell>
          <cell r="K2482">
            <v>13</v>
          </cell>
          <cell r="L2482">
            <v>165.02</v>
          </cell>
          <cell r="M2482">
            <v>79</v>
          </cell>
          <cell r="N2482">
            <v>28.6</v>
          </cell>
          <cell r="O2482">
            <v>4.3</v>
          </cell>
          <cell r="P2482">
            <v>10</v>
          </cell>
          <cell r="S2482">
            <v>34.6</v>
          </cell>
          <cell r="T2482">
            <v>13.2</v>
          </cell>
          <cell r="U2482">
            <v>3</v>
          </cell>
        </row>
        <row r="2483">
          <cell r="B2483" t="str">
            <v>Female</v>
          </cell>
          <cell r="F2483">
            <v>0</v>
          </cell>
          <cell r="H2483">
            <v>4.8</v>
          </cell>
          <cell r="I2483">
            <v>64.3</v>
          </cell>
          <cell r="K2483">
            <v>12</v>
          </cell>
          <cell r="L2483">
            <v>99.99</v>
          </cell>
          <cell r="M2483">
            <v>58</v>
          </cell>
          <cell r="N2483">
            <v>39.6</v>
          </cell>
          <cell r="O2483">
            <v>7.8</v>
          </cell>
          <cell r="P2483">
            <v>29.5</v>
          </cell>
          <cell r="S2483">
            <v>21.3</v>
          </cell>
          <cell r="T2483">
            <v>19</v>
          </cell>
          <cell r="U2483">
            <v>1</v>
          </cell>
        </row>
        <row r="2484">
          <cell r="B2484" t="str">
            <v>Male</v>
          </cell>
          <cell r="F2484">
            <v>17</v>
          </cell>
          <cell r="G2484">
            <v>37.6</v>
          </cell>
          <cell r="H2484">
            <v>15.8</v>
          </cell>
          <cell r="I2484">
            <v>39.6</v>
          </cell>
          <cell r="J2484">
            <v>8</v>
          </cell>
          <cell r="K2484">
            <v>19</v>
          </cell>
          <cell r="L2484">
            <v>100.11</v>
          </cell>
          <cell r="M2484">
            <v>9</v>
          </cell>
          <cell r="N2484">
            <v>24</v>
          </cell>
          <cell r="O2484">
            <v>4.5999999999999996</v>
          </cell>
          <cell r="P2484">
            <v>32.4</v>
          </cell>
          <cell r="S2484">
            <v>50.7</v>
          </cell>
          <cell r="T2484">
            <v>30.6</v>
          </cell>
          <cell r="U2484">
            <v>1</v>
          </cell>
        </row>
        <row r="2485">
          <cell r="B2485" t="str">
            <v>Female</v>
          </cell>
          <cell r="F2485">
            <v>0</v>
          </cell>
          <cell r="G2485">
            <v>9.5</v>
          </cell>
          <cell r="H2485">
            <v>3.5</v>
          </cell>
          <cell r="I2485">
            <v>81.2</v>
          </cell>
          <cell r="J2485">
            <v>0</v>
          </cell>
          <cell r="K2485">
            <v>3</v>
          </cell>
          <cell r="L2485">
            <v>127.14</v>
          </cell>
          <cell r="M2485">
            <v>22</v>
          </cell>
          <cell r="N2485">
            <v>42.5</v>
          </cell>
          <cell r="O2485">
            <v>4.5999999999999996</v>
          </cell>
          <cell r="P2485">
            <v>6.5</v>
          </cell>
          <cell r="T2485">
            <v>13</v>
          </cell>
          <cell r="U2485">
            <v>1</v>
          </cell>
        </row>
        <row r="2486">
          <cell r="B2486" t="str">
            <v>Female</v>
          </cell>
          <cell r="F2486">
            <v>0</v>
          </cell>
          <cell r="G2486">
            <v>5.0999999999999996</v>
          </cell>
          <cell r="H2486">
            <v>3.8</v>
          </cell>
          <cell r="I2486">
            <v>81.2</v>
          </cell>
          <cell r="J2486">
            <v>0</v>
          </cell>
          <cell r="K2486">
            <v>5</v>
          </cell>
          <cell r="L2486">
            <v>199.88</v>
          </cell>
          <cell r="M2486">
            <v>8</v>
          </cell>
          <cell r="N2486">
            <v>33.799999999999997</v>
          </cell>
          <cell r="O2486">
            <v>0.7</v>
          </cell>
          <cell r="P2486">
            <v>10.9</v>
          </cell>
          <cell r="S2486">
            <v>34</v>
          </cell>
          <cell r="T2486">
            <v>9.6</v>
          </cell>
          <cell r="U2486">
            <v>4</v>
          </cell>
        </row>
        <row r="2487">
          <cell r="B2487" t="str">
            <v>Female</v>
          </cell>
          <cell r="F2487">
            <v>0</v>
          </cell>
          <cell r="G2487">
            <v>28.4</v>
          </cell>
          <cell r="H2487">
            <v>7.8</v>
          </cell>
          <cell r="I2487">
            <v>78.7</v>
          </cell>
          <cell r="K2487">
            <v>9</v>
          </cell>
          <cell r="L2487">
            <v>102.29</v>
          </cell>
          <cell r="M2487">
            <v>4</v>
          </cell>
          <cell r="N2487">
            <v>53.9</v>
          </cell>
          <cell r="O2487">
            <v>3.4</v>
          </cell>
          <cell r="P2487">
            <v>21.5</v>
          </cell>
          <cell r="S2487">
            <v>11.1</v>
          </cell>
          <cell r="U2487">
            <v>1</v>
          </cell>
        </row>
        <row r="2488">
          <cell r="B2488" t="str">
            <v>Male</v>
          </cell>
          <cell r="F2488">
            <v>16</v>
          </cell>
          <cell r="G2488">
            <v>28.5</v>
          </cell>
          <cell r="H2488">
            <v>9.1999999999999993</v>
          </cell>
          <cell r="I2488">
            <v>63.5</v>
          </cell>
          <cell r="J2488">
            <v>5</v>
          </cell>
          <cell r="K2488">
            <v>15</v>
          </cell>
          <cell r="L2488">
            <v>170.9</v>
          </cell>
          <cell r="M2488">
            <v>6</v>
          </cell>
          <cell r="N2488">
            <v>49.1</v>
          </cell>
          <cell r="O2488">
            <v>7.8</v>
          </cell>
          <cell r="P2488">
            <v>32.1</v>
          </cell>
          <cell r="T2488">
            <v>18.8</v>
          </cell>
          <cell r="U2488">
            <v>2</v>
          </cell>
        </row>
        <row r="2489">
          <cell r="B2489" t="str">
            <v>Male</v>
          </cell>
          <cell r="F2489">
            <v>6</v>
          </cell>
          <cell r="G2489">
            <v>22.2</v>
          </cell>
          <cell r="H2489">
            <v>5.5</v>
          </cell>
          <cell r="I2489">
            <v>44.5</v>
          </cell>
          <cell r="J2489">
            <v>1</v>
          </cell>
          <cell r="K2489">
            <v>19.5</v>
          </cell>
          <cell r="L2489">
            <v>156.06</v>
          </cell>
          <cell r="M2489">
            <v>3</v>
          </cell>
          <cell r="N2489">
            <v>40.799999999999997</v>
          </cell>
          <cell r="O2489">
            <v>0.5</v>
          </cell>
          <cell r="P2489">
            <v>0</v>
          </cell>
          <cell r="S2489">
            <v>33.9</v>
          </cell>
        </row>
        <row r="2490">
          <cell r="B2490" t="str">
            <v>Male</v>
          </cell>
          <cell r="F2490">
            <v>11</v>
          </cell>
          <cell r="G2490">
            <v>23</v>
          </cell>
          <cell r="H2490">
            <v>9.8000000000000007</v>
          </cell>
          <cell r="I2490">
            <v>66</v>
          </cell>
          <cell r="K2490">
            <v>11</v>
          </cell>
          <cell r="L2490">
            <v>93.83</v>
          </cell>
          <cell r="M2490">
            <v>49</v>
          </cell>
          <cell r="N2490">
            <v>43.1</v>
          </cell>
          <cell r="O2490">
            <v>0.5</v>
          </cell>
          <cell r="P2490">
            <v>24.9</v>
          </cell>
          <cell r="S2490">
            <v>44.7</v>
          </cell>
          <cell r="T2490">
            <v>8.1</v>
          </cell>
          <cell r="U2490">
            <v>4</v>
          </cell>
        </row>
        <row r="2491">
          <cell r="B2491" t="str">
            <v>Female</v>
          </cell>
          <cell r="F2491">
            <v>4</v>
          </cell>
          <cell r="G2491">
            <v>1.5</v>
          </cell>
          <cell r="H2491">
            <v>5.2</v>
          </cell>
          <cell r="I2491">
            <v>72.900000000000006</v>
          </cell>
          <cell r="J2491">
            <v>1</v>
          </cell>
          <cell r="K2491">
            <v>6.5</v>
          </cell>
          <cell r="L2491">
            <v>128.36000000000001</v>
          </cell>
          <cell r="M2491">
            <v>64</v>
          </cell>
          <cell r="O2491">
            <v>6.6</v>
          </cell>
          <cell r="S2491">
            <v>2</v>
          </cell>
          <cell r="T2491">
            <v>10.1</v>
          </cell>
          <cell r="U2491">
            <v>2</v>
          </cell>
        </row>
        <row r="2492">
          <cell r="B2492" t="str">
            <v>Male</v>
          </cell>
          <cell r="F2492">
            <v>14</v>
          </cell>
          <cell r="G2492">
            <v>27.8</v>
          </cell>
          <cell r="H2492">
            <v>8.1</v>
          </cell>
          <cell r="I2492">
            <v>68.7</v>
          </cell>
          <cell r="J2492">
            <v>6</v>
          </cell>
          <cell r="K2492">
            <v>16</v>
          </cell>
          <cell r="L2492">
            <v>130.96</v>
          </cell>
          <cell r="M2492">
            <v>25</v>
          </cell>
          <cell r="N2492">
            <v>61.7</v>
          </cell>
          <cell r="O2492">
            <v>5.2</v>
          </cell>
          <cell r="P2492">
            <v>36.4</v>
          </cell>
          <cell r="S2492">
            <v>35.799999999999997</v>
          </cell>
          <cell r="T2492">
            <v>22.6</v>
          </cell>
          <cell r="U2492">
            <v>5</v>
          </cell>
        </row>
        <row r="2493">
          <cell r="B2493" t="str">
            <v>Female</v>
          </cell>
          <cell r="F2493">
            <v>10</v>
          </cell>
          <cell r="G2493">
            <v>29.6</v>
          </cell>
          <cell r="H2493">
            <v>6.9</v>
          </cell>
          <cell r="I2493">
            <v>52.6</v>
          </cell>
          <cell r="J2493">
            <v>6</v>
          </cell>
          <cell r="K2493">
            <v>16</v>
          </cell>
          <cell r="L2493">
            <v>72.88</v>
          </cell>
          <cell r="M2493">
            <v>1</v>
          </cell>
          <cell r="N2493">
            <v>39.6</v>
          </cell>
          <cell r="O2493">
            <v>10.3</v>
          </cell>
          <cell r="P2493">
            <v>33</v>
          </cell>
          <cell r="T2493">
            <v>24.2</v>
          </cell>
          <cell r="U2493">
            <v>2</v>
          </cell>
        </row>
        <row r="2494">
          <cell r="B2494" t="str">
            <v>Male</v>
          </cell>
          <cell r="F2494">
            <v>10</v>
          </cell>
          <cell r="H2494">
            <v>2.1</v>
          </cell>
          <cell r="I2494">
            <v>78</v>
          </cell>
          <cell r="J2494">
            <v>0</v>
          </cell>
          <cell r="K2494">
            <v>5</v>
          </cell>
          <cell r="L2494">
            <v>151.53</v>
          </cell>
          <cell r="M2494">
            <v>3</v>
          </cell>
          <cell r="N2494">
            <v>51.1</v>
          </cell>
          <cell r="O2494">
            <v>1.4</v>
          </cell>
          <cell r="P2494">
            <v>8.1999999999999993</v>
          </cell>
          <cell r="S2494">
            <v>23</v>
          </cell>
          <cell r="T2494">
            <v>13.5</v>
          </cell>
          <cell r="U2494">
            <v>2</v>
          </cell>
        </row>
        <row r="2495">
          <cell r="B2495" t="str">
            <v>Female</v>
          </cell>
          <cell r="F2495">
            <v>23</v>
          </cell>
          <cell r="G2495">
            <v>25.1</v>
          </cell>
          <cell r="I2495">
            <v>48.9</v>
          </cell>
          <cell r="J2495">
            <v>11</v>
          </cell>
          <cell r="K2495">
            <v>13</v>
          </cell>
          <cell r="L2495">
            <v>173.8</v>
          </cell>
          <cell r="M2495">
            <v>23</v>
          </cell>
          <cell r="N2495">
            <v>28.2</v>
          </cell>
          <cell r="O2495">
            <v>4.5</v>
          </cell>
          <cell r="P2495">
            <v>19</v>
          </cell>
          <cell r="S2495">
            <v>34.799999999999997</v>
          </cell>
          <cell r="T2495">
            <v>21</v>
          </cell>
          <cell r="U2495">
            <v>2</v>
          </cell>
        </row>
        <row r="2496">
          <cell r="B2496" t="str">
            <v>Male</v>
          </cell>
          <cell r="F2496">
            <v>10</v>
          </cell>
          <cell r="G2496">
            <v>31</v>
          </cell>
          <cell r="H2496">
            <v>9.9</v>
          </cell>
          <cell r="I2496">
            <v>45.1</v>
          </cell>
          <cell r="J2496">
            <v>5</v>
          </cell>
          <cell r="K2496">
            <v>12</v>
          </cell>
          <cell r="L2496">
            <v>244.32</v>
          </cell>
          <cell r="N2496">
            <v>45.1</v>
          </cell>
          <cell r="O2496">
            <v>3.4</v>
          </cell>
          <cell r="P2496">
            <v>14.8</v>
          </cell>
          <cell r="S2496">
            <v>37.9</v>
          </cell>
          <cell r="T2496">
            <v>19.3</v>
          </cell>
          <cell r="U2496">
            <v>2</v>
          </cell>
        </row>
        <row r="2497">
          <cell r="B2497" t="str">
            <v>Female</v>
          </cell>
          <cell r="F2497">
            <v>15</v>
          </cell>
          <cell r="G2497">
            <v>36.1</v>
          </cell>
          <cell r="H2497">
            <v>10.6</v>
          </cell>
          <cell r="I2497">
            <v>63.2</v>
          </cell>
          <cell r="J2497">
            <v>7</v>
          </cell>
          <cell r="K2497">
            <v>12</v>
          </cell>
          <cell r="L2497">
            <v>137.46</v>
          </cell>
          <cell r="M2497">
            <v>52</v>
          </cell>
          <cell r="O2497">
            <v>2.4</v>
          </cell>
          <cell r="P2497">
            <v>31.1</v>
          </cell>
          <cell r="T2497">
            <v>17.399999999999999</v>
          </cell>
          <cell r="U2497">
            <v>1</v>
          </cell>
        </row>
        <row r="2498">
          <cell r="B2498" t="str">
            <v>Female</v>
          </cell>
          <cell r="F2498">
            <v>21</v>
          </cell>
          <cell r="G2498">
            <v>40.299999999999997</v>
          </cell>
          <cell r="H2498">
            <v>11.9</v>
          </cell>
          <cell r="I2498">
            <v>68.099999999999994</v>
          </cell>
          <cell r="J2498">
            <v>3</v>
          </cell>
          <cell r="K2498">
            <v>13</v>
          </cell>
          <cell r="L2498">
            <v>112.64</v>
          </cell>
          <cell r="O2498">
            <v>3.4</v>
          </cell>
          <cell r="P2498">
            <v>39.200000000000003</v>
          </cell>
          <cell r="U2498">
            <v>3</v>
          </cell>
        </row>
        <row r="2499">
          <cell r="B2499" t="str">
            <v>Female</v>
          </cell>
          <cell r="F2499">
            <v>15</v>
          </cell>
          <cell r="G2499">
            <v>27.1</v>
          </cell>
          <cell r="I2499">
            <v>40.1</v>
          </cell>
          <cell r="K2499">
            <v>15</v>
          </cell>
          <cell r="L2499">
            <v>108.18</v>
          </cell>
          <cell r="M2499">
            <v>15</v>
          </cell>
          <cell r="N2499">
            <v>22.9</v>
          </cell>
          <cell r="P2499">
            <v>15.2</v>
          </cell>
          <cell r="S2499">
            <v>41</v>
          </cell>
          <cell r="T2499">
            <v>26.1</v>
          </cell>
          <cell r="U2499">
            <v>2</v>
          </cell>
        </row>
        <row r="2500">
          <cell r="B2500" t="str">
            <v>Female</v>
          </cell>
          <cell r="F2500">
            <v>11</v>
          </cell>
          <cell r="G2500">
            <v>20.6</v>
          </cell>
          <cell r="H2500">
            <v>3</v>
          </cell>
          <cell r="I2500">
            <v>66.599999999999994</v>
          </cell>
          <cell r="J2500">
            <v>0</v>
          </cell>
          <cell r="K2500">
            <v>11</v>
          </cell>
          <cell r="L2500">
            <v>200.26</v>
          </cell>
          <cell r="M2500">
            <v>26</v>
          </cell>
          <cell r="N2500">
            <v>24</v>
          </cell>
          <cell r="O2500">
            <v>11.4</v>
          </cell>
          <cell r="P2500">
            <v>7.5</v>
          </cell>
          <cell r="S2500">
            <v>4.4000000000000004</v>
          </cell>
          <cell r="T2500">
            <v>17.2</v>
          </cell>
          <cell r="U2500">
            <v>3</v>
          </cell>
        </row>
        <row r="2501">
          <cell r="B2501" t="str">
            <v>Female</v>
          </cell>
          <cell r="F2501">
            <v>3</v>
          </cell>
          <cell r="G2501">
            <v>12.3</v>
          </cell>
          <cell r="H2501">
            <v>5.3</v>
          </cell>
          <cell r="I2501">
            <v>75.900000000000006</v>
          </cell>
          <cell r="J2501">
            <v>1</v>
          </cell>
          <cell r="K2501">
            <v>11</v>
          </cell>
          <cell r="L2501">
            <v>142.07</v>
          </cell>
          <cell r="M2501">
            <v>29</v>
          </cell>
          <cell r="N2501">
            <v>37.5</v>
          </cell>
          <cell r="O2501">
            <v>15.1</v>
          </cell>
          <cell r="P2501">
            <v>0</v>
          </cell>
          <cell r="S2501">
            <v>0</v>
          </cell>
          <cell r="T2501">
            <v>3.8</v>
          </cell>
          <cell r="U2501">
            <v>1</v>
          </cell>
        </row>
        <row r="2502">
          <cell r="B2502" t="str">
            <v>Male</v>
          </cell>
          <cell r="F2502">
            <v>26</v>
          </cell>
          <cell r="G2502">
            <v>37.799999999999997</v>
          </cell>
          <cell r="H2502">
            <v>15.3</v>
          </cell>
          <cell r="I2502">
            <v>47.6</v>
          </cell>
          <cell r="J2502">
            <v>3</v>
          </cell>
          <cell r="K2502">
            <v>13</v>
          </cell>
          <cell r="L2502">
            <v>166.11</v>
          </cell>
          <cell r="M2502">
            <v>0</v>
          </cell>
          <cell r="N2502">
            <v>53.1</v>
          </cell>
          <cell r="O2502">
            <v>23.7</v>
          </cell>
          <cell r="P2502">
            <v>26.8</v>
          </cell>
          <cell r="S2502">
            <v>19.8</v>
          </cell>
          <cell r="T2502">
            <v>31.3</v>
          </cell>
          <cell r="U2502">
            <v>2</v>
          </cell>
        </row>
        <row r="2503">
          <cell r="B2503" t="str">
            <v>Male</v>
          </cell>
          <cell r="F2503">
            <v>17</v>
          </cell>
          <cell r="G2503">
            <v>41.3</v>
          </cell>
          <cell r="H2503">
            <v>13.2</v>
          </cell>
          <cell r="I2503">
            <v>33.5</v>
          </cell>
          <cell r="J2503">
            <v>6</v>
          </cell>
          <cell r="K2503" t="str">
            <v>23.400000000000002</v>
          </cell>
          <cell r="L2503">
            <v>137.07</v>
          </cell>
          <cell r="M2503">
            <v>44</v>
          </cell>
          <cell r="N2503" t="str">
            <v>23.639999999999997</v>
          </cell>
          <cell r="O2503">
            <v>8</v>
          </cell>
          <cell r="P2503">
            <v>29.6</v>
          </cell>
          <cell r="S2503">
            <v>58.2</v>
          </cell>
          <cell r="T2503">
            <v>23.7</v>
          </cell>
          <cell r="U2503">
            <v>2</v>
          </cell>
        </row>
        <row r="2504">
          <cell r="B2504" t="str">
            <v>Male</v>
          </cell>
          <cell r="F2504">
            <v>13</v>
          </cell>
          <cell r="G2504">
            <v>17.5</v>
          </cell>
          <cell r="H2504">
            <v>12.4</v>
          </cell>
          <cell r="I2504">
            <v>47.1</v>
          </cell>
          <cell r="J2504">
            <v>3</v>
          </cell>
          <cell r="K2504">
            <v>10</v>
          </cell>
          <cell r="L2504">
            <v>112.32</v>
          </cell>
          <cell r="M2504">
            <v>2</v>
          </cell>
          <cell r="N2504">
            <v>76.599999999999994</v>
          </cell>
          <cell r="O2504">
            <v>2.2999999999999998</v>
          </cell>
          <cell r="P2504">
            <v>33.6</v>
          </cell>
          <cell r="S2504">
            <v>24.7</v>
          </cell>
          <cell r="T2504">
            <v>26.2</v>
          </cell>
          <cell r="U2504">
            <v>1</v>
          </cell>
        </row>
        <row r="2505">
          <cell r="B2505" t="str">
            <v>Male</v>
          </cell>
          <cell r="F2505">
            <v>10</v>
          </cell>
          <cell r="G2505">
            <v>34.6</v>
          </cell>
          <cell r="H2505">
            <v>11.6</v>
          </cell>
          <cell r="I2505">
            <v>50.4</v>
          </cell>
          <cell r="J2505">
            <v>8</v>
          </cell>
          <cell r="K2505">
            <v>12</v>
          </cell>
          <cell r="L2505">
            <v>88.51</v>
          </cell>
          <cell r="N2505">
            <v>16.2</v>
          </cell>
          <cell r="O2505">
            <v>9.4</v>
          </cell>
          <cell r="P2505">
            <v>27.6</v>
          </cell>
          <cell r="S2505">
            <v>39.6</v>
          </cell>
          <cell r="T2505">
            <v>23.7</v>
          </cell>
          <cell r="U2505">
            <v>3</v>
          </cell>
        </row>
        <row r="2506">
          <cell r="B2506" t="str">
            <v>Male</v>
          </cell>
          <cell r="F2506">
            <v>6</v>
          </cell>
          <cell r="H2506">
            <v>5.6</v>
          </cell>
          <cell r="I2506">
            <v>67.3</v>
          </cell>
          <cell r="J2506">
            <v>3</v>
          </cell>
          <cell r="K2506">
            <v>7</v>
          </cell>
          <cell r="L2506">
            <v>98.98</v>
          </cell>
          <cell r="M2506">
            <v>29</v>
          </cell>
          <cell r="N2506">
            <v>24.4</v>
          </cell>
          <cell r="O2506">
            <v>5</v>
          </cell>
          <cell r="P2506">
            <v>28.3</v>
          </cell>
          <cell r="S2506">
            <v>8.1999999999999993</v>
          </cell>
          <cell r="U2506">
            <v>1</v>
          </cell>
        </row>
        <row r="2507">
          <cell r="B2507" t="str">
            <v>Female</v>
          </cell>
          <cell r="F2507">
            <v>3</v>
          </cell>
          <cell r="G2507">
            <v>22.2</v>
          </cell>
          <cell r="H2507">
            <v>6.9</v>
          </cell>
          <cell r="I2507">
            <v>56.1</v>
          </cell>
          <cell r="J2507">
            <v>1</v>
          </cell>
          <cell r="K2507">
            <v>10.4</v>
          </cell>
          <cell r="L2507">
            <v>114.78</v>
          </cell>
          <cell r="M2507">
            <v>44</v>
          </cell>
          <cell r="O2507">
            <v>4.7</v>
          </cell>
          <cell r="P2507">
            <v>9.1999999999999993</v>
          </cell>
          <cell r="S2507">
            <v>11.9</v>
          </cell>
          <cell r="T2507">
            <v>10.5</v>
          </cell>
        </row>
        <row r="2508">
          <cell r="B2508" t="str">
            <v>Female</v>
          </cell>
          <cell r="F2508">
            <v>0</v>
          </cell>
          <cell r="G2508">
            <v>13.9</v>
          </cell>
          <cell r="H2508">
            <v>7</v>
          </cell>
          <cell r="I2508">
            <v>60.8</v>
          </cell>
          <cell r="J2508">
            <v>1</v>
          </cell>
          <cell r="K2508">
            <v>4</v>
          </cell>
          <cell r="L2508">
            <v>51.04</v>
          </cell>
          <cell r="M2508">
            <v>1</v>
          </cell>
          <cell r="N2508">
            <v>54</v>
          </cell>
          <cell r="O2508">
            <v>3.5</v>
          </cell>
          <cell r="P2508">
            <v>6.7</v>
          </cell>
          <cell r="S2508">
            <v>19.7</v>
          </cell>
          <cell r="T2508">
            <v>10.1</v>
          </cell>
          <cell r="U2508">
            <v>1</v>
          </cell>
        </row>
        <row r="2509">
          <cell r="B2509" t="str">
            <v>Male</v>
          </cell>
          <cell r="F2509">
            <v>12</v>
          </cell>
          <cell r="G2509">
            <v>44.5</v>
          </cell>
          <cell r="H2509">
            <v>11.9</v>
          </cell>
          <cell r="I2509">
            <v>22</v>
          </cell>
          <cell r="J2509">
            <v>3</v>
          </cell>
          <cell r="K2509">
            <v>16</v>
          </cell>
          <cell r="L2509">
            <v>134.99</v>
          </cell>
          <cell r="M2509">
            <v>2</v>
          </cell>
          <cell r="N2509">
            <v>46.6</v>
          </cell>
          <cell r="P2509">
            <v>50.8</v>
          </cell>
          <cell r="S2509">
            <v>58.5</v>
          </cell>
          <cell r="T2509">
            <v>24.9</v>
          </cell>
          <cell r="U2509">
            <v>2</v>
          </cell>
        </row>
        <row r="2510">
          <cell r="B2510" t="str">
            <v>Male</v>
          </cell>
          <cell r="F2510">
            <v>20</v>
          </cell>
          <cell r="G2510">
            <v>42.1</v>
          </cell>
          <cell r="H2510">
            <v>12.8</v>
          </cell>
          <cell r="I2510">
            <v>60.6</v>
          </cell>
          <cell r="J2510">
            <v>7</v>
          </cell>
          <cell r="K2510">
            <v>18</v>
          </cell>
          <cell r="L2510">
            <v>60.31</v>
          </cell>
          <cell r="M2510">
            <v>22</v>
          </cell>
          <cell r="N2510">
            <v>27.4</v>
          </cell>
          <cell r="O2510">
            <v>4</v>
          </cell>
          <cell r="P2510">
            <v>33</v>
          </cell>
          <cell r="S2510">
            <v>40.799999999999997</v>
          </cell>
          <cell r="T2510">
            <v>22</v>
          </cell>
          <cell r="U2510">
            <v>1</v>
          </cell>
        </row>
        <row r="2511">
          <cell r="B2511" t="str">
            <v>Male</v>
          </cell>
          <cell r="F2511">
            <v>16</v>
          </cell>
          <cell r="G2511">
            <v>36.200000000000003</v>
          </cell>
          <cell r="H2511">
            <v>8.1</v>
          </cell>
          <cell r="I2511">
            <v>22.8</v>
          </cell>
          <cell r="J2511">
            <v>10</v>
          </cell>
          <cell r="K2511">
            <v>27</v>
          </cell>
          <cell r="L2511">
            <v>135.66999999999999</v>
          </cell>
          <cell r="M2511">
            <v>25</v>
          </cell>
          <cell r="N2511">
            <v>28.4</v>
          </cell>
          <cell r="O2511">
            <v>3.4</v>
          </cell>
          <cell r="P2511">
            <v>41.6</v>
          </cell>
          <cell r="T2511">
            <v>21.3</v>
          </cell>
          <cell r="U2511">
            <v>2</v>
          </cell>
        </row>
        <row r="2512">
          <cell r="B2512" t="str">
            <v>Female</v>
          </cell>
          <cell r="F2512">
            <v>3</v>
          </cell>
          <cell r="G2512">
            <v>16.899999999999999</v>
          </cell>
          <cell r="H2512">
            <v>6.8</v>
          </cell>
          <cell r="I2512">
            <v>66.8</v>
          </cell>
          <cell r="J2512">
            <v>5</v>
          </cell>
          <cell r="K2512">
            <v>11</v>
          </cell>
          <cell r="L2512">
            <v>210.12</v>
          </cell>
          <cell r="M2512">
            <v>14</v>
          </cell>
          <cell r="N2512">
            <v>38.299999999999997</v>
          </cell>
          <cell r="S2512">
            <v>9.5</v>
          </cell>
          <cell r="T2512">
            <v>14.9</v>
          </cell>
          <cell r="U2512">
            <v>2</v>
          </cell>
        </row>
        <row r="2513">
          <cell r="B2513" t="str">
            <v>Female</v>
          </cell>
          <cell r="F2513">
            <v>3</v>
          </cell>
          <cell r="G2513">
            <v>19</v>
          </cell>
          <cell r="H2513">
            <v>1</v>
          </cell>
          <cell r="I2513">
            <v>51</v>
          </cell>
          <cell r="J2513">
            <v>0</v>
          </cell>
          <cell r="K2513">
            <v>6</v>
          </cell>
          <cell r="L2513">
            <v>138.11000000000001</v>
          </cell>
          <cell r="M2513">
            <v>61</v>
          </cell>
          <cell r="N2513">
            <v>81.8</v>
          </cell>
          <cell r="O2513">
            <v>1.6</v>
          </cell>
          <cell r="P2513">
            <v>9.3000000000000007</v>
          </cell>
          <cell r="S2513">
            <v>7.8</v>
          </cell>
          <cell r="T2513">
            <v>18.100000000000001</v>
          </cell>
          <cell r="U2513">
            <v>1</v>
          </cell>
        </row>
        <row r="2514">
          <cell r="B2514" t="str">
            <v>Female</v>
          </cell>
          <cell r="F2514">
            <v>7</v>
          </cell>
          <cell r="G2514">
            <v>37.5</v>
          </cell>
          <cell r="H2514">
            <v>11.1</v>
          </cell>
          <cell r="I2514">
            <v>55.5</v>
          </cell>
          <cell r="J2514">
            <v>6</v>
          </cell>
          <cell r="K2514">
            <v>16</v>
          </cell>
          <cell r="L2514">
            <v>207.63</v>
          </cell>
          <cell r="M2514">
            <v>84</v>
          </cell>
          <cell r="N2514">
            <v>71.8</v>
          </cell>
          <cell r="O2514">
            <v>14.4</v>
          </cell>
          <cell r="P2514">
            <v>27.4</v>
          </cell>
          <cell r="S2514">
            <v>39</v>
          </cell>
          <cell r="T2514">
            <v>20.100000000000001</v>
          </cell>
          <cell r="U2514">
            <v>1</v>
          </cell>
        </row>
        <row r="2515">
          <cell r="B2515" t="str">
            <v>Female</v>
          </cell>
          <cell r="F2515">
            <v>11</v>
          </cell>
          <cell r="G2515">
            <v>25.9</v>
          </cell>
          <cell r="H2515">
            <v>10.4</v>
          </cell>
          <cell r="I2515">
            <v>65.900000000000006</v>
          </cell>
          <cell r="J2515">
            <v>4</v>
          </cell>
          <cell r="K2515">
            <v>18</v>
          </cell>
          <cell r="L2515">
            <v>127.25</v>
          </cell>
          <cell r="M2515">
            <v>70</v>
          </cell>
          <cell r="N2515">
            <v>73.7</v>
          </cell>
          <cell r="O2515">
            <v>8.4</v>
          </cell>
          <cell r="P2515">
            <v>17.2</v>
          </cell>
          <cell r="T2515">
            <v>19.100000000000001</v>
          </cell>
          <cell r="U2515">
            <v>3</v>
          </cell>
        </row>
        <row r="2516">
          <cell r="B2516" t="str">
            <v>Male</v>
          </cell>
          <cell r="F2516">
            <v>10</v>
          </cell>
          <cell r="G2516">
            <v>46.1</v>
          </cell>
          <cell r="H2516">
            <v>13.8</v>
          </cell>
          <cell r="I2516">
            <v>31.1</v>
          </cell>
          <cell r="J2516">
            <v>4</v>
          </cell>
          <cell r="K2516">
            <v>28.6</v>
          </cell>
          <cell r="L2516">
            <v>115.11</v>
          </cell>
          <cell r="M2516">
            <v>44</v>
          </cell>
          <cell r="N2516">
            <v>70.08</v>
          </cell>
          <cell r="O2516">
            <v>12.7</v>
          </cell>
          <cell r="P2516">
            <v>27.6</v>
          </cell>
          <cell r="S2516">
            <v>56.9</v>
          </cell>
          <cell r="T2516">
            <v>38</v>
          </cell>
          <cell r="U2516">
            <v>5</v>
          </cell>
        </row>
        <row r="2517">
          <cell r="B2517" t="str">
            <v>Male</v>
          </cell>
          <cell r="F2517">
            <v>20</v>
          </cell>
          <cell r="G2517">
            <v>29</v>
          </cell>
          <cell r="H2517">
            <v>6.8</v>
          </cell>
          <cell r="I2517">
            <v>72.5</v>
          </cell>
          <cell r="J2517">
            <v>3</v>
          </cell>
          <cell r="K2517">
            <v>13</v>
          </cell>
          <cell r="L2517">
            <v>85.86</v>
          </cell>
          <cell r="M2517">
            <v>17</v>
          </cell>
          <cell r="N2517">
            <v>91.2</v>
          </cell>
          <cell r="O2517">
            <v>7</v>
          </cell>
          <cell r="P2517">
            <v>8.1</v>
          </cell>
          <cell r="S2517">
            <v>34.6</v>
          </cell>
          <cell r="T2517">
            <v>14.5</v>
          </cell>
          <cell r="U2517">
            <v>5</v>
          </cell>
        </row>
        <row r="2518">
          <cell r="B2518" t="str">
            <v>Female</v>
          </cell>
          <cell r="F2518">
            <v>12</v>
          </cell>
          <cell r="G2518">
            <v>20.8</v>
          </cell>
          <cell r="H2518">
            <v>12.1</v>
          </cell>
          <cell r="I2518">
            <v>62.8</v>
          </cell>
          <cell r="J2518">
            <v>6</v>
          </cell>
          <cell r="K2518">
            <v>13</v>
          </cell>
          <cell r="L2518">
            <v>85.21</v>
          </cell>
          <cell r="M2518">
            <v>83</v>
          </cell>
          <cell r="N2518" t="str">
            <v>28.439999999999998</v>
          </cell>
          <cell r="O2518">
            <v>10.8</v>
          </cell>
          <cell r="P2518">
            <v>26.3</v>
          </cell>
          <cell r="S2518">
            <v>37.299999999999997</v>
          </cell>
          <cell r="T2518">
            <v>9.6999999999999993</v>
          </cell>
          <cell r="U2518">
            <v>2</v>
          </cell>
        </row>
        <row r="2519">
          <cell r="B2519" t="str">
            <v>Female</v>
          </cell>
          <cell r="F2519">
            <v>22</v>
          </cell>
          <cell r="G2519">
            <v>27.4</v>
          </cell>
          <cell r="H2519">
            <v>11</v>
          </cell>
          <cell r="I2519">
            <v>38.299999999999997</v>
          </cell>
          <cell r="J2519">
            <v>7</v>
          </cell>
          <cell r="K2519">
            <v>24</v>
          </cell>
          <cell r="L2519">
            <v>135.53</v>
          </cell>
          <cell r="M2519">
            <v>42</v>
          </cell>
          <cell r="N2519">
            <v>69</v>
          </cell>
          <cell r="O2519">
            <v>12.7</v>
          </cell>
          <cell r="P2519">
            <v>24.7</v>
          </cell>
          <cell r="S2519">
            <v>48.4</v>
          </cell>
          <cell r="T2519">
            <v>26.2</v>
          </cell>
          <cell r="U2519">
            <v>1</v>
          </cell>
        </row>
        <row r="2520">
          <cell r="B2520" t="str">
            <v>Female</v>
          </cell>
          <cell r="F2520">
            <v>3</v>
          </cell>
          <cell r="G2520">
            <v>22.7</v>
          </cell>
          <cell r="H2520">
            <v>8.5</v>
          </cell>
          <cell r="I2520">
            <v>59</v>
          </cell>
          <cell r="J2520">
            <v>3</v>
          </cell>
          <cell r="K2520">
            <v>9</v>
          </cell>
          <cell r="L2520">
            <v>113.77</v>
          </cell>
          <cell r="M2520">
            <v>0</v>
          </cell>
          <cell r="O2520">
            <v>3.8</v>
          </cell>
          <cell r="P2520">
            <v>3.1</v>
          </cell>
          <cell r="S2520">
            <v>0</v>
          </cell>
          <cell r="T2520">
            <v>8.6</v>
          </cell>
          <cell r="U2520">
            <v>2</v>
          </cell>
        </row>
        <row r="2521">
          <cell r="B2521" t="str">
            <v>Female</v>
          </cell>
          <cell r="F2521">
            <v>0</v>
          </cell>
          <cell r="G2521">
            <v>17.600000000000001</v>
          </cell>
          <cell r="H2521">
            <v>1.8</v>
          </cell>
          <cell r="I2521">
            <v>61.8</v>
          </cell>
          <cell r="J2521">
            <v>1</v>
          </cell>
          <cell r="K2521">
            <v>2</v>
          </cell>
          <cell r="L2521">
            <v>152.88999999999999</v>
          </cell>
          <cell r="M2521">
            <v>67</v>
          </cell>
          <cell r="N2521">
            <v>32</v>
          </cell>
          <cell r="O2521">
            <v>0.3</v>
          </cell>
          <cell r="P2521">
            <v>12.2</v>
          </cell>
          <cell r="S2521">
            <v>17.7</v>
          </cell>
          <cell r="T2521">
            <v>7.6</v>
          </cell>
          <cell r="U2521">
            <v>5</v>
          </cell>
        </row>
        <row r="2522">
          <cell r="B2522" t="str">
            <v>Male</v>
          </cell>
          <cell r="F2522">
            <v>7</v>
          </cell>
          <cell r="G2522">
            <v>20.9</v>
          </cell>
          <cell r="H2522">
            <v>7.6</v>
          </cell>
          <cell r="I2522">
            <v>78.400000000000006</v>
          </cell>
          <cell r="J2522">
            <v>0</v>
          </cell>
          <cell r="K2522">
            <v>9</v>
          </cell>
          <cell r="L2522">
            <v>113.33</v>
          </cell>
          <cell r="M2522">
            <v>13</v>
          </cell>
          <cell r="N2522">
            <v>39.700000000000003</v>
          </cell>
          <cell r="O2522">
            <v>0.5</v>
          </cell>
          <cell r="P2522">
            <v>19.5</v>
          </cell>
          <cell r="S2522">
            <v>0.8</v>
          </cell>
          <cell r="T2522">
            <v>11.6</v>
          </cell>
          <cell r="U2522">
            <v>1</v>
          </cell>
        </row>
        <row r="2523">
          <cell r="B2523" t="str">
            <v>Male</v>
          </cell>
          <cell r="F2523">
            <v>17</v>
          </cell>
          <cell r="G2523">
            <v>31.5</v>
          </cell>
          <cell r="H2523">
            <v>12.3</v>
          </cell>
          <cell r="I2523">
            <v>44.3</v>
          </cell>
          <cell r="J2523">
            <v>6</v>
          </cell>
          <cell r="K2523">
            <v>19</v>
          </cell>
          <cell r="L2523">
            <v>182.84</v>
          </cell>
          <cell r="M2523">
            <v>18</v>
          </cell>
          <cell r="N2523">
            <v>27</v>
          </cell>
          <cell r="O2523">
            <v>2.6</v>
          </cell>
          <cell r="P2523">
            <v>42</v>
          </cell>
          <cell r="S2523">
            <v>41.1</v>
          </cell>
          <cell r="T2523">
            <v>33.4</v>
          </cell>
          <cell r="U2523">
            <v>2</v>
          </cell>
        </row>
        <row r="2524">
          <cell r="B2524" t="str">
            <v>Male</v>
          </cell>
          <cell r="F2524">
            <v>3</v>
          </cell>
          <cell r="G2524">
            <v>37.799999999999997</v>
          </cell>
          <cell r="H2524">
            <v>12.3</v>
          </cell>
          <cell r="I2524">
            <v>39.799999999999997</v>
          </cell>
          <cell r="J2524">
            <v>9</v>
          </cell>
          <cell r="K2524">
            <v>20</v>
          </cell>
          <cell r="L2524">
            <v>111.27</v>
          </cell>
          <cell r="M2524">
            <v>2</v>
          </cell>
          <cell r="N2524">
            <v>44.5</v>
          </cell>
          <cell r="O2524">
            <v>1.7</v>
          </cell>
          <cell r="P2524">
            <v>44</v>
          </cell>
          <cell r="S2524">
            <v>4.2</v>
          </cell>
          <cell r="T2524">
            <v>28.8</v>
          </cell>
          <cell r="U2524">
            <v>2</v>
          </cell>
        </row>
        <row r="2525">
          <cell r="B2525" t="str">
            <v>Female</v>
          </cell>
          <cell r="F2525">
            <v>0</v>
          </cell>
          <cell r="G2525">
            <v>24.1</v>
          </cell>
          <cell r="H2525">
            <v>6</v>
          </cell>
          <cell r="I2525">
            <v>50.6</v>
          </cell>
          <cell r="J2525">
            <v>3</v>
          </cell>
          <cell r="K2525">
            <v>10</v>
          </cell>
          <cell r="L2525">
            <v>52.32</v>
          </cell>
          <cell r="M2525">
            <v>18</v>
          </cell>
          <cell r="N2525">
            <v>83.6</v>
          </cell>
          <cell r="O2525">
            <v>4.3</v>
          </cell>
          <cell r="P2525">
            <v>25.3</v>
          </cell>
          <cell r="S2525">
            <v>34</v>
          </cell>
          <cell r="T2525">
            <v>11.7</v>
          </cell>
        </row>
        <row r="2526">
          <cell r="B2526" t="str">
            <v>Male</v>
          </cell>
          <cell r="F2526">
            <v>5</v>
          </cell>
          <cell r="G2526">
            <v>15.8</v>
          </cell>
          <cell r="H2526">
            <v>5.5</v>
          </cell>
          <cell r="I2526">
            <v>53.3</v>
          </cell>
          <cell r="J2526">
            <v>0</v>
          </cell>
          <cell r="K2526">
            <v>6</v>
          </cell>
          <cell r="L2526">
            <v>92.17</v>
          </cell>
          <cell r="M2526">
            <v>27</v>
          </cell>
          <cell r="O2526">
            <v>4.5999999999999996</v>
          </cell>
          <cell r="P2526">
            <v>10</v>
          </cell>
          <cell r="S2526">
            <v>35.799999999999997</v>
          </cell>
          <cell r="T2526">
            <v>14.3</v>
          </cell>
          <cell r="U2526">
            <v>1</v>
          </cell>
        </row>
        <row r="2527">
          <cell r="B2527" t="str">
            <v>Female</v>
          </cell>
          <cell r="F2527">
            <v>0</v>
          </cell>
          <cell r="G2527">
            <v>15.5</v>
          </cell>
          <cell r="H2527">
            <v>2.8</v>
          </cell>
          <cell r="I2527">
            <v>49.8</v>
          </cell>
          <cell r="J2527">
            <v>1</v>
          </cell>
          <cell r="K2527">
            <v>5</v>
          </cell>
          <cell r="L2527">
            <v>94.18</v>
          </cell>
          <cell r="M2527">
            <v>29</v>
          </cell>
          <cell r="N2527">
            <v>23.3</v>
          </cell>
          <cell r="O2527">
            <v>7.4</v>
          </cell>
          <cell r="P2527">
            <v>11.2</v>
          </cell>
          <cell r="S2527">
            <v>15.5</v>
          </cell>
          <cell r="U2527">
            <v>2</v>
          </cell>
        </row>
        <row r="2528">
          <cell r="B2528" t="str">
            <v>Male</v>
          </cell>
          <cell r="F2528">
            <v>17</v>
          </cell>
          <cell r="G2528">
            <v>40.4</v>
          </cell>
          <cell r="H2528">
            <v>10.9</v>
          </cell>
          <cell r="I2528">
            <v>28.9</v>
          </cell>
          <cell r="J2528">
            <v>1</v>
          </cell>
          <cell r="K2528">
            <v>32</v>
          </cell>
          <cell r="L2528">
            <v>110.83</v>
          </cell>
          <cell r="M2528">
            <v>42</v>
          </cell>
          <cell r="N2528">
            <v>23.8</v>
          </cell>
          <cell r="O2528">
            <v>1.6</v>
          </cell>
          <cell r="P2528">
            <v>18.600000000000001</v>
          </cell>
          <cell r="S2528">
            <v>52</v>
          </cell>
          <cell r="T2528">
            <v>34.1</v>
          </cell>
          <cell r="U2528">
            <v>5</v>
          </cell>
        </row>
        <row r="2529">
          <cell r="B2529" t="str">
            <v>Female</v>
          </cell>
          <cell r="F2529">
            <v>3</v>
          </cell>
          <cell r="G2529">
            <v>21.7</v>
          </cell>
          <cell r="H2529">
            <v>4.5999999999999996</v>
          </cell>
          <cell r="I2529">
            <v>57.6</v>
          </cell>
          <cell r="J2529">
            <v>2</v>
          </cell>
          <cell r="K2529">
            <v>4</v>
          </cell>
          <cell r="L2529">
            <v>153.77000000000001</v>
          </cell>
          <cell r="M2529">
            <v>15</v>
          </cell>
          <cell r="N2529">
            <v>59.4</v>
          </cell>
          <cell r="O2529">
            <v>6</v>
          </cell>
          <cell r="P2529">
            <v>17</v>
          </cell>
          <cell r="S2529">
            <v>30.5</v>
          </cell>
          <cell r="U2529">
            <v>3</v>
          </cell>
        </row>
        <row r="2530">
          <cell r="B2530" t="str">
            <v>Male</v>
          </cell>
          <cell r="F2530">
            <v>0</v>
          </cell>
          <cell r="G2530">
            <v>12.8</v>
          </cell>
          <cell r="H2530">
            <v>3.3</v>
          </cell>
          <cell r="I2530">
            <v>68</v>
          </cell>
          <cell r="J2530">
            <v>3</v>
          </cell>
          <cell r="K2530">
            <v>12</v>
          </cell>
          <cell r="L2530">
            <v>91.86</v>
          </cell>
          <cell r="M2530">
            <v>10</v>
          </cell>
          <cell r="N2530">
            <v>46</v>
          </cell>
          <cell r="O2530">
            <v>9.9</v>
          </cell>
          <cell r="P2530">
            <v>0</v>
          </cell>
          <cell r="S2530">
            <v>0</v>
          </cell>
          <cell r="T2530">
            <v>8.9</v>
          </cell>
          <cell r="U2530">
            <v>2</v>
          </cell>
        </row>
        <row r="2531">
          <cell r="B2531" t="str">
            <v>Male</v>
          </cell>
          <cell r="F2531">
            <v>23</v>
          </cell>
          <cell r="G2531">
            <v>32.700000000000003</v>
          </cell>
          <cell r="H2531">
            <v>11.8</v>
          </cell>
          <cell r="I2531">
            <v>37.200000000000003</v>
          </cell>
          <cell r="J2531">
            <v>14</v>
          </cell>
          <cell r="K2531">
            <v>18</v>
          </cell>
          <cell r="L2531">
            <v>61.63</v>
          </cell>
          <cell r="M2531">
            <v>10</v>
          </cell>
          <cell r="N2531">
            <v>61.4</v>
          </cell>
          <cell r="O2531">
            <v>1.4</v>
          </cell>
          <cell r="P2531">
            <v>31.4</v>
          </cell>
          <cell r="S2531">
            <v>40.9</v>
          </cell>
          <cell r="T2531">
            <v>28.8</v>
          </cell>
          <cell r="U2531">
            <v>3</v>
          </cell>
        </row>
        <row r="2532">
          <cell r="B2532" t="str">
            <v>Female</v>
          </cell>
          <cell r="F2532">
            <v>5</v>
          </cell>
          <cell r="G2532">
            <v>18.2</v>
          </cell>
          <cell r="H2532">
            <v>3.1</v>
          </cell>
          <cell r="I2532">
            <v>58.5</v>
          </cell>
          <cell r="J2532">
            <v>3</v>
          </cell>
          <cell r="K2532" t="str">
            <v>15.600000000000001</v>
          </cell>
          <cell r="L2532">
            <v>115.8</v>
          </cell>
          <cell r="M2532">
            <v>4</v>
          </cell>
          <cell r="N2532" t="str">
            <v>14.639999999999999</v>
          </cell>
          <cell r="O2532">
            <v>6</v>
          </cell>
          <cell r="P2532">
            <v>6.8</v>
          </cell>
          <cell r="S2532">
            <v>0</v>
          </cell>
          <cell r="T2532">
            <v>7.5</v>
          </cell>
          <cell r="U2532">
            <v>3</v>
          </cell>
        </row>
        <row r="2533">
          <cell r="B2533" t="str">
            <v>Female</v>
          </cell>
          <cell r="F2533">
            <v>25</v>
          </cell>
          <cell r="G2533">
            <v>47.7</v>
          </cell>
          <cell r="H2533">
            <v>15.1</v>
          </cell>
          <cell r="I2533">
            <v>32.200000000000003</v>
          </cell>
          <cell r="K2533">
            <v>27</v>
          </cell>
          <cell r="L2533">
            <v>128.25</v>
          </cell>
          <cell r="M2533">
            <v>35</v>
          </cell>
          <cell r="N2533">
            <v>3</v>
          </cell>
          <cell r="O2533">
            <v>5.9</v>
          </cell>
          <cell r="P2533">
            <v>57.8</v>
          </cell>
          <cell r="S2533">
            <v>69.900000000000006</v>
          </cell>
          <cell r="T2533">
            <v>41.2</v>
          </cell>
          <cell r="U2533">
            <v>5</v>
          </cell>
        </row>
        <row r="2534">
          <cell r="B2534" t="str">
            <v>Female</v>
          </cell>
          <cell r="F2534">
            <v>13</v>
          </cell>
          <cell r="G2534">
            <v>33.9</v>
          </cell>
          <cell r="H2534">
            <v>10.199999999999999</v>
          </cell>
          <cell r="I2534">
            <v>54</v>
          </cell>
          <cell r="K2534">
            <v>20</v>
          </cell>
          <cell r="L2534">
            <v>82.38</v>
          </cell>
          <cell r="M2534">
            <v>50</v>
          </cell>
          <cell r="N2534">
            <v>27.5</v>
          </cell>
          <cell r="O2534">
            <v>5.6</v>
          </cell>
          <cell r="P2534">
            <v>33.6</v>
          </cell>
          <cell r="S2534">
            <v>31.1</v>
          </cell>
          <cell r="T2534">
            <v>35.6</v>
          </cell>
          <cell r="U2534">
            <v>3</v>
          </cell>
        </row>
        <row r="2535">
          <cell r="B2535" t="str">
            <v>Female</v>
          </cell>
          <cell r="F2535">
            <v>21</v>
          </cell>
          <cell r="G2535">
            <v>43.3</v>
          </cell>
          <cell r="H2535">
            <v>13.4</v>
          </cell>
          <cell r="I2535">
            <v>35.6</v>
          </cell>
          <cell r="J2535">
            <v>9</v>
          </cell>
          <cell r="K2535">
            <v>21</v>
          </cell>
          <cell r="L2535">
            <v>165.74</v>
          </cell>
          <cell r="M2535">
            <v>14</v>
          </cell>
          <cell r="N2535">
            <v>74.8</v>
          </cell>
          <cell r="O2535">
            <v>4.5999999999999996</v>
          </cell>
          <cell r="P2535">
            <v>25.8</v>
          </cell>
          <cell r="S2535">
            <v>79</v>
          </cell>
          <cell r="T2535">
            <v>28.9</v>
          </cell>
          <cell r="U2535">
            <v>2</v>
          </cell>
        </row>
        <row r="2536">
          <cell r="B2536" t="str">
            <v>Female</v>
          </cell>
          <cell r="F2536">
            <v>11</v>
          </cell>
          <cell r="G2536">
            <v>35.5</v>
          </cell>
          <cell r="H2536">
            <v>7.3</v>
          </cell>
          <cell r="I2536">
            <v>56</v>
          </cell>
          <cell r="J2536">
            <v>1</v>
          </cell>
          <cell r="K2536">
            <v>12</v>
          </cell>
          <cell r="L2536">
            <v>111.02</v>
          </cell>
          <cell r="M2536">
            <v>52</v>
          </cell>
          <cell r="N2536">
            <v>29.3</v>
          </cell>
          <cell r="P2536">
            <v>9.9</v>
          </cell>
          <cell r="S2536">
            <v>46.1</v>
          </cell>
          <cell r="T2536">
            <v>16.399999999999999</v>
          </cell>
          <cell r="U2536">
            <v>2</v>
          </cell>
        </row>
        <row r="2537">
          <cell r="B2537" t="str">
            <v>Male</v>
          </cell>
          <cell r="F2537">
            <v>12</v>
          </cell>
          <cell r="G2537">
            <v>29.3</v>
          </cell>
          <cell r="H2537">
            <v>11.3</v>
          </cell>
          <cell r="I2537">
            <v>68.900000000000006</v>
          </cell>
          <cell r="K2537">
            <v>14</v>
          </cell>
          <cell r="L2537">
            <v>170.25</v>
          </cell>
          <cell r="M2537">
            <v>16</v>
          </cell>
          <cell r="N2537">
            <v>16.3</v>
          </cell>
          <cell r="O2537">
            <v>11.6</v>
          </cell>
          <cell r="P2537">
            <v>10.5</v>
          </cell>
          <cell r="T2537">
            <v>16.8</v>
          </cell>
          <cell r="U2537">
            <v>3</v>
          </cell>
        </row>
        <row r="2538">
          <cell r="B2538" t="str">
            <v>Male</v>
          </cell>
          <cell r="F2538">
            <v>11</v>
          </cell>
          <cell r="G2538">
            <v>26.6</v>
          </cell>
          <cell r="H2538">
            <v>12.3</v>
          </cell>
          <cell r="I2538">
            <v>40.700000000000003</v>
          </cell>
          <cell r="K2538">
            <v>13</v>
          </cell>
          <cell r="L2538">
            <v>124.17</v>
          </cell>
          <cell r="M2538">
            <v>57</v>
          </cell>
          <cell r="N2538">
            <v>52.1</v>
          </cell>
          <cell r="O2538">
            <v>8.9</v>
          </cell>
          <cell r="P2538">
            <v>24.9</v>
          </cell>
          <cell r="T2538">
            <v>28.8</v>
          </cell>
          <cell r="U2538">
            <v>2</v>
          </cell>
        </row>
        <row r="2539">
          <cell r="B2539" t="str">
            <v>Male</v>
          </cell>
          <cell r="F2539">
            <v>15</v>
          </cell>
          <cell r="G2539">
            <v>29.9</v>
          </cell>
          <cell r="H2539">
            <v>1.4</v>
          </cell>
          <cell r="I2539">
            <v>59.7</v>
          </cell>
          <cell r="J2539">
            <v>3</v>
          </cell>
          <cell r="K2539" t="str">
            <v>11.700000000000001</v>
          </cell>
          <cell r="L2539">
            <v>77.459999999999994</v>
          </cell>
          <cell r="M2539">
            <v>10</v>
          </cell>
          <cell r="N2539">
            <v>16.8</v>
          </cell>
          <cell r="O2539">
            <v>8.6</v>
          </cell>
          <cell r="P2539">
            <v>14.4</v>
          </cell>
          <cell r="S2539">
            <v>13.2</v>
          </cell>
          <cell r="U2539">
            <v>3</v>
          </cell>
        </row>
        <row r="2540">
          <cell r="B2540" t="str">
            <v>Male</v>
          </cell>
          <cell r="F2540">
            <v>18</v>
          </cell>
          <cell r="G2540">
            <v>39.200000000000003</v>
          </cell>
          <cell r="H2540">
            <v>12.5</v>
          </cell>
          <cell r="I2540">
            <v>51.6</v>
          </cell>
          <cell r="J2540">
            <v>4</v>
          </cell>
          <cell r="K2540">
            <v>19</v>
          </cell>
          <cell r="L2540">
            <v>182.49</v>
          </cell>
          <cell r="M2540">
            <v>42</v>
          </cell>
          <cell r="N2540">
            <v>42</v>
          </cell>
          <cell r="O2540">
            <v>5.7</v>
          </cell>
          <cell r="P2540">
            <v>27.3</v>
          </cell>
          <cell r="S2540">
            <v>37.9</v>
          </cell>
          <cell r="T2540">
            <v>30.1</v>
          </cell>
          <cell r="U2540">
            <v>2</v>
          </cell>
        </row>
        <row r="2541">
          <cell r="B2541" t="str">
            <v>Female</v>
          </cell>
          <cell r="F2541">
            <v>16</v>
          </cell>
          <cell r="G2541">
            <v>34</v>
          </cell>
          <cell r="H2541">
            <v>7.7</v>
          </cell>
          <cell r="I2541">
            <v>69.3</v>
          </cell>
          <cell r="K2541">
            <v>15</v>
          </cell>
          <cell r="L2541">
            <v>44.7</v>
          </cell>
          <cell r="M2541">
            <v>4</v>
          </cell>
          <cell r="N2541">
            <v>32.1</v>
          </cell>
          <cell r="O2541">
            <v>6.3</v>
          </cell>
          <cell r="P2541">
            <v>20.7</v>
          </cell>
          <cell r="S2541">
            <v>39.700000000000003</v>
          </cell>
          <cell r="T2541">
            <v>16.899999999999999</v>
          </cell>
          <cell r="U2541">
            <v>3</v>
          </cell>
        </row>
        <row r="2542">
          <cell r="B2542" t="str">
            <v>Male</v>
          </cell>
          <cell r="F2542">
            <v>14</v>
          </cell>
          <cell r="G2542">
            <v>14.6</v>
          </cell>
          <cell r="H2542">
            <v>6</v>
          </cell>
          <cell r="I2542">
            <v>64.599999999999994</v>
          </cell>
          <cell r="J2542">
            <v>2</v>
          </cell>
          <cell r="K2542">
            <v>13</v>
          </cell>
          <cell r="L2542">
            <v>116.89</v>
          </cell>
          <cell r="M2542">
            <v>1</v>
          </cell>
          <cell r="N2542">
            <v>15.7</v>
          </cell>
          <cell r="P2542">
            <v>16.2</v>
          </cell>
          <cell r="S2542">
            <v>19.5</v>
          </cell>
          <cell r="T2542">
            <v>24.5</v>
          </cell>
          <cell r="U2542">
            <v>3</v>
          </cell>
        </row>
        <row r="2543">
          <cell r="B2543" t="str">
            <v>Female</v>
          </cell>
          <cell r="F2543">
            <v>31</v>
          </cell>
          <cell r="G2543">
            <v>47.9</v>
          </cell>
          <cell r="H2543">
            <v>15.6</v>
          </cell>
          <cell r="I2543">
            <v>45</v>
          </cell>
          <cell r="J2543">
            <v>3</v>
          </cell>
          <cell r="K2543">
            <v>16</v>
          </cell>
          <cell r="L2543">
            <v>190.94</v>
          </cell>
          <cell r="M2543">
            <v>36</v>
          </cell>
          <cell r="N2543">
            <v>36.9</v>
          </cell>
          <cell r="O2543">
            <v>7.8</v>
          </cell>
          <cell r="P2543">
            <v>31.6</v>
          </cell>
          <cell r="S2543">
            <v>54.6</v>
          </cell>
          <cell r="T2543">
            <v>31.8</v>
          </cell>
          <cell r="U2543">
            <v>2</v>
          </cell>
        </row>
        <row r="2544">
          <cell r="B2544" t="str">
            <v>Female</v>
          </cell>
          <cell r="F2544">
            <v>11</v>
          </cell>
          <cell r="G2544">
            <v>20.5</v>
          </cell>
          <cell r="H2544">
            <v>5</v>
          </cell>
          <cell r="I2544">
            <v>67.900000000000006</v>
          </cell>
          <cell r="J2544">
            <v>3</v>
          </cell>
          <cell r="K2544">
            <v>59</v>
          </cell>
          <cell r="L2544">
            <v>114.64</v>
          </cell>
          <cell r="M2544">
            <v>45</v>
          </cell>
          <cell r="N2544">
            <v>37.6</v>
          </cell>
          <cell r="O2544" t="str">
            <v>80.68696096486184</v>
          </cell>
          <cell r="P2544">
            <v>9.6</v>
          </cell>
          <cell r="S2544">
            <v>24.3</v>
          </cell>
          <cell r="T2544">
            <v>22.6</v>
          </cell>
          <cell r="U2544">
            <v>4</v>
          </cell>
        </row>
        <row r="2545">
          <cell r="B2545" t="str">
            <v>Male</v>
          </cell>
          <cell r="F2545">
            <v>31</v>
          </cell>
          <cell r="G2545">
            <v>32.6</v>
          </cell>
          <cell r="H2545">
            <v>11.3</v>
          </cell>
          <cell r="I2545">
            <v>40.6</v>
          </cell>
          <cell r="J2545">
            <v>5</v>
          </cell>
          <cell r="K2545">
            <v>28.6</v>
          </cell>
          <cell r="L2545">
            <v>61.14</v>
          </cell>
          <cell r="M2545">
            <v>21</v>
          </cell>
          <cell r="N2545">
            <v>100.32</v>
          </cell>
          <cell r="O2545">
            <v>5.5</v>
          </cell>
          <cell r="P2545">
            <v>38</v>
          </cell>
          <cell r="S2545">
            <v>37</v>
          </cell>
          <cell r="T2545">
            <v>21</v>
          </cell>
          <cell r="U2545">
            <v>3</v>
          </cell>
        </row>
        <row r="2546">
          <cell r="B2546" t="str">
            <v>Male</v>
          </cell>
          <cell r="F2546">
            <v>3</v>
          </cell>
          <cell r="G2546">
            <v>28</v>
          </cell>
          <cell r="H2546">
            <v>8.5</v>
          </cell>
          <cell r="I2546">
            <v>54.5</v>
          </cell>
          <cell r="J2546">
            <v>6</v>
          </cell>
          <cell r="K2546">
            <v>10</v>
          </cell>
          <cell r="L2546">
            <v>102.45</v>
          </cell>
          <cell r="M2546">
            <v>10</v>
          </cell>
          <cell r="N2546">
            <v>5.7</v>
          </cell>
          <cell r="P2546">
            <v>15.4</v>
          </cell>
          <cell r="S2546">
            <v>34.799999999999997</v>
          </cell>
          <cell r="T2546">
            <v>20</v>
          </cell>
          <cell r="U2546">
            <v>1</v>
          </cell>
        </row>
        <row r="2547">
          <cell r="B2547" t="str">
            <v>Male</v>
          </cell>
          <cell r="F2547">
            <v>6</v>
          </cell>
          <cell r="G2547">
            <v>4.8</v>
          </cell>
          <cell r="H2547">
            <v>2.8</v>
          </cell>
          <cell r="I2547">
            <v>81.099999999999994</v>
          </cell>
          <cell r="J2547">
            <v>3</v>
          </cell>
          <cell r="K2547">
            <v>5</v>
          </cell>
          <cell r="L2547">
            <v>74.56</v>
          </cell>
          <cell r="M2547">
            <v>19</v>
          </cell>
          <cell r="N2547">
            <v>76.8</v>
          </cell>
          <cell r="O2547">
            <v>12.2</v>
          </cell>
          <cell r="P2547">
            <v>0</v>
          </cell>
          <cell r="S2547">
            <v>0</v>
          </cell>
          <cell r="T2547">
            <v>5.0999999999999996</v>
          </cell>
          <cell r="U2547">
            <v>2</v>
          </cell>
        </row>
        <row r="2548">
          <cell r="B2548" t="str">
            <v>Female</v>
          </cell>
          <cell r="F2548">
            <v>16</v>
          </cell>
          <cell r="G2548">
            <v>24.4</v>
          </cell>
          <cell r="H2548">
            <v>9.5</v>
          </cell>
          <cell r="I2548">
            <v>58.9</v>
          </cell>
          <cell r="J2548">
            <v>7</v>
          </cell>
          <cell r="K2548">
            <v>18</v>
          </cell>
          <cell r="L2548">
            <v>169.81</v>
          </cell>
          <cell r="M2548">
            <v>20</v>
          </cell>
          <cell r="N2548">
            <v>29.1</v>
          </cell>
          <cell r="O2548">
            <v>3.1</v>
          </cell>
          <cell r="P2548">
            <v>22.7</v>
          </cell>
          <cell r="S2548">
            <v>49.1</v>
          </cell>
          <cell r="T2548">
            <v>34.1</v>
          </cell>
          <cell r="U2548">
            <v>1</v>
          </cell>
        </row>
        <row r="2549">
          <cell r="B2549" t="str">
            <v>Male</v>
          </cell>
          <cell r="F2549">
            <v>13</v>
          </cell>
          <cell r="G2549">
            <v>36.4</v>
          </cell>
          <cell r="H2549">
            <v>9.6</v>
          </cell>
          <cell r="I2549">
            <v>34</v>
          </cell>
          <cell r="J2549">
            <v>6</v>
          </cell>
          <cell r="K2549">
            <v>16</v>
          </cell>
          <cell r="L2549">
            <v>121.35</v>
          </cell>
          <cell r="M2549">
            <v>12</v>
          </cell>
          <cell r="N2549">
            <v>47.2</v>
          </cell>
          <cell r="P2549">
            <v>33.200000000000003</v>
          </cell>
          <cell r="S2549">
            <v>52.5</v>
          </cell>
        </row>
        <row r="2550">
          <cell r="B2550" t="str">
            <v>Male</v>
          </cell>
          <cell r="F2550">
            <v>6</v>
          </cell>
          <cell r="G2550">
            <v>24.5</v>
          </cell>
          <cell r="H2550">
            <v>8.1999999999999993</v>
          </cell>
          <cell r="I2550">
            <v>66.7</v>
          </cell>
          <cell r="J2550">
            <v>3</v>
          </cell>
          <cell r="K2550">
            <v>10</v>
          </cell>
          <cell r="L2550">
            <v>119.85</v>
          </cell>
          <cell r="M2550">
            <v>2</v>
          </cell>
          <cell r="N2550">
            <v>31.5</v>
          </cell>
          <cell r="O2550">
            <v>0.6</v>
          </cell>
          <cell r="P2550">
            <v>14</v>
          </cell>
          <cell r="S2550">
            <v>12.1</v>
          </cell>
          <cell r="T2550">
            <v>15.7</v>
          </cell>
          <cell r="U2550">
            <v>2</v>
          </cell>
        </row>
        <row r="2551">
          <cell r="B2551" t="str">
            <v>Female</v>
          </cell>
          <cell r="F2551">
            <v>0</v>
          </cell>
          <cell r="H2551">
            <v>1</v>
          </cell>
          <cell r="I2551">
            <v>74.3</v>
          </cell>
          <cell r="J2551">
            <v>1</v>
          </cell>
          <cell r="K2551">
            <v>2</v>
          </cell>
          <cell r="L2551">
            <v>142.82</v>
          </cell>
          <cell r="M2551">
            <v>3</v>
          </cell>
          <cell r="O2551">
            <v>8.5</v>
          </cell>
          <cell r="P2551">
            <v>0</v>
          </cell>
          <cell r="T2551">
            <v>13.6</v>
          </cell>
          <cell r="U2551">
            <v>1</v>
          </cell>
        </row>
        <row r="2552">
          <cell r="B2552" t="str">
            <v>Female</v>
          </cell>
          <cell r="F2552">
            <v>8</v>
          </cell>
          <cell r="G2552">
            <v>33.799999999999997</v>
          </cell>
          <cell r="H2552">
            <v>8.5</v>
          </cell>
          <cell r="I2552">
            <v>60.8</v>
          </cell>
          <cell r="J2552">
            <v>2</v>
          </cell>
          <cell r="K2552">
            <v>15</v>
          </cell>
          <cell r="L2552">
            <v>151.52000000000001</v>
          </cell>
          <cell r="M2552">
            <v>11</v>
          </cell>
          <cell r="N2552">
            <v>49.8</v>
          </cell>
          <cell r="O2552">
            <v>5.6</v>
          </cell>
          <cell r="P2552">
            <v>18.3</v>
          </cell>
          <cell r="S2552">
            <v>35</v>
          </cell>
          <cell r="T2552">
            <v>15.9</v>
          </cell>
          <cell r="U2552">
            <v>3</v>
          </cell>
        </row>
        <row r="2553">
          <cell r="B2553" t="str">
            <v>Male</v>
          </cell>
          <cell r="F2553">
            <v>19</v>
          </cell>
          <cell r="G2553">
            <v>42.6</v>
          </cell>
          <cell r="H2553">
            <v>12</v>
          </cell>
          <cell r="I2553">
            <v>54.5</v>
          </cell>
          <cell r="J2553">
            <v>5</v>
          </cell>
          <cell r="K2553">
            <v>18</v>
          </cell>
          <cell r="L2553">
            <v>55.03</v>
          </cell>
          <cell r="M2553">
            <v>6</v>
          </cell>
          <cell r="N2553">
            <v>29.2</v>
          </cell>
          <cell r="O2553">
            <v>19.2</v>
          </cell>
          <cell r="P2553">
            <v>28.9</v>
          </cell>
          <cell r="S2553">
            <v>64.7</v>
          </cell>
          <cell r="T2553">
            <v>31.6</v>
          </cell>
          <cell r="U2553">
            <v>4</v>
          </cell>
        </row>
        <row r="2554">
          <cell r="B2554" t="str">
            <v>Male</v>
          </cell>
          <cell r="F2554">
            <v>2</v>
          </cell>
          <cell r="G2554">
            <v>23.4</v>
          </cell>
          <cell r="H2554">
            <v>7.3</v>
          </cell>
          <cell r="I2554">
            <v>58.8</v>
          </cell>
          <cell r="J2554">
            <v>5</v>
          </cell>
          <cell r="K2554">
            <v>8</v>
          </cell>
          <cell r="L2554">
            <v>131.18</v>
          </cell>
          <cell r="M2554">
            <v>15</v>
          </cell>
          <cell r="N2554">
            <v>25.5</v>
          </cell>
          <cell r="O2554">
            <v>3.3</v>
          </cell>
          <cell r="P2554">
            <v>11.7</v>
          </cell>
          <cell r="S2554">
            <v>21.4</v>
          </cell>
          <cell r="T2554">
            <v>8.6</v>
          </cell>
          <cell r="U2554">
            <v>3</v>
          </cell>
        </row>
        <row r="2555">
          <cell r="B2555" t="str">
            <v>Male</v>
          </cell>
          <cell r="F2555">
            <v>18</v>
          </cell>
          <cell r="G2555">
            <v>34.9</v>
          </cell>
          <cell r="H2555">
            <v>13.4</v>
          </cell>
          <cell r="I2555">
            <v>38.9</v>
          </cell>
          <cell r="J2555">
            <v>4</v>
          </cell>
          <cell r="K2555">
            <v>27.3</v>
          </cell>
          <cell r="L2555">
            <v>185.6</v>
          </cell>
          <cell r="M2555">
            <v>6</v>
          </cell>
          <cell r="N2555">
            <v>51.6</v>
          </cell>
          <cell r="O2555">
            <v>4.7</v>
          </cell>
          <cell r="P2555">
            <v>28.8</v>
          </cell>
          <cell r="S2555">
            <v>35</v>
          </cell>
          <cell r="T2555">
            <v>27.6</v>
          </cell>
        </row>
        <row r="2556">
          <cell r="B2556" t="str">
            <v>Male</v>
          </cell>
          <cell r="F2556">
            <v>12</v>
          </cell>
          <cell r="G2556">
            <v>13.9</v>
          </cell>
          <cell r="H2556">
            <v>8.6</v>
          </cell>
          <cell r="I2556">
            <v>71.3</v>
          </cell>
          <cell r="J2556">
            <v>3</v>
          </cell>
          <cell r="K2556">
            <v>8</v>
          </cell>
          <cell r="L2556">
            <v>110.61</v>
          </cell>
          <cell r="M2556">
            <v>57</v>
          </cell>
          <cell r="N2556">
            <v>34.9</v>
          </cell>
          <cell r="O2556">
            <v>7.1</v>
          </cell>
          <cell r="P2556">
            <v>0</v>
          </cell>
          <cell r="S2556">
            <v>0</v>
          </cell>
          <cell r="U2556">
            <v>2</v>
          </cell>
        </row>
        <row r="2557">
          <cell r="B2557" t="str">
            <v>Female</v>
          </cell>
          <cell r="F2557">
            <v>8</v>
          </cell>
          <cell r="G2557">
            <v>16.3</v>
          </cell>
          <cell r="H2557">
            <v>7.1</v>
          </cell>
          <cell r="I2557">
            <v>52.1</v>
          </cell>
          <cell r="J2557">
            <v>2</v>
          </cell>
          <cell r="K2557">
            <v>13</v>
          </cell>
          <cell r="L2557">
            <v>88.92</v>
          </cell>
          <cell r="M2557">
            <v>96</v>
          </cell>
          <cell r="N2557">
            <v>76.08</v>
          </cell>
          <cell r="O2557">
            <v>1.6</v>
          </cell>
          <cell r="S2557">
            <v>55.9</v>
          </cell>
          <cell r="T2557">
            <v>12.6</v>
          </cell>
          <cell r="U2557">
            <v>2</v>
          </cell>
        </row>
        <row r="2558">
          <cell r="B2558" t="str">
            <v>Female</v>
          </cell>
          <cell r="F2558">
            <v>0</v>
          </cell>
          <cell r="G2558">
            <v>14.1</v>
          </cell>
          <cell r="H2558">
            <v>5.0999999999999996</v>
          </cell>
          <cell r="I2558">
            <v>53.2</v>
          </cell>
          <cell r="J2558">
            <v>0</v>
          </cell>
          <cell r="K2558">
            <v>8</v>
          </cell>
          <cell r="L2558">
            <v>101.5</v>
          </cell>
          <cell r="M2558">
            <v>7</v>
          </cell>
          <cell r="N2558">
            <v>53.5</v>
          </cell>
          <cell r="O2558">
            <v>0.8</v>
          </cell>
          <cell r="P2558">
            <v>20.399999999999999</v>
          </cell>
          <cell r="S2558">
            <v>35.9</v>
          </cell>
          <cell r="T2558">
            <v>10.4</v>
          </cell>
          <cell r="U2558">
            <v>2</v>
          </cell>
        </row>
        <row r="2559">
          <cell r="B2559" t="str">
            <v>Female</v>
          </cell>
          <cell r="F2559">
            <v>3</v>
          </cell>
          <cell r="G2559">
            <v>15.2</v>
          </cell>
          <cell r="H2559">
            <v>10</v>
          </cell>
          <cell r="I2559">
            <v>76.900000000000006</v>
          </cell>
          <cell r="J2559">
            <v>1</v>
          </cell>
          <cell r="K2559">
            <v>14</v>
          </cell>
          <cell r="L2559">
            <v>120.18</v>
          </cell>
          <cell r="M2559">
            <v>10</v>
          </cell>
          <cell r="N2559">
            <v>12.6</v>
          </cell>
          <cell r="O2559">
            <v>7.6</v>
          </cell>
          <cell r="P2559">
            <v>5</v>
          </cell>
          <cell r="S2559">
            <v>11.1</v>
          </cell>
          <cell r="T2559">
            <v>13.7</v>
          </cell>
          <cell r="U2559">
            <v>2</v>
          </cell>
        </row>
        <row r="2560">
          <cell r="B2560" t="str">
            <v>Male</v>
          </cell>
          <cell r="F2560">
            <v>19</v>
          </cell>
          <cell r="G2560">
            <v>37.1</v>
          </cell>
          <cell r="H2560">
            <v>10.1</v>
          </cell>
          <cell r="I2560">
            <v>52.9</v>
          </cell>
          <cell r="J2560">
            <v>10</v>
          </cell>
          <cell r="K2560" t="str">
            <v>23.400000000000002</v>
          </cell>
          <cell r="L2560">
            <v>125.24</v>
          </cell>
          <cell r="M2560">
            <v>7</v>
          </cell>
          <cell r="O2560">
            <v>13.2</v>
          </cell>
          <cell r="P2560">
            <v>43.1</v>
          </cell>
          <cell r="S2560">
            <v>19.8</v>
          </cell>
          <cell r="T2560">
            <v>21.6</v>
          </cell>
          <cell r="U2560">
            <v>4</v>
          </cell>
        </row>
        <row r="2561">
          <cell r="B2561" t="str">
            <v>Female</v>
          </cell>
          <cell r="F2561">
            <v>19</v>
          </cell>
          <cell r="G2561">
            <v>30.8</v>
          </cell>
          <cell r="H2561">
            <v>5.5</v>
          </cell>
          <cell r="I2561">
            <v>88.4</v>
          </cell>
          <cell r="J2561">
            <v>2</v>
          </cell>
          <cell r="K2561">
            <v>7</v>
          </cell>
          <cell r="L2561">
            <v>143.99</v>
          </cell>
          <cell r="M2561">
            <v>46</v>
          </cell>
          <cell r="N2561">
            <v>48.1</v>
          </cell>
          <cell r="O2561">
            <v>15</v>
          </cell>
          <cell r="P2561">
            <v>3.4</v>
          </cell>
          <cell r="T2561">
            <v>19.600000000000001</v>
          </cell>
          <cell r="U2561">
            <v>4</v>
          </cell>
        </row>
        <row r="2562">
          <cell r="B2562" t="str">
            <v>Female</v>
          </cell>
          <cell r="F2562">
            <v>0</v>
          </cell>
          <cell r="G2562">
            <v>14.6</v>
          </cell>
          <cell r="H2562">
            <v>5.4</v>
          </cell>
          <cell r="I2562">
            <v>76.099999999999994</v>
          </cell>
          <cell r="J2562">
            <v>7</v>
          </cell>
          <cell r="K2562">
            <v>9.1</v>
          </cell>
          <cell r="L2562">
            <v>119.42</v>
          </cell>
          <cell r="M2562">
            <v>47</v>
          </cell>
          <cell r="N2562">
            <v>22.32</v>
          </cell>
          <cell r="O2562">
            <v>7.2</v>
          </cell>
          <cell r="S2562">
            <v>7.8</v>
          </cell>
          <cell r="T2562">
            <v>3.8</v>
          </cell>
          <cell r="U2562">
            <v>1</v>
          </cell>
        </row>
        <row r="2563">
          <cell r="B2563" t="str">
            <v>Female</v>
          </cell>
          <cell r="F2563">
            <v>23</v>
          </cell>
          <cell r="G2563">
            <v>48.1</v>
          </cell>
          <cell r="H2563">
            <v>17.100000000000001</v>
          </cell>
          <cell r="I2563">
            <v>30.2</v>
          </cell>
          <cell r="J2563">
            <v>10</v>
          </cell>
          <cell r="K2563">
            <v>22</v>
          </cell>
          <cell r="L2563">
            <v>157.28</v>
          </cell>
          <cell r="M2563">
            <v>20</v>
          </cell>
          <cell r="N2563">
            <v>41.4</v>
          </cell>
          <cell r="O2563">
            <v>7.4</v>
          </cell>
          <cell r="P2563">
            <v>39.6</v>
          </cell>
          <cell r="S2563">
            <v>80.5</v>
          </cell>
          <cell r="T2563">
            <v>42.6</v>
          </cell>
          <cell r="U2563">
            <v>1</v>
          </cell>
        </row>
        <row r="2564">
          <cell r="B2564" t="str">
            <v>Male</v>
          </cell>
          <cell r="F2564">
            <v>6</v>
          </cell>
          <cell r="G2564">
            <v>28.6</v>
          </cell>
          <cell r="H2564">
            <v>9.8000000000000007</v>
          </cell>
          <cell r="I2564">
            <v>66.2</v>
          </cell>
          <cell r="J2564">
            <v>9</v>
          </cell>
          <cell r="K2564" t="str">
            <v>16.900000000000002</v>
          </cell>
          <cell r="L2564">
            <v>93.79</v>
          </cell>
          <cell r="M2564">
            <v>12</v>
          </cell>
          <cell r="N2564">
            <v>42.84</v>
          </cell>
          <cell r="O2564">
            <v>7.3</v>
          </cell>
          <cell r="P2564">
            <v>35.200000000000003</v>
          </cell>
          <cell r="S2564">
            <v>23.4</v>
          </cell>
          <cell r="T2564">
            <v>22.2</v>
          </cell>
          <cell r="U2564">
            <v>4</v>
          </cell>
        </row>
        <row r="2565">
          <cell r="B2565" t="str">
            <v>Female</v>
          </cell>
          <cell r="F2565">
            <v>0</v>
          </cell>
          <cell r="G2565">
            <v>19.100000000000001</v>
          </cell>
          <cell r="H2565">
            <v>7.7</v>
          </cell>
          <cell r="I2565">
            <v>89.8</v>
          </cell>
          <cell r="J2565">
            <v>3</v>
          </cell>
          <cell r="K2565">
            <v>8</v>
          </cell>
          <cell r="L2565">
            <v>98.87</v>
          </cell>
          <cell r="M2565">
            <v>75</v>
          </cell>
          <cell r="N2565">
            <v>64.900000000000006</v>
          </cell>
          <cell r="O2565">
            <v>2.1</v>
          </cell>
          <cell r="P2565">
            <v>12</v>
          </cell>
          <cell r="T2565">
            <v>21</v>
          </cell>
          <cell r="U2565">
            <v>3</v>
          </cell>
        </row>
        <row r="2566">
          <cell r="B2566" t="str">
            <v>Female</v>
          </cell>
          <cell r="F2566">
            <v>9</v>
          </cell>
          <cell r="G2566">
            <v>22.5</v>
          </cell>
          <cell r="H2566">
            <v>6.2</v>
          </cell>
          <cell r="I2566">
            <v>73</v>
          </cell>
          <cell r="J2566">
            <v>1</v>
          </cell>
          <cell r="K2566">
            <v>6</v>
          </cell>
          <cell r="L2566">
            <v>106.25</v>
          </cell>
          <cell r="M2566">
            <v>66</v>
          </cell>
          <cell r="N2566">
            <v>67.7</v>
          </cell>
          <cell r="O2566">
            <v>14.5</v>
          </cell>
          <cell r="P2566">
            <v>7.3</v>
          </cell>
          <cell r="S2566">
            <v>30.2</v>
          </cell>
          <cell r="T2566">
            <v>8.5</v>
          </cell>
          <cell r="U2566">
            <v>3</v>
          </cell>
        </row>
        <row r="2567">
          <cell r="B2567" t="str">
            <v>Female</v>
          </cell>
          <cell r="F2567">
            <v>18</v>
          </cell>
          <cell r="G2567">
            <v>25</v>
          </cell>
          <cell r="H2567">
            <v>13</v>
          </cell>
          <cell r="I2567">
            <v>33.200000000000003</v>
          </cell>
          <cell r="J2567">
            <v>6</v>
          </cell>
          <cell r="K2567">
            <v>19.5</v>
          </cell>
          <cell r="L2567">
            <v>76.69</v>
          </cell>
          <cell r="M2567">
            <v>72</v>
          </cell>
          <cell r="N2567">
            <v>27.12</v>
          </cell>
          <cell r="P2567">
            <v>16.399999999999999</v>
          </cell>
          <cell r="S2567">
            <v>31.2</v>
          </cell>
          <cell r="T2567">
            <v>32.6</v>
          </cell>
          <cell r="U2567">
            <v>1</v>
          </cell>
        </row>
        <row r="2568">
          <cell r="B2568" t="str">
            <v>Female</v>
          </cell>
          <cell r="F2568">
            <v>13</v>
          </cell>
          <cell r="G2568">
            <v>39</v>
          </cell>
          <cell r="H2568">
            <v>8.1</v>
          </cell>
          <cell r="I2568">
            <v>50.4</v>
          </cell>
          <cell r="J2568">
            <v>3</v>
          </cell>
          <cell r="K2568">
            <v>13</v>
          </cell>
          <cell r="L2568">
            <v>88.85</v>
          </cell>
          <cell r="M2568">
            <v>12</v>
          </cell>
          <cell r="N2568">
            <v>4.4000000000000004</v>
          </cell>
          <cell r="O2568">
            <v>5.2</v>
          </cell>
          <cell r="P2568">
            <v>31.6</v>
          </cell>
          <cell r="S2568">
            <v>30.9</v>
          </cell>
          <cell r="T2568">
            <v>24.1</v>
          </cell>
          <cell r="U2568">
            <v>2</v>
          </cell>
        </row>
        <row r="2569">
          <cell r="B2569" t="str">
            <v>Female</v>
          </cell>
          <cell r="F2569">
            <v>4</v>
          </cell>
          <cell r="G2569">
            <v>24.8</v>
          </cell>
          <cell r="H2569">
            <v>8.6</v>
          </cell>
          <cell r="I2569">
            <v>61.5</v>
          </cell>
          <cell r="J2569">
            <v>3</v>
          </cell>
          <cell r="K2569">
            <v>7</v>
          </cell>
          <cell r="L2569">
            <v>98.67</v>
          </cell>
          <cell r="M2569">
            <v>68</v>
          </cell>
          <cell r="N2569">
            <v>54.4</v>
          </cell>
          <cell r="O2569">
            <v>7.1</v>
          </cell>
          <cell r="P2569">
            <v>33.1</v>
          </cell>
          <cell r="S2569">
            <v>19.2</v>
          </cell>
          <cell r="U2569">
            <v>2</v>
          </cell>
        </row>
        <row r="2570">
          <cell r="B2570" t="str">
            <v>Female</v>
          </cell>
          <cell r="F2570">
            <v>12</v>
          </cell>
          <cell r="G2570">
            <v>40.299999999999997</v>
          </cell>
          <cell r="H2570">
            <v>13.1</v>
          </cell>
          <cell r="I2570">
            <v>43.1</v>
          </cell>
          <cell r="J2570">
            <v>7</v>
          </cell>
          <cell r="K2570">
            <v>17</v>
          </cell>
          <cell r="L2570">
            <v>101.74</v>
          </cell>
          <cell r="M2570">
            <v>30</v>
          </cell>
          <cell r="N2570">
            <v>50</v>
          </cell>
          <cell r="O2570">
            <v>1.9</v>
          </cell>
          <cell r="P2570">
            <v>31.6</v>
          </cell>
          <cell r="S2570">
            <v>49.5</v>
          </cell>
          <cell r="T2570">
            <v>21.3</v>
          </cell>
          <cell r="U2570">
            <v>2</v>
          </cell>
        </row>
        <row r="2571">
          <cell r="B2571" t="str">
            <v>Female</v>
          </cell>
          <cell r="F2571">
            <v>13</v>
          </cell>
          <cell r="G2571">
            <v>36.5</v>
          </cell>
          <cell r="H2571">
            <v>8.9</v>
          </cell>
          <cell r="I2571">
            <v>39.6</v>
          </cell>
          <cell r="J2571">
            <v>4</v>
          </cell>
          <cell r="K2571">
            <v>14</v>
          </cell>
          <cell r="L2571">
            <v>108.21</v>
          </cell>
          <cell r="M2571">
            <v>56</v>
          </cell>
          <cell r="N2571">
            <v>40.1</v>
          </cell>
          <cell r="P2571">
            <v>26.4</v>
          </cell>
          <cell r="S2571">
            <v>31.7</v>
          </cell>
          <cell r="T2571">
            <v>22.9</v>
          </cell>
          <cell r="U2571">
            <v>3</v>
          </cell>
        </row>
        <row r="2572">
          <cell r="B2572" t="str">
            <v>Male</v>
          </cell>
          <cell r="F2572">
            <v>11</v>
          </cell>
          <cell r="G2572">
            <v>45.7</v>
          </cell>
          <cell r="H2572">
            <v>10.3</v>
          </cell>
          <cell r="I2572">
            <v>50.2</v>
          </cell>
          <cell r="J2572">
            <v>7</v>
          </cell>
          <cell r="K2572">
            <v>24</v>
          </cell>
          <cell r="L2572">
            <v>208.17</v>
          </cell>
          <cell r="M2572">
            <v>6</v>
          </cell>
          <cell r="O2572">
            <v>0.7</v>
          </cell>
          <cell r="P2572">
            <v>38.9</v>
          </cell>
          <cell r="S2572">
            <v>57</v>
          </cell>
          <cell r="T2572">
            <v>28.3</v>
          </cell>
          <cell r="U2572">
            <v>2</v>
          </cell>
        </row>
        <row r="2573">
          <cell r="B2573" t="str">
            <v>Male</v>
          </cell>
          <cell r="F2573">
            <v>6</v>
          </cell>
          <cell r="G2573">
            <v>17.399999999999999</v>
          </cell>
          <cell r="H2573">
            <v>3.2</v>
          </cell>
          <cell r="I2573">
            <v>46.1</v>
          </cell>
          <cell r="J2573">
            <v>1</v>
          </cell>
          <cell r="K2573">
            <v>5</v>
          </cell>
          <cell r="L2573">
            <v>62.8</v>
          </cell>
          <cell r="M2573">
            <v>6</v>
          </cell>
          <cell r="N2573">
            <v>52.6</v>
          </cell>
          <cell r="O2573">
            <v>3.7</v>
          </cell>
          <cell r="P2573">
            <v>8</v>
          </cell>
          <cell r="S2573">
            <v>20.7</v>
          </cell>
          <cell r="U2573">
            <v>3</v>
          </cell>
        </row>
        <row r="2574">
          <cell r="B2574" t="str">
            <v>Male</v>
          </cell>
          <cell r="F2574">
            <v>18</v>
          </cell>
          <cell r="G2574">
            <v>17.2</v>
          </cell>
          <cell r="H2574">
            <v>9.6999999999999993</v>
          </cell>
          <cell r="I2574">
            <v>50.8</v>
          </cell>
          <cell r="J2574">
            <v>4</v>
          </cell>
          <cell r="K2574">
            <v>13</v>
          </cell>
          <cell r="L2574">
            <v>66.67</v>
          </cell>
          <cell r="M2574">
            <v>40</v>
          </cell>
          <cell r="N2574">
            <v>71</v>
          </cell>
          <cell r="O2574">
            <v>7.2</v>
          </cell>
          <cell r="P2574">
            <v>38.200000000000003</v>
          </cell>
          <cell r="S2574">
            <v>37.799999999999997</v>
          </cell>
          <cell r="U2574">
            <v>2</v>
          </cell>
        </row>
        <row r="2575">
          <cell r="B2575" t="str">
            <v>Female</v>
          </cell>
          <cell r="F2575">
            <v>22</v>
          </cell>
          <cell r="G2575">
            <v>39.200000000000003</v>
          </cell>
          <cell r="H2575">
            <v>16</v>
          </cell>
          <cell r="I2575">
            <v>35.299999999999997</v>
          </cell>
          <cell r="J2575">
            <v>9</v>
          </cell>
          <cell r="K2575">
            <v>19</v>
          </cell>
          <cell r="L2575">
            <v>87.5</v>
          </cell>
          <cell r="M2575">
            <v>66</v>
          </cell>
          <cell r="N2575">
            <v>52.7</v>
          </cell>
          <cell r="O2575">
            <v>3.8</v>
          </cell>
          <cell r="P2575">
            <v>28.9</v>
          </cell>
          <cell r="S2575">
            <v>57.5</v>
          </cell>
          <cell r="T2575">
            <v>34.6</v>
          </cell>
          <cell r="U2575">
            <v>1</v>
          </cell>
        </row>
        <row r="2576">
          <cell r="B2576" t="str">
            <v>Male</v>
          </cell>
          <cell r="F2576">
            <v>10</v>
          </cell>
          <cell r="G2576">
            <v>28.2</v>
          </cell>
          <cell r="H2576">
            <v>8.6</v>
          </cell>
          <cell r="I2576">
            <v>56.5</v>
          </cell>
          <cell r="J2576">
            <v>5</v>
          </cell>
          <cell r="K2576">
            <v>11</v>
          </cell>
          <cell r="L2576">
            <v>99.33</v>
          </cell>
          <cell r="M2576">
            <v>25</v>
          </cell>
          <cell r="N2576">
            <v>31.7</v>
          </cell>
          <cell r="O2576">
            <v>2.9</v>
          </cell>
          <cell r="P2576">
            <v>17.100000000000001</v>
          </cell>
          <cell r="S2576">
            <v>20.9</v>
          </cell>
          <cell r="T2576">
            <v>17.2</v>
          </cell>
          <cell r="U2576">
            <v>3</v>
          </cell>
        </row>
        <row r="2577">
          <cell r="B2577" t="str">
            <v>Male</v>
          </cell>
          <cell r="F2577">
            <v>13</v>
          </cell>
          <cell r="G2577">
            <v>27.9</v>
          </cell>
          <cell r="H2577">
            <v>4.7</v>
          </cell>
          <cell r="I2577">
            <v>41.6</v>
          </cell>
          <cell r="J2577">
            <v>4</v>
          </cell>
          <cell r="K2577">
            <v>10</v>
          </cell>
          <cell r="L2577">
            <v>95.56</v>
          </cell>
          <cell r="M2577">
            <v>22</v>
          </cell>
          <cell r="O2577">
            <v>5.3</v>
          </cell>
          <cell r="P2577">
            <v>34.299999999999997</v>
          </cell>
          <cell r="S2577">
            <v>25.1</v>
          </cell>
          <cell r="T2577">
            <v>16.899999999999999</v>
          </cell>
          <cell r="U2577">
            <v>1</v>
          </cell>
        </row>
        <row r="2578">
          <cell r="B2578" t="str">
            <v>Male</v>
          </cell>
          <cell r="F2578">
            <v>2</v>
          </cell>
          <cell r="G2578">
            <v>17</v>
          </cell>
          <cell r="H2578">
            <v>11</v>
          </cell>
          <cell r="I2578">
            <v>68.8</v>
          </cell>
          <cell r="J2578">
            <v>2</v>
          </cell>
          <cell r="K2578" t="str">
            <v>15.600000000000001</v>
          </cell>
          <cell r="L2578">
            <v>44.72</v>
          </cell>
          <cell r="M2578">
            <v>10</v>
          </cell>
          <cell r="N2578">
            <v>75.239999999999995</v>
          </cell>
          <cell r="O2578">
            <v>1.3</v>
          </cell>
          <cell r="T2578">
            <v>13.1</v>
          </cell>
          <cell r="U2578">
            <v>3</v>
          </cell>
        </row>
        <row r="2579">
          <cell r="B2579" t="str">
            <v>Female</v>
          </cell>
          <cell r="F2579">
            <v>5</v>
          </cell>
          <cell r="G2579">
            <v>37.700000000000003</v>
          </cell>
          <cell r="H2579">
            <v>11.4</v>
          </cell>
          <cell r="I2579">
            <v>45.8</v>
          </cell>
          <cell r="J2579">
            <v>8</v>
          </cell>
          <cell r="K2579">
            <v>22</v>
          </cell>
          <cell r="L2579">
            <v>89.19</v>
          </cell>
          <cell r="M2579">
            <v>16</v>
          </cell>
          <cell r="N2579">
            <v>29.5</v>
          </cell>
          <cell r="O2579">
            <v>6.5</v>
          </cell>
          <cell r="S2579">
            <v>42.9</v>
          </cell>
          <cell r="T2579">
            <v>16.8</v>
          </cell>
          <cell r="U2579">
            <v>2</v>
          </cell>
        </row>
        <row r="2580">
          <cell r="B2580" t="str">
            <v>Male</v>
          </cell>
          <cell r="F2580">
            <v>8</v>
          </cell>
          <cell r="G2580">
            <v>24.5</v>
          </cell>
          <cell r="H2580">
            <v>5.3</v>
          </cell>
          <cell r="I2580">
            <v>48</v>
          </cell>
          <cell r="J2580">
            <v>4</v>
          </cell>
          <cell r="K2580">
            <v>8</v>
          </cell>
          <cell r="L2580">
            <v>128.11000000000001</v>
          </cell>
          <cell r="O2580">
            <v>18.3</v>
          </cell>
          <cell r="P2580">
            <v>17.100000000000001</v>
          </cell>
          <cell r="T2580">
            <v>25.9</v>
          </cell>
          <cell r="U2580">
            <v>1</v>
          </cell>
        </row>
        <row r="2581">
          <cell r="B2581" t="str">
            <v>Female</v>
          </cell>
          <cell r="F2581">
            <v>9</v>
          </cell>
          <cell r="H2581">
            <v>6.9</v>
          </cell>
          <cell r="I2581">
            <v>70</v>
          </cell>
          <cell r="J2581">
            <v>4</v>
          </cell>
          <cell r="K2581">
            <v>14.3</v>
          </cell>
          <cell r="L2581">
            <v>175.44</v>
          </cell>
          <cell r="M2581">
            <v>78</v>
          </cell>
          <cell r="N2581">
            <v>83.52</v>
          </cell>
          <cell r="O2581">
            <v>8.6999999999999993</v>
          </cell>
          <cell r="P2581">
            <v>9.9</v>
          </cell>
          <cell r="S2581">
            <v>27.4</v>
          </cell>
          <cell r="T2581">
            <v>10.4</v>
          </cell>
          <cell r="U2581">
            <v>3</v>
          </cell>
        </row>
        <row r="2582">
          <cell r="B2582" t="str">
            <v>Male</v>
          </cell>
          <cell r="F2582">
            <v>14</v>
          </cell>
          <cell r="G2582">
            <v>21.9</v>
          </cell>
          <cell r="H2582">
            <v>2.2000000000000002</v>
          </cell>
          <cell r="I2582">
            <v>64.8</v>
          </cell>
          <cell r="K2582">
            <v>4</v>
          </cell>
          <cell r="L2582">
            <v>61.46</v>
          </cell>
          <cell r="M2582">
            <v>24</v>
          </cell>
          <cell r="N2582">
            <v>23.7</v>
          </cell>
          <cell r="O2582">
            <v>6.5</v>
          </cell>
          <cell r="P2582">
            <v>0</v>
          </cell>
          <cell r="S2582">
            <v>23.6</v>
          </cell>
          <cell r="T2582">
            <v>7</v>
          </cell>
          <cell r="U2582">
            <v>2</v>
          </cell>
        </row>
        <row r="2583">
          <cell r="B2583" t="str">
            <v>Female</v>
          </cell>
          <cell r="F2583">
            <v>12</v>
          </cell>
          <cell r="G2583">
            <v>15.8</v>
          </cell>
          <cell r="H2583">
            <v>7.7</v>
          </cell>
          <cell r="I2583">
            <v>51.2</v>
          </cell>
          <cell r="J2583">
            <v>4</v>
          </cell>
          <cell r="K2583">
            <v>8</v>
          </cell>
          <cell r="L2583">
            <v>82.12</v>
          </cell>
          <cell r="M2583">
            <v>19</v>
          </cell>
          <cell r="N2583">
            <v>18.2</v>
          </cell>
          <cell r="O2583">
            <v>1.8</v>
          </cell>
          <cell r="P2583">
            <v>27.9</v>
          </cell>
          <cell r="S2583">
            <v>13.7</v>
          </cell>
          <cell r="U2583">
            <v>1</v>
          </cell>
        </row>
        <row r="2584">
          <cell r="B2584" t="str">
            <v>Male</v>
          </cell>
          <cell r="F2584">
            <v>7</v>
          </cell>
          <cell r="G2584">
            <v>22.7</v>
          </cell>
          <cell r="H2584">
            <v>6.7</v>
          </cell>
          <cell r="I2584">
            <v>60.6</v>
          </cell>
          <cell r="J2584">
            <v>8</v>
          </cell>
          <cell r="K2584">
            <v>12</v>
          </cell>
          <cell r="L2584">
            <v>64.38</v>
          </cell>
          <cell r="M2584">
            <v>1</v>
          </cell>
          <cell r="N2584">
            <v>3</v>
          </cell>
          <cell r="O2584">
            <v>6.8</v>
          </cell>
          <cell r="P2584">
            <v>10.6</v>
          </cell>
          <cell r="S2584">
            <v>26.5</v>
          </cell>
          <cell r="T2584">
            <v>23.6</v>
          </cell>
          <cell r="U2584">
            <v>3</v>
          </cell>
        </row>
        <row r="2585">
          <cell r="B2585" t="str">
            <v>Male</v>
          </cell>
          <cell r="F2585">
            <v>9</v>
          </cell>
          <cell r="G2585">
            <v>27</v>
          </cell>
          <cell r="I2585">
            <v>38.5</v>
          </cell>
          <cell r="J2585">
            <v>4</v>
          </cell>
          <cell r="K2585">
            <v>11</v>
          </cell>
          <cell r="L2585">
            <v>58.37</v>
          </cell>
          <cell r="M2585">
            <v>15</v>
          </cell>
          <cell r="N2585">
            <v>25.3</v>
          </cell>
          <cell r="O2585">
            <v>6.4</v>
          </cell>
          <cell r="P2585">
            <v>31.7</v>
          </cell>
          <cell r="S2585">
            <v>17.3</v>
          </cell>
          <cell r="T2585">
            <v>23.1</v>
          </cell>
          <cell r="U2585">
            <v>4</v>
          </cell>
        </row>
        <row r="2586">
          <cell r="B2586" t="str">
            <v>Male</v>
          </cell>
          <cell r="F2586">
            <v>0</v>
          </cell>
          <cell r="G2586">
            <v>10.8</v>
          </cell>
          <cell r="H2586">
            <v>4.4000000000000004</v>
          </cell>
          <cell r="I2586">
            <v>60.9</v>
          </cell>
          <cell r="J2586">
            <v>1</v>
          </cell>
          <cell r="K2586">
            <v>3</v>
          </cell>
          <cell r="L2586">
            <v>147.94999999999999</v>
          </cell>
          <cell r="N2586">
            <v>50.2</v>
          </cell>
          <cell r="O2586">
            <v>6.9</v>
          </cell>
          <cell r="P2586">
            <v>12.5</v>
          </cell>
          <cell r="S2586">
            <v>30.2</v>
          </cell>
          <cell r="T2586">
            <v>14.6</v>
          </cell>
          <cell r="U2586">
            <v>1</v>
          </cell>
        </row>
        <row r="2587">
          <cell r="B2587" t="str">
            <v>Female</v>
          </cell>
          <cell r="F2587">
            <v>4</v>
          </cell>
          <cell r="H2587">
            <v>2.2999999999999998</v>
          </cell>
          <cell r="I2587">
            <v>87.7</v>
          </cell>
          <cell r="J2587">
            <v>1</v>
          </cell>
          <cell r="K2587" t="str">
            <v>7.800000000000001</v>
          </cell>
          <cell r="L2587">
            <v>130.97</v>
          </cell>
          <cell r="M2587">
            <v>15</v>
          </cell>
          <cell r="N2587">
            <v>53.52</v>
          </cell>
          <cell r="P2587">
            <v>7</v>
          </cell>
          <cell r="S2587">
            <v>0</v>
          </cell>
          <cell r="T2587">
            <v>10</v>
          </cell>
          <cell r="U2587">
            <v>2</v>
          </cell>
        </row>
        <row r="2588">
          <cell r="B2588" t="str">
            <v>Female</v>
          </cell>
          <cell r="F2588">
            <v>28</v>
          </cell>
          <cell r="G2588">
            <v>40.5</v>
          </cell>
          <cell r="H2588">
            <v>15.5</v>
          </cell>
          <cell r="I2588">
            <v>34.6</v>
          </cell>
          <cell r="J2588">
            <v>10</v>
          </cell>
          <cell r="K2588">
            <v>19</v>
          </cell>
          <cell r="L2588">
            <v>126.51</v>
          </cell>
          <cell r="M2588">
            <v>4</v>
          </cell>
          <cell r="O2588">
            <v>2.8</v>
          </cell>
          <cell r="P2588">
            <v>39.799999999999997</v>
          </cell>
          <cell r="S2588">
            <v>61.3</v>
          </cell>
          <cell r="T2588">
            <v>33.799999999999997</v>
          </cell>
          <cell r="U2588">
            <v>2</v>
          </cell>
        </row>
        <row r="2589">
          <cell r="B2589" t="str">
            <v>Female</v>
          </cell>
          <cell r="F2589">
            <v>8</v>
          </cell>
          <cell r="G2589">
            <v>30.7</v>
          </cell>
          <cell r="H2589">
            <v>6.3</v>
          </cell>
          <cell r="I2589">
            <v>77.599999999999994</v>
          </cell>
          <cell r="J2589">
            <v>6</v>
          </cell>
          <cell r="K2589">
            <v>11</v>
          </cell>
          <cell r="L2589">
            <v>89.26</v>
          </cell>
          <cell r="M2589">
            <v>9</v>
          </cell>
          <cell r="N2589">
            <v>62</v>
          </cell>
          <cell r="O2589">
            <v>6.2</v>
          </cell>
          <cell r="P2589">
            <v>19.2</v>
          </cell>
          <cell r="S2589">
            <v>34.9</v>
          </cell>
          <cell r="T2589">
            <v>18.5</v>
          </cell>
          <cell r="U2589">
            <v>1</v>
          </cell>
        </row>
        <row r="2590">
          <cell r="B2590" t="str">
            <v>Male</v>
          </cell>
          <cell r="F2590">
            <v>23</v>
          </cell>
          <cell r="G2590">
            <v>30.1</v>
          </cell>
          <cell r="H2590">
            <v>9.1999999999999993</v>
          </cell>
          <cell r="I2590">
            <v>23.2</v>
          </cell>
          <cell r="J2590">
            <v>6</v>
          </cell>
          <cell r="K2590">
            <v>15</v>
          </cell>
          <cell r="L2590">
            <v>129.33000000000001</v>
          </cell>
          <cell r="M2590">
            <v>8</v>
          </cell>
          <cell r="N2590">
            <v>15</v>
          </cell>
          <cell r="O2590">
            <v>10.8</v>
          </cell>
          <cell r="P2590">
            <v>46.8</v>
          </cell>
          <cell r="T2590">
            <v>23.2</v>
          </cell>
          <cell r="U2590">
            <v>3</v>
          </cell>
        </row>
        <row r="2591">
          <cell r="B2591" t="str">
            <v>Other</v>
          </cell>
          <cell r="F2591">
            <v>19</v>
          </cell>
          <cell r="G2591">
            <v>26.2</v>
          </cell>
          <cell r="H2591">
            <v>8.9</v>
          </cell>
          <cell r="I2591">
            <v>59</v>
          </cell>
          <cell r="J2591">
            <v>8</v>
          </cell>
          <cell r="K2591">
            <v>15</v>
          </cell>
          <cell r="L2591">
            <v>216.67</v>
          </cell>
          <cell r="M2591">
            <v>13</v>
          </cell>
          <cell r="N2591">
            <v>20.8</v>
          </cell>
          <cell r="P2591">
            <v>0</v>
          </cell>
          <cell r="T2591">
            <v>13.5</v>
          </cell>
          <cell r="U2591">
            <v>3</v>
          </cell>
        </row>
        <row r="2592">
          <cell r="B2592" t="str">
            <v>Male</v>
          </cell>
          <cell r="F2592">
            <v>9</v>
          </cell>
          <cell r="H2592">
            <v>8.1999999999999993</v>
          </cell>
          <cell r="I2592">
            <v>63.1</v>
          </cell>
          <cell r="J2592">
            <v>3</v>
          </cell>
          <cell r="K2592">
            <v>13</v>
          </cell>
          <cell r="L2592">
            <v>135.72999999999999</v>
          </cell>
          <cell r="M2592">
            <v>79</v>
          </cell>
          <cell r="N2592">
            <v>78.599999999999994</v>
          </cell>
          <cell r="O2592">
            <v>15.9</v>
          </cell>
          <cell r="P2592">
            <v>12.9</v>
          </cell>
          <cell r="S2592">
            <v>28.7</v>
          </cell>
          <cell r="T2592">
            <v>34.700000000000003</v>
          </cell>
          <cell r="U2592">
            <v>1</v>
          </cell>
        </row>
        <row r="2593">
          <cell r="B2593" t="str">
            <v>Male</v>
          </cell>
          <cell r="F2593">
            <v>0</v>
          </cell>
          <cell r="G2593">
            <v>19.7</v>
          </cell>
          <cell r="H2593">
            <v>4.9000000000000004</v>
          </cell>
          <cell r="I2593">
            <v>70.900000000000006</v>
          </cell>
          <cell r="J2593">
            <v>2</v>
          </cell>
          <cell r="K2593">
            <v>10</v>
          </cell>
          <cell r="L2593">
            <v>97.29</v>
          </cell>
          <cell r="M2593">
            <v>3</v>
          </cell>
          <cell r="N2593">
            <v>12.4</v>
          </cell>
          <cell r="O2593">
            <v>20.3</v>
          </cell>
          <cell r="P2593">
            <v>0</v>
          </cell>
          <cell r="S2593">
            <v>23.8</v>
          </cell>
          <cell r="T2593">
            <v>15.2</v>
          </cell>
          <cell r="U2593">
            <v>5</v>
          </cell>
        </row>
        <row r="2594">
          <cell r="B2594" t="str">
            <v>Female</v>
          </cell>
          <cell r="F2594">
            <v>0</v>
          </cell>
          <cell r="H2594">
            <v>4.2</v>
          </cell>
          <cell r="I2594">
            <v>67.900000000000006</v>
          </cell>
          <cell r="J2594">
            <v>3</v>
          </cell>
          <cell r="K2594">
            <v>6</v>
          </cell>
          <cell r="L2594">
            <v>139.88999999999999</v>
          </cell>
          <cell r="M2594">
            <v>63</v>
          </cell>
          <cell r="N2594">
            <v>37.799999999999997</v>
          </cell>
          <cell r="O2594">
            <v>0.4</v>
          </cell>
          <cell r="P2594">
            <v>13.6</v>
          </cell>
          <cell r="S2594">
            <v>11.5</v>
          </cell>
          <cell r="T2594">
            <v>19</v>
          </cell>
          <cell r="U2594">
            <v>2</v>
          </cell>
        </row>
        <row r="2595">
          <cell r="B2595" t="str">
            <v>Male</v>
          </cell>
          <cell r="F2595">
            <v>22</v>
          </cell>
          <cell r="G2595">
            <v>44.9</v>
          </cell>
          <cell r="H2595">
            <v>16.100000000000001</v>
          </cell>
          <cell r="I2595">
            <v>17.7</v>
          </cell>
          <cell r="J2595">
            <v>7</v>
          </cell>
          <cell r="K2595">
            <v>22</v>
          </cell>
          <cell r="L2595">
            <v>75.42</v>
          </cell>
          <cell r="M2595">
            <v>5</v>
          </cell>
          <cell r="N2595">
            <v>18.7</v>
          </cell>
          <cell r="O2595">
            <v>1</v>
          </cell>
          <cell r="P2595">
            <v>31.2</v>
          </cell>
          <cell r="S2595">
            <v>42</v>
          </cell>
          <cell r="T2595">
            <v>26.9</v>
          </cell>
          <cell r="U2595">
            <v>2</v>
          </cell>
        </row>
        <row r="2596">
          <cell r="B2596" t="str">
            <v>Female</v>
          </cell>
          <cell r="F2596">
            <v>4</v>
          </cell>
          <cell r="G2596">
            <v>18.3</v>
          </cell>
          <cell r="H2596">
            <v>3.9</v>
          </cell>
          <cell r="I2596">
            <v>70.3</v>
          </cell>
          <cell r="J2596">
            <v>2</v>
          </cell>
          <cell r="K2596">
            <v>6.5</v>
          </cell>
          <cell r="L2596">
            <v>129.02000000000001</v>
          </cell>
          <cell r="M2596">
            <v>48</v>
          </cell>
          <cell r="N2596" t="str">
            <v>55.199999999999996</v>
          </cell>
          <cell r="O2596">
            <v>16.3</v>
          </cell>
          <cell r="P2596">
            <v>2</v>
          </cell>
          <cell r="S2596">
            <v>23.1</v>
          </cell>
          <cell r="U2596">
            <v>3</v>
          </cell>
        </row>
        <row r="2597">
          <cell r="B2597" t="str">
            <v>Male</v>
          </cell>
          <cell r="F2597">
            <v>6</v>
          </cell>
          <cell r="G2597">
            <v>17</v>
          </cell>
          <cell r="H2597">
            <v>8</v>
          </cell>
          <cell r="I2597">
            <v>68.400000000000006</v>
          </cell>
          <cell r="J2597">
            <v>1</v>
          </cell>
          <cell r="K2597">
            <v>12</v>
          </cell>
          <cell r="L2597">
            <v>122.46</v>
          </cell>
          <cell r="M2597">
            <v>44</v>
          </cell>
          <cell r="N2597">
            <v>42.4</v>
          </cell>
          <cell r="O2597">
            <v>0.6</v>
          </cell>
          <cell r="P2597">
            <v>26.2</v>
          </cell>
          <cell r="S2597">
            <v>17.100000000000001</v>
          </cell>
          <cell r="U2597">
            <v>2</v>
          </cell>
        </row>
        <row r="2598">
          <cell r="B2598" t="str">
            <v>Female</v>
          </cell>
          <cell r="F2598">
            <v>1</v>
          </cell>
          <cell r="G2598">
            <v>19.399999999999999</v>
          </cell>
          <cell r="H2598">
            <v>6.6</v>
          </cell>
          <cell r="I2598">
            <v>48.2</v>
          </cell>
          <cell r="J2598">
            <v>0</v>
          </cell>
          <cell r="K2598">
            <v>7</v>
          </cell>
          <cell r="L2598">
            <v>161.93</v>
          </cell>
          <cell r="M2598">
            <v>20</v>
          </cell>
          <cell r="N2598">
            <v>85.7</v>
          </cell>
          <cell r="O2598">
            <v>0.6</v>
          </cell>
          <cell r="P2598">
            <v>0</v>
          </cell>
          <cell r="S2598">
            <v>32.1</v>
          </cell>
          <cell r="T2598">
            <v>18.399999999999999</v>
          </cell>
          <cell r="U2598">
            <v>2</v>
          </cell>
        </row>
        <row r="2599">
          <cell r="B2599" t="str">
            <v>Female</v>
          </cell>
          <cell r="F2599">
            <v>14</v>
          </cell>
          <cell r="G2599">
            <v>27.3</v>
          </cell>
          <cell r="H2599">
            <v>9.1999999999999993</v>
          </cell>
          <cell r="I2599">
            <v>36.799999999999997</v>
          </cell>
          <cell r="J2599">
            <v>5</v>
          </cell>
          <cell r="K2599">
            <v>9</v>
          </cell>
          <cell r="L2599">
            <v>108</v>
          </cell>
          <cell r="M2599">
            <v>43</v>
          </cell>
          <cell r="N2599">
            <v>11.8</v>
          </cell>
          <cell r="O2599">
            <v>7.6</v>
          </cell>
          <cell r="P2599">
            <v>0</v>
          </cell>
          <cell r="S2599">
            <v>10.5</v>
          </cell>
          <cell r="T2599">
            <v>22.6</v>
          </cell>
          <cell r="U2599">
            <v>1</v>
          </cell>
        </row>
        <row r="2600">
          <cell r="B2600" t="str">
            <v>Male</v>
          </cell>
          <cell r="F2600">
            <v>0</v>
          </cell>
          <cell r="G2600">
            <v>20.9</v>
          </cell>
          <cell r="H2600">
            <v>9</v>
          </cell>
          <cell r="I2600">
            <v>72.099999999999994</v>
          </cell>
          <cell r="J2600">
            <v>3</v>
          </cell>
          <cell r="K2600">
            <v>8</v>
          </cell>
          <cell r="L2600">
            <v>241.75</v>
          </cell>
          <cell r="M2600">
            <v>1</v>
          </cell>
          <cell r="N2600">
            <v>14.6</v>
          </cell>
          <cell r="O2600">
            <v>0.7</v>
          </cell>
          <cell r="P2600">
            <v>10.199999999999999</v>
          </cell>
          <cell r="S2600">
            <v>0</v>
          </cell>
          <cell r="U2600">
            <v>3</v>
          </cell>
        </row>
        <row r="2601">
          <cell r="B2601" t="str">
            <v>Male</v>
          </cell>
          <cell r="F2601">
            <v>12</v>
          </cell>
          <cell r="G2601">
            <v>21</v>
          </cell>
          <cell r="H2601">
            <v>8.1</v>
          </cell>
          <cell r="I2601">
            <v>53.8</v>
          </cell>
          <cell r="J2601">
            <v>1</v>
          </cell>
          <cell r="K2601">
            <v>10.4</v>
          </cell>
          <cell r="L2601">
            <v>140.41999999999999</v>
          </cell>
          <cell r="M2601">
            <v>17</v>
          </cell>
          <cell r="N2601">
            <v>4.5599999999999996</v>
          </cell>
          <cell r="O2601">
            <v>1.5</v>
          </cell>
          <cell r="P2601">
            <v>1.1000000000000001</v>
          </cell>
          <cell r="S2601">
            <v>36.700000000000003</v>
          </cell>
          <cell r="T2601">
            <v>14.7</v>
          </cell>
          <cell r="U2601">
            <v>5</v>
          </cell>
        </row>
        <row r="2602">
          <cell r="B2602" t="str">
            <v>Female</v>
          </cell>
          <cell r="F2602">
            <v>5</v>
          </cell>
          <cell r="G2602">
            <v>27</v>
          </cell>
          <cell r="H2602">
            <v>7.5</v>
          </cell>
          <cell r="I2602">
            <v>78.7</v>
          </cell>
          <cell r="J2602">
            <v>1</v>
          </cell>
          <cell r="K2602">
            <v>6.5</v>
          </cell>
          <cell r="L2602">
            <v>54.39</v>
          </cell>
          <cell r="M2602">
            <v>39</v>
          </cell>
          <cell r="N2602">
            <v>52.68</v>
          </cell>
          <cell r="O2602">
            <v>7.3</v>
          </cell>
          <cell r="P2602">
            <v>18.100000000000001</v>
          </cell>
          <cell r="S2602">
            <v>16.3</v>
          </cell>
          <cell r="T2602">
            <v>16.100000000000001</v>
          </cell>
          <cell r="U2602">
            <v>2</v>
          </cell>
        </row>
        <row r="2603">
          <cell r="B2603" t="str">
            <v>Female</v>
          </cell>
          <cell r="F2603">
            <v>24</v>
          </cell>
          <cell r="G2603">
            <v>37.4</v>
          </cell>
          <cell r="H2603">
            <v>14.2</v>
          </cell>
          <cell r="I2603">
            <v>57.6</v>
          </cell>
          <cell r="J2603">
            <v>5</v>
          </cell>
          <cell r="K2603">
            <v>14</v>
          </cell>
          <cell r="L2603">
            <v>79.209999999999994</v>
          </cell>
          <cell r="M2603">
            <v>3</v>
          </cell>
          <cell r="N2603">
            <v>20</v>
          </cell>
          <cell r="O2603">
            <v>19.7</v>
          </cell>
          <cell r="P2603">
            <v>18.7</v>
          </cell>
          <cell r="S2603">
            <v>36</v>
          </cell>
          <cell r="T2603">
            <v>34.1</v>
          </cell>
          <cell r="U2603">
            <v>1</v>
          </cell>
        </row>
        <row r="2604">
          <cell r="B2604" t="str">
            <v>Male</v>
          </cell>
          <cell r="F2604">
            <v>22</v>
          </cell>
          <cell r="G2604">
            <v>29.3</v>
          </cell>
          <cell r="H2604">
            <v>12</v>
          </cell>
          <cell r="I2604">
            <v>23.1</v>
          </cell>
          <cell r="J2604">
            <v>6</v>
          </cell>
          <cell r="K2604">
            <v>20.8</v>
          </cell>
          <cell r="L2604">
            <v>65.06</v>
          </cell>
          <cell r="M2604">
            <v>13</v>
          </cell>
          <cell r="N2604">
            <v>19.32</v>
          </cell>
          <cell r="O2604">
            <v>1.2</v>
          </cell>
          <cell r="P2604">
            <v>25.8</v>
          </cell>
          <cell r="T2604">
            <v>24.1</v>
          </cell>
          <cell r="U2604">
            <v>3</v>
          </cell>
        </row>
        <row r="2605">
          <cell r="B2605" t="str">
            <v>Male</v>
          </cell>
          <cell r="F2605">
            <v>8</v>
          </cell>
          <cell r="G2605">
            <v>29.1</v>
          </cell>
          <cell r="H2605">
            <v>9.1999999999999993</v>
          </cell>
          <cell r="I2605">
            <v>39.4</v>
          </cell>
          <cell r="K2605">
            <v>20.8</v>
          </cell>
          <cell r="L2605">
            <v>58.58</v>
          </cell>
          <cell r="M2605">
            <v>78</v>
          </cell>
          <cell r="N2605">
            <v>57.24</v>
          </cell>
          <cell r="P2605">
            <v>41</v>
          </cell>
          <cell r="S2605">
            <v>18.3</v>
          </cell>
        </row>
        <row r="2606">
          <cell r="B2606" t="str">
            <v>Female</v>
          </cell>
          <cell r="F2606">
            <v>3</v>
          </cell>
          <cell r="G2606">
            <v>10.7</v>
          </cell>
          <cell r="H2606">
            <v>5.5</v>
          </cell>
          <cell r="I2606">
            <v>74.599999999999994</v>
          </cell>
          <cell r="J2606">
            <v>0</v>
          </cell>
          <cell r="K2606">
            <v>3</v>
          </cell>
          <cell r="L2606">
            <v>115.77</v>
          </cell>
          <cell r="M2606">
            <v>76</v>
          </cell>
          <cell r="N2606">
            <v>88.7</v>
          </cell>
          <cell r="O2606">
            <v>5</v>
          </cell>
          <cell r="P2606">
            <v>0</v>
          </cell>
          <cell r="S2606">
            <v>0</v>
          </cell>
          <cell r="T2606">
            <v>0</v>
          </cell>
          <cell r="U2606">
            <v>4</v>
          </cell>
        </row>
        <row r="2607">
          <cell r="B2607" t="str">
            <v>Female</v>
          </cell>
          <cell r="F2607">
            <v>19</v>
          </cell>
          <cell r="G2607">
            <v>25.6</v>
          </cell>
          <cell r="H2607">
            <v>10</v>
          </cell>
          <cell r="I2607">
            <v>53.5</v>
          </cell>
          <cell r="J2607">
            <v>3</v>
          </cell>
          <cell r="K2607" t="str">
            <v>15.600000000000001</v>
          </cell>
          <cell r="L2607">
            <v>142.18</v>
          </cell>
          <cell r="M2607">
            <v>17</v>
          </cell>
          <cell r="N2607" t="str">
            <v>61.199999999999996</v>
          </cell>
          <cell r="O2607">
            <v>1</v>
          </cell>
          <cell r="P2607">
            <v>12.9</v>
          </cell>
          <cell r="S2607">
            <v>35</v>
          </cell>
          <cell r="T2607">
            <v>16.3</v>
          </cell>
          <cell r="U2607">
            <v>1</v>
          </cell>
        </row>
        <row r="2608">
          <cell r="B2608" t="str">
            <v>Female</v>
          </cell>
          <cell r="F2608">
            <v>8</v>
          </cell>
          <cell r="G2608">
            <v>30.8</v>
          </cell>
          <cell r="H2608">
            <v>11</v>
          </cell>
          <cell r="I2608">
            <v>70.900000000000006</v>
          </cell>
          <cell r="J2608">
            <v>0</v>
          </cell>
          <cell r="K2608">
            <v>8</v>
          </cell>
          <cell r="L2608">
            <v>66.989999999999995</v>
          </cell>
          <cell r="M2608">
            <v>66</v>
          </cell>
          <cell r="N2608">
            <v>38.299999999999997</v>
          </cell>
          <cell r="O2608">
            <v>0.6</v>
          </cell>
          <cell r="S2608">
            <v>33</v>
          </cell>
          <cell r="T2608">
            <v>22.1</v>
          </cell>
          <cell r="U2608">
            <v>1</v>
          </cell>
        </row>
        <row r="2609">
          <cell r="B2609" t="str">
            <v>Male</v>
          </cell>
          <cell r="F2609">
            <v>0</v>
          </cell>
          <cell r="H2609">
            <v>1</v>
          </cell>
          <cell r="I2609">
            <v>81.7</v>
          </cell>
          <cell r="J2609">
            <v>1</v>
          </cell>
          <cell r="K2609">
            <v>6</v>
          </cell>
          <cell r="L2609">
            <v>67.55</v>
          </cell>
          <cell r="M2609">
            <v>38</v>
          </cell>
          <cell r="N2609">
            <v>28.5</v>
          </cell>
          <cell r="O2609">
            <v>8.3000000000000007</v>
          </cell>
          <cell r="P2609">
            <v>1.6</v>
          </cell>
          <cell r="S2609">
            <v>0</v>
          </cell>
          <cell r="T2609">
            <v>7.8</v>
          </cell>
          <cell r="U2609">
            <v>1</v>
          </cell>
        </row>
        <row r="2610">
          <cell r="B2610" t="str">
            <v>Female</v>
          </cell>
          <cell r="F2610">
            <v>14</v>
          </cell>
          <cell r="G2610">
            <v>25.2</v>
          </cell>
          <cell r="H2610">
            <v>8.9</v>
          </cell>
          <cell r="I2610">
            <v>64.3</v>
          </cell>
          <cell r="K2610">
            <v>13</v>
          </cell>
          <cell r="L2610">
            <v>137.16999999999999</v>
          </cell>
          <cell r="O2610">
            <v>3</v>
          </cell>
          <cell r="P2610">
            <v>22.6</v>
          </cell>
          <cell r="S2610">
            <v>9.9</v>
          </cell>
          <cell r="T2610">
            <v>23.1</v>
          </cell>
          <cell r="U2610">
            <v>2</v>
          </cell>
        </row>
        <row r="2611">
          <cell r="B2611" t="str">
            <v>Other</v>
          </cell>
          <cell r="F2611">
            <v>5</v>
          </cell>
          <cell r="G2611">
            <v>34.799999999999997</v>
          </cell>
          <cell r="H2611">
            <v>4.8</v>
          </cell>
          <cell r="I2611">
            <v>53.5</v>
          </cell>
          <cell r="J2611">
            <v>3</v>
          </cell>
          <cell r="K2611">
            <v>12</v>
          </cell>
          <cell r="L2611">
            <v>91.53</v>
          </cell>
          <cell r="M2611">
            <v>8</v>
          </cell>
          <cell r="N2611">
            <v>37.4</v>
          </cell>
          <cell r="O2611">
            <v>15</v>
          </cell>
          <cell r="P2611">
            <v>20.100000000000001</v>
          </cell>
          <cell r="S2611">
            <v>36.5</v>
          </cell>
          <cell r="T2611">
            <v>21.5</v>
          </cell>
          <cell r="U2611">
            <v>3</v>
          </cell>
        </row>
        <row r="2612">
          <cell r="B2612" t="str">
            <v>Male</v>
          </cell>
          <cell r="F2612">
            <v>5</v>
          </cell>
          <cell r="G2612">
            <v>17</v>
          </cell>
          <cell r="H2612">
            <v>5.0999999999999996</v>
          </cell>
          <cell r="I2612">
            <v>52.6</v>
          </cell>
          <cell r="J2612">
            <v>7</v>
          </cell>
          <cell r="K2612">
            <v>9.1</v>
          </cell>
          <cell r="L2612">
            <v>115.96</v>
          </cell>
          <cell r="M2612">
            <v>0</v>
          </cell>
          <cell r="N2612" t="str">
            <v>107.75999999999999</v>
          </cell>
          <cell r="P2612">
            <v>2.5</v>
          </cell>
          <cell r="S2612">
            <v>3</v>
          </cell>
          <cell r="T2612">
            <v>15.6</v>
          </cell>
          <cell r="U2612">
            <v>5</v>
          </cell>
        </row>
        <row r="2613">
          <cell r="B2613" t="str">
            <v>Female</v>
          </cell>
          <cell r="F2613">
            <v>12</v>
          </cell>
          <cell r="G2613">
            <v>25.6</v>
          </cell>
          <cell r="H2613">
            <v>7</v>
          </cell>
          <cell r="I2613">
            <v>56.1</v>
          </cell>
          <cell r="J2613">
            <v>4</v>
          </cell>
          <cell r="K2613" t="str">
            <v>16.900000000000002</v>
          </cell>
          <cell r="L2613">
            <v>96.4</v>
          </cell>
          <cell r="M2613">
            <v>17</v>
          </cell>
          <cell r="O2613">
            <v>11.4</v>
          </cell>
          <cell r="P2613">
            <v>10.9</v>
          </cell>
          <cell r="S2613">
            <v>0.2</v>
          </cell>
          <cell r="T2613">
            <v>25.2</v>
          </cell>
        </row>
        <row r="2614">
          <cell r="B2614" t="str">
            <v>Female</v>
          </cell>
          <cell r="F2614">
            <v>16</v>
          </cell>
          <cell r="G2614">
            <v>24.5</v>
          </cell>
          <cell r="H2614">
            <v>8.5</v>
          </cell>
          <cell r="I2614">
            <v>65.7</v>
          </cell>
          <cell r="J2614">
            <v>4</v>
          </cell>
          <cell r="K2614">
            <v>9</v>
          </cell>
          <cell r="L2614">
            <v>160.84</v>
          </cell>
          <cell r="M2614">
            <v>27</v>
          </cell>
          <cell r="N2614">
            <v>9.1999999999999993</v>
          </cell>
          <cell r="O2614">
            <v>0.9</v>
          </cell>
          <cell r="P2614">
            <v>3.1</v>
          </cell>
          <cell r="S2614">
            <v>11.9</v>
          </cell>
          <cell r="T2614">
            <v>19.3</v>
          </cell>
          <cell r="U2614">
            <v>4</v>
          </cell>
        </row>
        <row r="2615">
          <cell r="B2615" t="str">
            <v>Male</v>
          </cell>
          <cell r="F2615">
            <v>22</v>
          </cell>
          <cell r="G2615">
            <v>35.6</v>
          </cell>
          <cell r="H2615">
            <v>8.6</v>
          </cell>
          <cell r="I2615">
            <v>62.4</v>
          </cell>
          <cell r="K2615">
            <v>11</v>
          </cell>
          <cell r="L2615">
            <v>116.52</v>
          </cell>
          <cell r="M2615">
            <v>15</v>
          </cell>
          <cell r="N2615">
            <v>22.5</v>
          </cell>
          <cell r="O2615">
            <v>7.8</v>
          </cell>
          <cell r="P2615">
            <v>14.3</v>
          </cell>
          <cell r="S2615">
            <v>44.5</v>
          </cell>
          <cell r="T2615">
            <v>17.600000000000001</v>
          </cell>
          <cell r="U2615">
            <v>2</v>
          </cell>
        </row>
        <row r="2616">
          <cell r="B2616" t="str">
            <v>Female</v>
          </cell>
          <cell r="F2616">
            <v>2</v>
          </cell>
          <cell r="G2616">
            <v>19.7</v>
          </cell>
          <cell r="H2616">
            <v>7</v>
          </cell>
          <cell r="I2616">
            <v>71.599999999999994</v>
          </cell>
          <cell r="K2616">
            <v>6.5</v>
          </cell>
          <cell r="L2616">
            <v>82.76</v>
          </cell>
          <cell r="M2616">
            <v>20</v>
          </cell>
          <cell r="N2616" t="str">
            <v>12.360000000000001</v>
          </cell>
          <cell r="O2616">
            <v>1.3</v>
          </cell>
          <cell r="T2616">
            <v>14.3</v>
          </cell>
          <cell r="U2616">
            <v>4</v>
          </cell>
        </row>
        <row r="2617">
          <cell r="B2617" t="str">
            <v>Male</v>
          </cell>
          <cell r="F2617">
            <v>6</v>
          </cell>
          <cell r="G2617">
            <v>27.1</v>
          </cell>
          <cell r="H2617">
            <v>11.1</v>
          </cell>
          <cell r="I2617">
            <v>52.3</v>
          </cell>
          <cell r="J2617">
            <v>3</v>
          </cell>
          <cell r="K2617">
            <v>14.3</v>
          </cell>
          <cell r="L2617">
            <v>96.67</v>
          </cell>
          <cell r="M2617">
            <v>25</v>
          </cell>
          <cell r="O2617">
            <v>5.0999999999999996</v>
          </cell>
          <cell r="P2617">
            <v>26.8</v>
          </cell>
          <cell r="T2617">
            <v>21.4</v>
          </cell>
          <cell r="U2617">
            <v>4</v>
          </cell>
        </row>
        <row r="2618">
          <cell r="B2618" t="str">
            <v>Female</v>
          </cell>
          <cell r="F2618">
            <v>9</v>
          </cell>
          <cell r="G2618">
            <v>24.9</v>
          </cell>
          <cell r="H2618">
            <v>5.0999999999999996</v>
          </cell>
          <cell r="I2618">
            <v>68.7</v>
          </cell>
          <cell r="J2618">
            <v>2</v>
          </cell>
          <cell r="K2618">
            <v>12</v>
          </cell>
          <cell r="L2618">
            <v>74.13</v>
          </cell>
          <cell r="M2618">
            <v>38</v>
          </cell>
          <cell r="N2618">
            <v>28</v>
          </cell>
          <cell r="O2618">
            <v>16.8</v>
          </cell>
          <cell r="P2618">
            <v>40.4</v>
          </cell>
          <cell r="S2618">
            <v>40.700000000000003</v>
          </cell>
          <cell r="T2618">
            <v>19.3</v>
          </cell>
          <cell r="U2618">
            <v>1</v>
          </cell>
        </row>
        <row r="2619">
          <cell r="B2619" t="str">
            <v>Female</v>
          </cell>
          <cell r="F2619">
            <v>13</v>
          </cell>
          <cell r="G2619">
            <v>17.600000000000001</v>
          </cell>
          <cell r="H2619">
            <v>3.9</v>
          </cell>
          <cell r="I2619">
            <v>76.400000000000006</v>
          </cell>
          <cell r="J2619">
            <v>1</v>
          </cell>
          <cell r="K2619">
            <v>11</v>
          </cell>
          <cell r="L2619">
            <v>158.46</v>
          </cell>
          <cell r="M2619">
            <v>29</v>
          </cell>
          <cell r="N2619">
            <v>7.7</v>
          </cell>
          <cell r="O2619">
            <v>7.3</v>
          </cell>
          <cell r="P2619">
            <v>24</v>
          </cell>
          <cell r="S2619">
            <v>41.6</v>
          </cell>
          <cell r="T2619">
            <v>15</v>
          </cell>
          <cell r="U2619">
            <v>3</v>
          </cell>
        </row>
        <row r="2620">
          <cell r="B2620" t="str">
            <v>Female</v>
          </cell>
          <cell r="F2620">
            <v>13</v>
          </cell>
          <cell r="G2620">
            <v>23.1</v>
          </cell>
          <cell r="H2620">
            <v>4.9000000000000004</v>
          </cell>
          <cell r="I2620">
            <v>56.8</v>
          </cell>
          <cell r="J2620">
            <v>1</v>
          </cell>
          <cell r="K2620">
            <v>7</v>
          </cell>
          <cell r="L2620">
            <v>78.73</v>
          </cell>
          <cell r="M2620">
            <v>11</v>
          </cell>
          <cell r="N2620">
            <v>22.1</v>
          </cell>
          <cell r="O2620">
            <v>7.8</v>
          </cell>
          <cell r="P2620">
            <v>18.100000000000001</v>
          </cell>
          <cell r="S2620">
            <v>41.2</v>
          </cell>
          <cell r="T2620">
            <v>13.3</v>
          </cell>
          <cell r="U2620">
            <v>1</v>
          </cell>
        </row>
        <row r="2621">
          <cell r="B2621" t="str">
            <v>Female</v>
          </cell>
          <cell r="F2621">
            <v>4</v>
          </cell>
          <cell r="H2621">
            <v>4.5</v>
          </cell>
          <cell r="I2621">
            <v>76.3</v>
          </cell>
          <cell r="J2621">
            <v>2</v>
          </cell>
          <cell r="K2621">
            <v>9</v>
          </cell>
          <cell r="L2621">
            <v>111.38</v>
          </cell>
          <cell r="M2621">
            <v>14</v>
          </cell>
          <cell r="N2621">
            <v>28.4</v>
          </cell>
          <cell r="O2621">
            <v>2.2000000000000002</v>
          </cell>
          <cell r="S2621">
            <v>8.4</v>
          </cell>
          <cell r="T2621">
            <v>4.7</v>
          </cell>
          <cell r="U2621">
            <v>1</v>
          </cell>
        </row>
        <row r="2622">
          <cell r="B2622" t="str">
            <v>Female</v>
          </cell>
          <cell r="F2622">
            <v>27</v>
          </cell>
          <cell r="G2622">
            <v>37.200000000000003</v>
          </cell>
          <cell r="H2622">
            <v>13.9</v>
          </cell>
          <cell r="I2622">
            <v>33.9</v>
          </cell>
          <cell r="J2622">
            <v>2</v>
          </cell>
          <cell r="K2622">
            <v>15</v>
          </cell>
          <cell r="L2622">
            <v>67.06</v>
          </cell>
          <cell r="M2622">
            <v>93</v>
          </cell>
          <cell r="N2622">
            <v>28.8</v>
          </cell>
          <cell r="O2622">
            <v>5.0999999999999996</v>
          </cell>
          <cell r="P2622">
            <v>44.6</v>
          </cell>
          <cell r="S2622">
            <v>50.4</v>
          </cell>
          <cell r="T2622">
            <v>26.2</v>
          </cell>
          <cell r="U2622">
            <v>2</v>
          </cell>
        </row>
        <row r="2623">
          <cell r="B2623" t="str">
            <v>Male</v>
          </cell>
          <cell r="F2623">
            <v>9</v>
          </cell>
          <cell r="G2623">
            <v>43.7</v>
          </cell>
          <cell r="H2623">
            <v>13.7</v>
          </cell>
          <cell r="I2623">
            <v>45.7</v>
          </cell>
          <cell r="J2623">
            <v>7</v>
          </cell>
          <cell r="K2623">
            <v>16</v>
          </cell>
          <cell r="L2623">
            <v>77.37</v>
          </cell>
          <cell r="M2623">
            <v>10</v>
          </cell>
          <cell r="N2623">
            <v>23.9</v>
          </cell>
          <cell r="O2623">
            <v>9</v>
          </cell>
          <cell r="P2623">
            <v>48.9</v>
          </cell>
          <cell r="S2623">
            <v>51.6</v>
          </cell>
          <cell r="T2623">
            <v>22.5</v>
          </cell>
          <cell r="U2623">
            <v>3</v>
          </cell>
        </row>
        <row r="2624">
          <cell r="B2624" t="str">
            <v>Female</v>
          </cell>
          <cell r="F2624">
            <v>5</v>
          </cell>
          <cell r="G2624">
            <v>17.2</v>
          </cell>
          <cell r="H2624">
            <v>2.4</v>
          </cell>
          <cell r="I2624">
            <v>89.3</v>
          </cell>
          <cell r="K2624">
            <v>2</v>
          </cell>
          <cell r="L2624">
            <v>102.97</v>
          </cell>
          <cell r="M2624">
            <v>19</v>
          </cell>
          <cell r="N2624">
            <v>36.799999999999997</v>
          </cell>
          <cell r="O2624">
            <v>0.2</v>
          </cell>
          <cell r="P2624">
            <v>2.5</v>
          </cell>
          <cell r="S2624">
            <v>0</v>
          </cell>
          <cell r="T2624">
            <v>2.7</v>
          </cell>
          <cell r="U2624">
            <v>1</v>
          </cell>
        </row>
        <row r="2625">
          <cell r="B2625" t="str">
            <v>Female</v>
          </cell>
          <cell r="F2625">
            <v>17</v>
          </cell>
          <cell r="G2625">
            <v>42.2</v>
          </cell>
          <cell r="H2625">
            <v>13.2</v>
          </cell>
          <cell r="I2625">
            <v>40</v>
          </cell>
          <cell r="J2625">
            <v>10</v>
          </cell>
          <cell r="K2625">
            <v>19.5</v>
          </cell>
          <cell r="L2625">
            <v>45.89</v>
          </cell>
          <cell r="M2625">
            <v>58</v>
          </cell>
          <cell r="N2625">
            <v>92.16</v>
          </cell>
          <cell r="O2625">
            <v>3.7</v>
          </cell>
          <cell r="P2625">
            <v>34.700000000000003</v>
          </cell>
          <cell r="S2625">
            <v>46.8</v>
          </cell>
          <cell r="T2625">
            <v>39.799999999999997</v>
          </cell>
          <cell r="U2625">
            <v>2</v>
          </cell>
        </row>
        <row r="2626">
          <cell r="B2626" t="str">
            <v>Female</v>
          </cell>
          <cell r="F2626">
            <v>2</v>
          </cell>
          <cell r="G2626">
            <v>27.5</v>
          </cell>
          <cell r="H2626">
            <v>6.3</v>
          </cell>
          <cell r="I2626">
            <v>58.4</v>
          </cell>
          <cell r="J2626">
            <v>1</v>
          </cell>
          <cell r="K2626">
            <v>10.4</v>
          </cell>
          <cell r="L2626">
            <v>251.14</v>
          </cell>
          <cell r="M2626">
            <v>3</v>
          </cell>
          <cell r="N2626" t="str">
            <v>62.519999999999996</v>
          </cell>
          <cell r="O2626">
            <v>2</v>
          </cell>
          <cell r="P2626">
            <v>14.2</v>
          </cell>
          <cell r="S2626">
            <v>13.5</v>
          </cell>
          <cell r="T2626">
            <v>16.3</v>
          </cell>
          <cell r="U2626">
            <v>2</v>
          </cell>
        </row>
        <row r="2627">
          <cell r="B2627" t="str">
            <v>Male</v>
          </cell>
          <cell r="F2627">
            <v>16</v>
          </cell>
          <cell r="G2627">
            <v>28.8</v>
          </cell>
          <cell r="H2627">
            <v>9.8000000000000007</v>
          </cell>
          <cell r="I2627">
            <v>56</v>
          </cell>
          <cell r="J2627">
            <v>9</v>
          </cell>
          <cell r="K2627" t="str">
            <v>16.900000000000002</v>
          </cell>
          <cell r="L2627">
            <v>100.65</v>
          </cell>
          <cell r="M2627">
            <v>10</v>
          </cell>
          <cell r="N2627">
            <v>51.24</v>
          </cell>
          <cell r="P2627">
            <v>33.299999999999997</v>
          </cell>
          <cell r="S2627">
            <v>51.8</v>
          </cell>
          <cell r="T2627">
            <v>18.3</v>
          </cell>
          <cell r="U2627">
            <v>1</v>
          </cell>
        </row>
        <row r="2628">
          <cell r="B2628" t="str">
            <v>Male</v>
          </cell>
          <cell r="F2628">
            <v>5</v>
          </cell>
          <cell r="G2628">
            <v>12.6</v>
          </cell>
          <cell r="H2628">
            <v>4.0999999999999996</v>
          </cell>
          <cell r="I2628">
            <v>58</v>
          </cell>
          <cell r="J2628">
            <v>0</v>
          </cell>
          <cell r="K2628">
            <v>19.5</v>
          </cell>
          <cell r="L2628">
            <v>69.05</v>
          </cell>
          <cell r="M2628">
            <v>52</v>
          </cell>
          <cell r="N2628">
            <v>32.4</v>
          </cell>
          <cell r="O2628">
            <v>6.9</v>
          </cell>
          <cell r="S2628">
            <v>10</v>
          </cell>
          <cell r="T2628">
            <v>9.3000000000000007</v>
          </cell>
          <cell r="U2628">
            <v>2</v>
          </cell>
        </row>
        <row r="2629">
          <cell r="B2629" t="str">
            <v>Male</v>
          </cell>
          <cell r="F2629">
            <v>13</v>
          </cell>
          <cell r="G2629">
            <v>50.3</v>
          </cell>
          <cell r="H2629">
            <v>13.9</v>
          </cell>
          <cell r="I2629">
            <v>20.2</v>
          </cell>
          <cell r="J2629">
            <v>8</v>
          </cell>
          <cell r="K2629">
            <v>22</v>
          </cell>
          <cell r="L2629">
            <v>80.41</v>
          </cell>
          <cell r="M2629">
            <v>24</v>
          </cell>
          <cell r="N2629">
            <v>24.9</v>
          </cell>
          <cell r="O2629">
            <v>10.5</v>
          </cell>
          <cell r="P2629">
            <v>48.5</v>
          </cell>
          <cell r="S2629">
            <v>79.3</v>
          </cell>
          <cell r="T2629">
            <v>35.4</v>
          </cell>
          <cell r="U2629">
            <v>2</v>
          </cell>
        </row>
        <row r="2630">
          <cell r="B2630" t="str">
            <v>Male</v>
          </cell>
          <cell r="F2630">
            <v>8</v>
          </cell>
          <cell r="G2630">
            <v>34</v>
          </cell>
          <cell r="H2630">
            <v>6.8</v>
          </cell>
          <cell r="I2630">
            <v>50.9</v>
          </cell>
          <cell r="J2630">
            <v>2</v>
          </cell>
          <cell r="K2630">
            <v>15</v>
          </cell>
          <cell r="L2630">
            <v>160.33000000000001</v>
          </cell>
          <cell r="M2630">
            <v>117</v>
          </cell>
          <cell r="N2630">
            <v>49.5</v>
          </cell>
          <cell r="O2630">
            <v>9.9</v>
          </cell>
          <cell r="P2630">
            <v>26.8</v>
          </cell>
          <cell r="S2630">
            <v>46.6</v>
          </cell>
          <cell r="T2630">
            <v>19.899999999999999</v>
          </cell>
          <cell r="U2630">
            <v>3</v>
          </cell>
        </row>
        <row r="2631">
          <cell r="B2631" t="str">
            <v>Male</v>
          </cell>
          <cell r="F2631">
            <v>12</v>
          </cell>
          <cell r="G2631">
            <v>24.7</v>
          </cell>
          <cell r="H2631">
            <v>4.8</v>
          </cell>
          <cell r="I2631">
            <v>68.3</v>
          </cell>
          <cell r="J2631">
            <v>4</v>
          </cell>
          <cell r="K2631">
            <v>6</v>
          </cell>
          <cell r="L2631">
            <v>79.36</v>
          </cell>
          <cell r="M2631">
            <v>9</v>
          </cell>
          <cell r="N2631">
            <v>49.2</v>
          </cell>
          <cell r="O2631">
            <v>17.600000000000001</v>
          </cell>
          <cell r="P2631">
            <v>17.100000000000001</v>
          </cell>
          <cell r="S2631">
            <v>3.3</v>
          </cell>
          <cell r="T2631">
            <v>10.199999999999999</v>
          </cell>
          <cell r="U2631">
            <v>2</v>
          </cell>
        </row>
        <row r="2632">
          <cell r="B2632" t="str">
            <v>Male</v>
          </cell>
          <cell r="F2632">
            <v>13</v>
          </cell>
          <cell r="G2632">
            <v>17.2</v>
          </cell>
          <cell r="H2632">
            <v>3.6</v>
          </cell>
          <cell r="I2632">
            <v>56</v>
          </cell>
          <cell r="J2632">
            <v>2</v>
          </cell>
          <cell r="K2632">
            <v>7</v>
          </cell>
          <cell r="L2632">
            <v>155.22</v>
          </cell>
          <cell r="M2632">
            <v>76</v>
          </cell>
          <cell r="N2632">
            <v>48.9</v>
          </cell>
          <cell r="O2632">
            <v>9.3000000000000007</v>
          </cell>
          <cell r="P2632">
            <v>21.8</v>
          </cell>
          <cell r="S2632">
            <v>1.3</v>
          </cell>
          <cell r="T2632">
            <v>23.9</v>
          </cell>
          <cell r="U2632">
            <v>3</v>
          </cell>
        </row>
        <row r="2633">
          <cell r="B2633" t="str">
            <v>Male</v>
          </cell>
          <cell r="F2633">
            <v>3</v>
          </cell>
          <cell r="G2633">
            <v>28.6</v>
          </cell>
          <cell r="H2633">
            <v>5.0999999999999996</v>
          </cell>
          <cell r="I2633">
            <v>71.5</v>
          </cell>
          <cell r="J2633">
            <v>5</v>
          </cell>
          <cell r="K2633">
            <v>10</v>
          </cell>
          <cell r="L2633">
            <v>85.35</v>
          </cell>
          <cell r="N2633">
            <v>38.200000000000003</v>
          </cell>
          <cell r="O2633">
            <v>8.4</v>
          </cell>
          <cell r="P2633">
            <v>12.2</v>
          </cell>
          <cell r="S2633">
            <v>0</v>
          </cell>
          <cell r="T2633">
            <v>18.3</v>
          </cell>
          <cell r="U2633">
            <v>3</v>
          </cell>
        </row>
        <row r="2634">
          <cell r="B2634" t="str">
            <v>Female</v>
          </cell>
          <cell r="F2634">
            <v>9</v>
          </cell>
          <cell r="G2634">
            <v>19.899999999999999</v>
          </cell>
          <cell r="H2634">
            <v>8.9</v>
          </cell>
          <cell r="I2634">
            <v>56.1</v>
          </cell>
          <cell r="J2634">
            <v>2</v>
          </cell>
          <cell r="K2634">
            <v>6</v>
          </cell>
          <cell r="L2634">
            <v>150.94</v>
          </cell>
          <cell r="M2634">
            <v>42</v>
          </cell>
          <cell r="O2634">
            <v>3.1</v>
          </cell>
          <cell r="S2634">
            <v>0</v>
          </cell>
          <cell r="T2634">
            <v>14</v>
          </cell>
          <cell r="U2634">
            <v>3</v>
          </cell>
        </row>
        <row r="2635">
          <cell r="B2635" t="str">
            <v>Male</v>
          </cell>
          <cell r="F2635">
            <v>27</v>
          </cell>
          <cell r="G2635">
            <v>49.4</v>
          </cell>
          <cell r="H2635">
            <v>15.5</v>
          </cell>
          <cell r="I2635">
            <v>33.299999999999997</v>
          </cell>
          <cell r="J2635">
            <v>8</v>
          </cell>
          <cell r="K2635" t="str">
            <v>29.900000000000002</v>
          </cell>
          <cell r="L2635">
            <v>141.77000000000001</v>
          </cell>
          <cell r="M2635">
            <v>16</v>
          </cell>
          <cell r="N2635" t="str">
            <v>13.319999999999999</v>
          </cell>
          <cell r="O2635">
            <v>3.2</v>
          </cell>
          <cell r="P2635">
            <v>34.9</v>
          </cell>
          <cell r="S2635">
            <v>61.6</v>
          </cell>
          <cell r="T2635">
            <v>39.4</v>
          </cell>
          <cell r="U2635">
            <v>5</v>
          </cell>
        </row>
        <row r="2636">
          <cell r="B2636" t="str">
            <v>Female</v>
          </cell>
          <cell r="F2636">
            <v>15</v>
          </cell>
          <cell r="G2636">
            <v>31.7</v>
          </cell>
          <cell r="H2636">
            <v>5.7</v>
          </cell>
          <cell r="I2636">
            <v>55.6</v>
          </cell>
          <cell r="J2636">
            <v>6</v>
          </cell>
          <cell r="K2636">
            <v>9</v>
          </cell>
          <cell r="L2636">
            <v>156.76</v>
          </cell>
          <cell r="M2636">
            <v>37</v>
          </cell>
          <cell r="N2636">
            <v>62.8</v>
          </cell>
          <cell r="O2636">
            <v>3.9</v>
          </cell>
          <cell r="P2636">
            <v>15.2</v>
          </cell>
          <cell r="S2636">
            <v>24.2</v>
          </cell>
          <cell r="T2636">
            <v>19.7</v>
          </cell>
          <cell r="U2636">
            <v>4</v>
          </cell>
        </row>
        <row r="2637">
          <cell r="B2637" t="str">
            <v>Male</v>
          </cell>
          <cell r="F2637">
            <v>3</v>
          </cell>
          <cell r="G2637">
            <v>17.5</v>
          </cell>
          <cell r="H2637">
            <v>5.3</v>
          </cell>
          <cell r="I2637">
            <v>66.400000000000006</v>
          </cell>
          <cell r="J2637">
            <v>0</v>
          </cell>
          <cell r="K2637" t="str">
            <v>3.9000000000000004</v>
          </cell>
          <cell r="L2637">
            <v>132.99</v>
          </cell>
          <cell r="M2637">
            <v>44</v>
          </cell>
          <cell r="N2637">
            <v>14.76</v>
          </cell>
          <cell r="O2637">
            <v>7.7</v>
          </cell>
          <cell r="P2637">
            <v>9.9</v>
          </cell>
          <cell r="S2637">
            <v>9.6</v>
          </cell>
          <cell r="T2637">
            <v>10.7</v>
          </cell>
          <cell r="U2637">
            <v>2</v>
          </cell>
        </row>
        <row r="2638">
          <cell r="B2638" t="str">
            <v>Female</v>
          </cell>
          <cell r="F2638">
            <v>0</v>
          </cell>
          <cell r="G2638">
            <v>16.399999999999999</v>
          </cell>
          <cell r="H2638">
            <v>2.2000000000000002</v>
          </cell>
          <cell r="I2638">
            <v>60.2</v>
          </cell>
          <cell r="J2638">
            <v>1</v>
          </cell>
          <cell r="K2638">
            <v>1.3</v>
          </cell>
          <cell r="L2638">
            <v>116.22</v>
          </cell>
          <cell r="M2638">
            <v>40</v>
          </cell>
          <cell r="N2638">
            <v>24.96</v>
          </cell>
          <cell r="O2638">
            <v>2.5</v>
          </cell>
          <cell r="S2638">
            <v>0</v>
          </cell>
          <cell r="U2638">
            <v>1</v>
          </cell>
        </row>
        <row r="2639">
          <cell r="B2639" t="str">
            <v>Female</v>
          </cell>
          <cell r="F2639">
            <v>9</v>
          </cell>
          <cell r="G2639">
            <v>30.1</v>
          </cell>
          <cell r="I2639">
            <v>61.4</v>
          </cell>
          <cell r="J2639">
            <v>6</v>
          </cell>
          <cell r="K2639">
            <v>16</v>
          </cell>
          <cell r="L2639">
            <v>94.81</v>
          </cell>
          <cell r="M2639">
            <v>29</v>
          </cell>
          <cell r="N2639">
            <v>71.900000000000006</v>
          </cell>
          <cell r="P2639">
            <v>41.5</v>
          </cell>
          <cell r="T2639">
            <v>24.7</v>
          </cell>
          <cell r="U2639">
            <v>1</v>
          </cell>
        </row>
        <row r="2640">
          <cell r="B2640" t="str">
            <v>Female</v>
          </cell>
          <cell r="F2640">
            <v>13</v>
          </cell>
          <cell r="G2640">
            <v>29.3</v>
          </cell>
          <cell r="H2640">
            <v>9.1999999999999993</v>
          </cell>
          <cell r="I2640">
            <v>65.099999999999994</v>
          </cell>
          <cell r="K2640">
            <v>11</v>
          </cell>
          <cell r="L2640">
            <v>141.18</v>
          </cell>
          <cell r="M2640">
            <v>20</v>
          </cell>
          <cell r="N2640">
            <v>18.399999999999999</v>
          </cell>
          <cell r="O2640">
            <v>9.1</v>
          </cell>
          <cell r="P2640">
            <v>26.5</v>
          </cell>
          <cell r="S2640">
            <v>41.5</v>
          </cell>
          <cell r="T2640">
            <v>13.4</v>
          </cell>
          <cell r="U2640">
            <v>5</v>
          </cell>
        </row>
        <row r="2641">
          <cell r="B2641" t="str">
            <v>Female</v>
          </cell>
          <cell r="F2641">
            <v>1</v>
          </cell>
          <cell r="G2641">
            <v>14.3</v>
          </cell>
          <cell r="H2641">
            <v>2.5</v>
          </cell>
          <cell r="I2641">
            <v>89.7</v>
          </cell>
          <cell r="K2641">
            <v>3</v>
          </cell>
          <cell r="L2641">
            <v>125.77</v>
          </cell>
          <cell r="M2641">
            <v>5</v>
          </cell>
          <cell r="N2641">
            <v>16.600000000000001</v>
          </cell>
          <cell r="O2641">
            <v>6.6</v>
          </cell>
          <cell r="P2641">
            <v>0</v>
          </cell>
          <cell r="S2641">
            <v>0</v>
          </cell>
          <cell r="T2641">
            <v>12.5</v>
          </cell>
          <cell r="U2641">
            <v>1</v>
          </cell>
        </row>
        <row r="2642">
          <cell r="B2642" t="str">
            <v>Female</v>
          </cell>
          <cell r="F2642">
            <v>0</v>
          </cell>
          <cell r="G2642">
            <v>13.5</v>
          </cell>
          <cell r="I2642">
            <v>70.8</v>
          </cell>
          <cell r="J2642">
            <v>0</v>
          </cell>
          <cell r="K2642">
            <v>4</v>
          </cell>
          <cell r="L2642">
            <v>91.73</v>
          </cell>
          <cell r="M2642">
            <v>18</v>
          </cell>
          <cell r="N2642">
            <v>39.9</v>
          </cell>
          <cell r="O2642">
            <v>1.8</v>
          </cell>
          <cell r="P2642">
            <v>1.1000000000000001</v>
          </cell>
          <cell r="S2642">
            <v>1.7</v>
          </cell>
          <cell r="T2642">
            <v>10.3</v>
          </cell>
          <cell r="U2642">
            <v>4</v>
          </cell>
        </row>
        <row r="2643">
          <cell r="B2643" t="str">
            <v>Female</v>
          </cell>
          <cell r="F2643">
            <v>5</v>
          </cell>
          <cell r="G2643">
            <v>27.5</v>
          </cell>
          <cell r="H2643">
            <v>10.8</v>
          </cell>
          <cell r="I2643">
            <v>66.8</v>
          </cell>
          <cell r="J2643">
            <v>3</v>
          </cell>
          <cell r="K2643">
            <v>14.3</v>
          </cell>
          <cell r="L2643">
            <v>102.14</v>
          </cell>
          <cell r="M2643">
            <v>19</v>
          </cell>
          <cell r="O2643">
            <v>6</v>
          </cell>
          <cell r="P2643">
            <v>24.6</v>
          </cell>
          <cell r="S2643">
            <v>0.3</v>
          </cell>
          <cell r="T2643">
            <v>8.8000000000000007</v>
          </cell>
          <cell r="U2643">
            <v>2</v>
          </cell>
        </row>
        <row r="2644">
          <cell r="B2644" t="str">
            <v>Female</v>
          </cell>
          <cell r="F2644">
            <v>6</v>
          </cell>
          <cell r="H2644">
            <v>7.3</v>
          </cell>
          <cell r="I2644">
            <v>64.599999999999994</v>
          </cell>
          <cell r="J2644">
            <v>4</v>
          </cell>
          <cell r="K2644">
            <v>13</v>
          </cell>
          <cell r="L2644">
            <v>94.62</v>
          </cell>
          <cell r="M2644">
            <v>40</v>
          </cell>
          <cell r="N2644">
            <v>39.200000000000003</v>
          </cell>
          <cell r="O2644">
            <v>3.5</v>
          </cell>
          <cell r="P2644">
            <v>9.1999999999999993</v>
          </cell>
          <cell r="T2644">
            <v>18.2</v>
          </cell>
          <cell r="U2644">
            <v>1</v>
          </cell>
        </row>
        <row r="2645">
          <cell r="B2645" t="str">
            <v>Female</v>
          </cell>
          <cell r="F2645">
            <v>7</v>
          </cell>
          <cell r="G2645">
            <v>34.6</v>
          </cell>
          <cell r="H2645">
            <v>10</v>
          </cell>
          <cell r="I2645">
            <v>45.1</v>
          </cell>
          <cell r="J2645">
            <v>4</v>
          </cell>
          <cell r="K2645">
            <v>20.8</v>
          </cell>
          <cell r="L2645">
            <v>148.57</v>
          </cell>
          <cell r="N2645">
            <v>10.92</v>
          </cell>
          <cell r="O2645">
            <v>17.8</v>
          </cell>
          <cell r="P2645">
            <v>34.5</v>
          </cell>
          <cell r="S2645">
            <v>50.4</v>
          </cell>
          <cell r="T2645">
            <v>20.5</v>
          </cell>
          <cell r="U2645">
            <v>2</v>
          </cell>
        </row>
        <row r="2646">
          <cell r="B2646" t="str">
            <v>Male</v>
          </cell>
          <cell r="F2646">
            <v>10</v>
          </cell>
          <cell r="G2646">
            <v>22.5</v>
          </cell>
          <cell r="H2646">
            <v>6.3</v>
          </cell>
          <cell r="I2646">
            <v>56.8</v>
          </cell>
          <cell r="J2646">
            <v>4</v>
          </cell>
          <cell r="K2646" t="str">
            <v>11.700000000000001</v>
          </cell>
          <cell r="L2646">
            <v>132.55000000000001</v>
          </cell>
          <cell r="M2646">
            <v>110</v>
          </cell>
          <cell r="O2646">
            <v>8.4</v>
          </cell>
          <cell r="P2646">
            <v>18.2</v>
          </cell>
          <cell r="S2646">
            <v>8.6</v>
          </cell>
          <cell r="T2646">
            <v>17.5</v>
          </cell>
          <cell r="U2646">
            <v>1</v>
          </cell>
        </row>
        <row r="2647">
          <cell r="B2647" t="str">
            <v>Female</v>
          </cell>
          <cell r="F2647">
            <v>2</v>
          </cell>
          <cell r="G2647">
            <v>13</v>
          </cell>
          <cell r="H2647">
            <v>6.2</v>
          </cell>
          <cell r="I2647">
            <v>75.3</v>
          </cell>
          <cell r="J2647">
            <v>1</v>
          </cell>
          <cell r="K2647">
            <v>5.2</v>
          </cell>
          <cell r="L2647">
            <v>52.22</v>
          </cell>
          <cell r="M2647">
            <v>45</v>
          </cell>
          <cell r="N2647">
            <v>74.16</v>
          </cell>
          <cell r="O2647">
            <v>1.3</v>
          </cell>
          <cell r="P2647">
            <v>3.1</v>
          </cell>
          <cell r="S2647">
            <v>58.3</v>
          </cell>
          <cell r="T2647">
            <v>3.4</v>
          </cell>
          <cell r="U2647">
            <v>3</v>
          </cell>
        </row>
        <row r="2648">
          <cell r="B2648" t="str">
            <v>Female</v>
          </cell>
          <cell r="F2648">
            <v>22</v>
          </cell>
          <cell r="G2648">
            <v>35.799999999999997</v>
          </cell>
          <cell r="H2648">
            <v>9.1999999999999993</v>
          </cell>
          <cell r="I2648">
            <v>48.8</v>
          </cell>
          <cell r="J2648">
            <v>4</v>
          </cell>
          <cell r="K2648">
            <v>15</v>
          </cell>
          <cell r="L2648">
            <v>109.71</v>
          </cell>
          <cell r="M2648">
            <v>8</v>
          </cell>
          <cell r="N2648">
            <v>56.2</v>
          </cell>
          <cell r="O2648">
            <v>5.8</v>
          </cell>
          <cell r="P2648">
            <v>30.5</v>
          </cell>
          <cell r="T2648">
            <v>21.6</v>
          </cell>
          <cell r="U2648">
            <v>2</v>
          </cell>
        </row>
        <row r="2649">
          <cell r="B2649" t="str">
            <v>Male</v>
          </cell>
          <cell r="F2649">
            <v>1</v>
          </cell>
          <cell r="G2649">
            <v>9.6999999999999993</v>
          </cell>
          <cell r="H2649">
            <v>3.2</v>
          </cell>
          <cell r="I2649">
            <v>95.1</v>
          </cell>
          <cell r="K2649">
            <v>11</v>
          </cell>
          <cell r="L2649">
            <v>171.42</v>
          </cell>
          <cell r="M2649">
            <v>49</v>
          </cell>
          <cell r="N2649">
            <v>44.5</v>
          </cell>
          <cell r="O2649">
            <v>8.9</v>
          </cell>
          <cell r="P2649">
            <v>7.1</v>
          </cell>
          <cell r="S2649">
            <v>1</v>
          </cell>
          <cell r="T2649">
            <v>12.6</v>
          </cell>
          <cell r="U2649">
            <v>2</v>
          </cell>
        </row>
        <row r="2650">
          <cell r="B2650" t="str">
            <v>Female</v>
          </cell>
          <cell r="F2650">
            <v>27</v>
          </cell>
          <cell r="G2650">
            <v>44.6</v>
          </cell>
          <cell r="H2650">
            <v>12.1</v>
          </cell>
          <cell r="I2650">
            <v>16.600000000000001</v>
          </cell>
          <cell r="J2650">
            <v>15</v>
          </cell>
          <cell r="K2650">
            <v>20</v>
          </cell>
          <cell r="L2650">
            <v>140.88</v>
          </cell>
          <cell r="M2650">
            <v>16</v>
          </cell>
          <cell r="N2650">
            <v>38.200000000000003</v>
          </cell>
          <cell r="P2650">
            <v>17.399999999999999</v>
          </cell>
          <cell r="S2650">
            <v>65.599999999999994</v>
          </cell>
          <cell r="T2650">
            <v>31.8</v>
          </cell>
          <cell r="U2650">
            <v>2</v>
          </cell>
        </row>
        <row r="2651">
          <cell r="B2651" t="str">
            <v>Male</v>
          </cell>
          <cell r="F2651">
            <v>11</v>
          </cell>
          <cell r="G2651">
            <v>34.799999999999997</v>
          </cell>
          <cell r="H2651">
            <v>11.5</v>
          </cell>
          <cell r="I2651">
            <v>44.8</v>
          </cell>
          <cell r="J2651">
            <v>4</v>
          </cell>
          <cell r="K2651">
            <v>24.7</v>
          </cell>
          <cell r="L2651">
            <v>157.69999999999999</v>
          </cell>
          <cell r="M2651">
            <v>2</v>
          </cell>
          <cell r="N2651" t="str">
            <v>43.559999999999995</v>
          </cell>
          <cell r="O2651">
            <v>4.2</v>
          </cell>
          <cell r="P2651">
            <v>20.5</v>
          </cell>
          <cell r="T2651">
            <v>31.7</v>
          </cell>
          <cell r="U2651">
            <v>1</v>
          </cell>
        </row>
        <row r="2652">
          <cell r="B2652" t="str">
            <v>Male</v>
          </cell>
          <cell r="F2652">
            <v>1</v>
          </cell>
          <cell r="G2652">
            <v>21.6</v>
          </cell>
          <cell r="H2652">
            <v>7</v>
          </cell>
          <cell r="I2652">
            <v>79.900000000000006</v>
          </cell>
          <cell r="J2652">
            <v>1</v>
          </cell>
          <cell r="K2652">
            <v>9</v>
          </cell>
          <cell r="L2652">
            <v>103.91</v>
          </cell>
          <cell r="M2652">
            <v>60</v>
          </cell>
          <cell r="P2652">
            <v>15.7</v>
          </cell>
          <cell r="S2652">
            <v>20.3</v>
          </cell>
          <cell r="T2652">
            <v>14.5</v>
          </cell>
          <cell r="U2652">
            <v>3</v>
          </cell>
        </row>
        <row r="2653">
          <cell r="B2653" t="str">
            <v>Male</v>
          </cell>
          <cell r="F2653">
            <v>20</v>
          </cell>
          <cell r="H2653">
            <v>9.9</v>
          </cell>
          <cell r="I2653">
            <v>60.3</v>
          </cell>
          <cell r="J2653">
            <v>6</v>
          </cell>
          <cell r="K2653">
            <v>15</v>
          </cell>
          <cell r="L2653">
            <v>91.25</v>
          </cell>
          <cell r="M2653">
            <v>72</v>
          </cell>
          <cell r="N2653">
            <v>33</v>
          </cell>
          <cell r="P2653">
            <v>38.9</v>
          </cell>
          <cell r="S2653">
            <v>37.4</v>
          </cell>
          <cell r="T2653">
            <v>25.9</v>
          </cell>
          <cell r="U2653">
            <v>3</v>
          </cell>
        </row>
        <row r="2654">
          <cell r="B2654" t="str">
            <v>Female</v>
          </cell>
          <cell r="F2654">
            <v>4</v>
          </cell>
          <cell r="G2654">
            <v>20.2</v>
          </cell>
          <cell r="I2654">
            <v>72.7</v>
          </cell>
          <cell r="J2654">
            <v>6</v>
          </cell>
          <cell r="K2654">
            <v>15</v>
          </cell>
          <cell r="L2654">
            <v>92.74</v>
          </cell>
          <cell r="M2654">
            <v>40</v>
          </cell>
          <cell r="N2654">
            <v>48.4</v>
          </cell>
          <cell r="O2654">
            <v>7</v>
          </cell>
          <cell r="P2654">
            <v>19</v>
          </cell>
          <cell r="S2654">
            <v>28.4</v>
          </cell>
          <cell r="T2654">
            <v>21.6</v>
          </cell>
          <cell r="U2654">
            <v>2</v>
          </cell>
        </row>
        <row r="2655">
          <cell r="B2655" t="str">
            <v>Female</v>
          </cell>
          <cell r="F2655">
            <v>30</v>
          </cell>
          <cell r="G2655">
            <v>53.9</v>
          </cell>
          <cell r="H2655">
            <v>17</v>
          </cell>
          <cell r="I2655">
            <v>1.6</v>
          </cell>
          <cell r="J2655">
            <v>14</v>
          </cell>
          <cell r="K2655">
            <v>27</v>
          </cell>
          <cell r="L2655">
            <v>163.61000000000001</v>
          </cell>
          <cell r="M2655">
            <v>13</v>
          </cell>
          <cell r="O2655">
            <v>5.9</v>
          </cell>
          <cell r="P2655">
            <v>60.1</v>
          </cell>
          <cell r="S2655">
            <v>51</v>
          </cell>
          <cell r="T2655">
            <v>42.7</v>
          </cell>
          <cell r="U2655">
            <v>4</v>
          </cell>
        </row>
        <row r="2656">
          <cell r="B2656" t="str">
            <v>Female</v>
          </cell>
          <cell r="F2656">
            <v>27</v>
          </cell>
          <cell r="G2656">
            <v>43.9</v>
          </cell>
          <cell r="H2656">
            <v>13.3</v>
          </cell>
          <cell r="I2656">
            <v>29.8</v>
          </cell>
          <cell r="J2656">
            <v>7</v>
          </cell>
          <cell r="K2656">
            <v>20.8</v>
          </cell>
          <cell r="L2656">
            <v>118.94</v>
          </cell>
          <cell r="M2656">
            <v>43</v>
          </cell>
          <cell r="N2656">
            <v>25.56</v>
          </cell>
          <cell r="O2656">
            <v>12.7</v>
          </cell>
          <cell r="P2656">
            <v>32.799999999999997</v>
          </cell>
          <cell r="S2656">
            <v>24.3</v>
          </cell>
          <cell r="T2656">
            <v>37.700000000000003</v>
          </cell>
          <cell r="U2656">
            <v>2</v>
          </cell>
        </row>
        <row r="2657">
          <cell r="B2657" t="str">
            <v>Female</v>
          </cell>
          <cell r="F2657">
            <v>7</v>
          </cell>
          <cell r="G2657">
            <v>15.7</v>
          </cell>
          <cell r="I2657">
            <v>54.1</v>
          </cell>
          <cell r="J2657">
            <v>0</v>
          </cell>
          <cell r="K2657">
            <v>9</v>
          </cell>
          <cell r="L2657">
            <v>171.18</v>
          </cell>
          <cell r="M2657">
            <v>1</v>
          </cell>
          <cell r="N2657">
            <v>59</v>
          </cell>
          <cell r="O2657">
            <v>0.6</v>
          </cell>
          <cell r="P2657">
            <v>20.399999999999999</v>
          </cell>
          <cell r="S2657">
            <v>14.9</v>
          </cell>
          <cell r="T2657">
            <v>7.5</v>
          </cell>
          <cell r="U2657">
            <v>4</v>
          </cell>
        </row>
        <row r="2658">
          <cell r="B2658" t="str">
            <v>Male</v>
          </cell>
          <cell r="F2658">
            <v>20</v>
          </cell>
          <cell r="G2658">
            <v>30.1</v>
          </cell>
          <cell r="H2658">
            <v>11.4</v>
          </cell>
          <cell r="I2658">
            <v>39.9</v>
          </cell>
          <cell r="J2658">
            <v>7</v>
          </cell>
          <cell r="K2658">
            <v>17</v>
          </cell>
          <cell r="L2658">
            <v>94.21</v>
          </cell>
          <cell r="M2658">
            <v>28</v>
          </cell>
          <cell r="N2658">
            <v>10.5</v>
          </cell>
          <cell r="O2658">
            <v>4</v>
          </cell>
          <cell r="P2658">
            <v>23.6</v>
          </cell>
          <cell r="S2658">
            <v>10.6</v>
          </cell>
          <cell r="T2658">
            <v>20.5</v>
          </cell>
          <cell r="U2658">
            <v>5</v>
          </cell>
        </row>
        <row r="2659">
          <cell r="B2659" t="str">
            <v>Male</v>
          </cell>
          <cell r="F2659">
            <v>6</v>
          </cell>
          <cell r="G2659">
            <v>8.6</v>
          </cell>
          <cell r="H2659">
            <v>5.0999999999999996</v>
          </cell>
          <cell r="I2659">
            <v>64.8</v>
          </cell>
          <cell r="J2659">
            <v>2</v>
          </cell>
          <cell r="K2659">
            <v>1</v>
          </cell>
          <cell r="L2659">
            <v>103.23</v>
          </cell>
          <cell r="M2659">
            <v>31</v>
          </cell>
          <cell r="N2659">
            <v>27.3</v>
          </cell>
          <cell r="O2659">
            <v>15.2</v>
          </cell>
          <cell r="P2659">
            <v>9.1999999999999993</v>
          </cell>
          <cell r="S2659">
            <v>23.5</v>
          </cell>
          <cell r="T2659">
            <v>11.4</v>
          </cell>
          <cell r="U2659">
            <v>3</v>
          </cell>
        </row>
        <row r="2660">
          <cell r="B2660" t="str">
            <v>Male</v>
          </cell>
          <cell r="F2660">
            <v>14</v>
          </cell>
          <cell r="G2660">
            <v>28.6</v>
          </cell>
          <cell r="H2660">
            <v>8</v>
          </cell>
          <cell r="I2660">
            <v>45.9</v>
          </cell>
          <cell r="J2660">
            <v>3</v>
          </cell>
          <cell r="K2660">
            <v>18</v>
          </cell>
          <cell r="L2660">
            <v>122.76</v>
          </cell>
          <cell r="M2660">
            <v>12</v>
          </cell>
          <cell r="N2660">
            <v>32.200000000000003</v>
          </cell>
          <cell r="P2660">
            <v>20.100000000000001</v>
          </cell>
          <cell r="S2660">
            <v>50.6</v>
          </cell>
          <cell r="T2660">
            <v>21.5</v>
          </cell>
          <cell r="U2660">
            <v>3</v>
          </cell>
        </row>
        <row r="2661">
          <cell r="B2661" t="str">
            <v>Female</v>
          </cell>
          <cell r="F2661">
            <v>4</v>
          </cell>
          <cell r="G2661">
            <v>16.600000000000001</v>
          </cell>
          <cell r="H2661">
            <v>6.1</v>
          </cell>
          <cell r="I2661">
            <v>73.2</v>
          </cell>
          <cell r="J2661">
            <v>3</v>
          </cell>
          <cell r="K2661">
            <v>8</v>
          </cell>
          <cell r="L2661">
            <v>167.57</v>
          </cell>
          <cell r="M2661">
            <v>52</v>
          </cell>
          <cell r="N2661">
            <v>65.3</v>
          </cell>
          <cell r="S2661">
            <v>0</v>
          </cell>
          <cell r="T2661">
            <v>13.3</v>
          </cell>
          <cell r="U2661">
            <v>5</v>
          </cell>
        </row>
        <row r="2662">
          <cell r="B2662" t="str">
            <v>Female</v>
          </cell>
          <cell r="F2662">
            <v>16</v>
          </cell>
          <cell r="G2662">
            <v>34.799999999999997</v>
          </cell>
          <cell r="H2662">
            <v>9.3000000000000007</v>
          </cell>
          <cell r="I2662">
            <v>46.3</v>
          </cell>
          <cell r="J2662">
            <v>8</v>
          </cell>
          <cell r="K2662">
            <v>17</v>
          </cell>
          <cell r="L2662">
            <v>90.63</v>
          </cell>
          <cell r="M2662">
            <v>22</v>
          </cell>
          <cell r="N2662">
            <v>41</v>
          </cell>
          <cell r="O2662">
            <v>7.7</v>
          </cell>
          <cell r="P2662">
            <v>32.1</v>
          </cell>
          <cell r="S2662">
            <v>66.8</v>
          </cell>
          <cell r="T2662">
            <v>22.6</v>
          </cell>
          <cell r="U2662">
            <v>1</v>
          </cell>
        </row>
        <row r="2663">
          <cell r="B2663" t="str">
            <v>Male</v>
          </cell>
          <cell r="F2663">
            <v>14</v>
          </cell>
          <cell r="G2663">
            <v>25.8</v>
          </cell>
          <cell r="H2663">
            <v>8.1</v>
          </cell>
          <cell r="I2663">
            <v>55.1</v>
          </cell>
          <cell r="J2663">
            <v>0</v>
          </cell>
          <cell r="K2663">
            <v>9</v>
          </cell>
          <cell r="L2663">
            <v>90.09</v>
          </cell>
          <cell r="N2663">
            <v>68.5</v>
          </cell>
          <cell r="O2663">
            <v>2.8</v>
          </cell>
          <cell r="P2663">
            <v>0</v>
          </cell>
          <cell r="S2663">
            <v>11.8</v>
          </cell>
          <cell r="T2663">
            <v>12.4</v>
          </cell>
          <cell r="U2663">
            <v>1</v>
          </cell>
        </row>
        <row r="2664">
          <cell r="B2664" t="str">
            <v>Male</v>
          </cell>
          <cell r="F2664">
            <v>11</v>
          </cell>
          <cell r="G2664">
            <v>9.5</v>
          </cell>
          <cell r="H2664">
            <v>1.9</v>
          </cell>
          <cell r="I2664">
            <v>66.599999999999994</v>
          </cell>
          <cell r="J2664">
            <v>3</v>
          </cell>
          <cell r="K2664">
            <v>8</v>
          </cell>
          <cell r="L2664">
            <v>162.69999999999999</v>
          </cell>
          <cell r="M2664">
            <v>37</v>
          </cell>
          <cell r="N2664">
            <v>53.2</v>
          </cell>
          <cell r="O2664">
            <v>6.7</v>
          </cell>
          <cell r="P2664">
            <v>0</v>
          </cell>
          <cell r="S2664">
            <v>0</v>
          </cell>
          <cell r="U2664">
            <v>3</v>
          </cell>
        </row>
        <row r="2665">
          <cell r="B2665" t="str">
            <v>Female</v>
          </cell>
          <cell r="F2665">
            <v>1</v>
          </cell>
          <cell r="G2665">
            <v>16.5</v>
          </cell>
          <cell r="H2665">
            <v>3.4</v>
          </cell>
          <cell r="I2665">
            <v>65.5</v>
          </cell>
          <cell r="K2665">
            <v>4</v>
          </cell>
          <cell r="L2665">
            <v>85.14</v>
          </cell>
          <cell r="M2665">
            <v>14</v>
          </cell>
          <cell r="N2665">
            <v>7.3</v>
          </cell>
          <cell r="O2665">
            <v>5.5</v>
          </cell>
          <cell r="P2665">
            <v>0</v>
          </cell>
          <cell r="S2665">
            <v>0</v>
          </cell>
          <cell r="T2665">
            <v>3.5</v>
          </cell>
          <cell r="U2665">
            <v>4</v>
          </cell>
        </row>
        <row r="2666">
          <cell r="B2666" t="str">
            <v>Male</v>
          </cell>
          <cell r="F2666">
            <v>4</v>
          </cell>
          <cell r="G2666">
            <v>12.4</v>
          </cell>
          <cell r="H2666">
            <v>4.3</v>
          </cell>
          <cell r="I2666">
            <v>85.4</v>
          </cell>
          <cell r="J2666">
            <v>0</v>
          </cell>
          <cell r="K2666">
            <v>1</v>
          </cell>
          <cell r="L2666">
            <v>75.94</v>
          </cell>
          <cell r="M2666">
            <v>13</v>
          </cell>
          <cell r="N2666">
            <v>55.1</v>
          </cell>
          <cell r="O2666">
            <v>0.7</v>
          </cell>
          <cell r="P2666">
            <v>0.1</v>
          </cell>
          <cell r="T2666">
            <v>13.5</v>
          </cell>
          <cell r="U2666">
            <v>2</v>
          </cell>
        </row>
        <row r="2667">
          <cell r="B2667" t="str">
            <v>Female</v>
          </cell>
          <cell r="F2667">
            <v>11</v>
          </cell>
          <cell r="G2667">
            <v>17.3</v>
          </cell>
          <cell r="H2667">
            <v>3.8</v>
          </cell>
          <cell r="I2667">
            <v>74.2</v>
          </cell>
          <cell r="J2667">
            <v>2</v>
          </cell>
          <cell r="K2667">
            <v>6</v>
          </cell>
          <cell r="L2667">
            <v>167.83</v>
          </cell>
          <cell r="M2667">
            <v>7</v>
          </cell>
          <cell r="N2667">
            <v>63.5</v>
          </cell>
          <cell r="O2667">
            <v>9.6</v>
          </cell>
          <cell r="P2667">
            <v>12.9</v>
          </cell>
          <cell r="S2667">
            <v>27.6</v>
          </cell>
        </row>
        <row r="2668">
          <cell r="B2668" t="str">
            <v>Female</v>
          </cell>
          <cell r="F2668">
            <v>19</v>
          </cell>
          <cell r="G2668">
            <v>38.299999999999997</v>
          </cell>
          <cell r="H2668">
            <v>10.7</v>
          </cell>
          <cell r="I2668">
            <v>31.2</v>
          </cell>
          <cell r="J2668">
            <v>8</v>
          </cell>
          <cell r="K2668">
            <v>20</v>
          </cell>
          <cell r="L2668">
            <v>167.57</v>
          </cell>
          <cell r="M2668">
            <v>65</v>
          </cell>
          <cell r="N2668">
            <v>46.6</v>
          </cell>
          <cell r="O2668">
            <v>14.4</v>
          </cell>
          <cell r="P2668">
            <v>34.299999999999997</v>
          </cell>
          <cell r="T2668">
            <v>30.7</v>
          </cell>
          <cell r="U2668">
            <v>3</v>
          </cell>
        </row>
        <row r="2669">
          <cell r="B2669" t="str">
            <v>Male</v>
          </cell>
          <cell r="F2669">
            <v>12</v>
          </cell>
          <cell r="G2669">
            <v>38.1</v>
          </cell>
          <cell r="H2669">
            <v>11.4</v>
          </cell>
          <cell r="I2669">
            <v>34.200000000000003</v>
          </cell>
          <cell r="J2669">
            <v>5</v>
          </cell>
          <cell r="K2669" t="str">
            <v>23.400000000000002</v>
          </cell>
          <cell r="L2669">
            <v>118.06</v>
          </cell>
          <cell r="M2669">
            <v>32</v>
          </cell>
          <cell r="N2669" t="str">
            <v>38.279999999999994</v>
          </cell>
          <cell r="O2669">
            <v>20.6</v>
          </cell>
          <cell r="P2669">
            <v>29.1</v>
          </cell>
          <cell r="T2669">
            <v>22</v>
          </cell>
          <cell r="U2669">
            <v>5</v>
          </cell>
        </row>
        <row r="2670">
          <cell r="B2670" t="str">
            <v>Male</v>
          </cell>
          <cell r="F2670">
            <v>14</v>
          </cell>
          <cell r="G2670">
            <v>24.3</v>
          </cell>
          <cell r="H2670">
            <v>9.6</v>
          </cell>
          <cell r="I2670">
            <v>45</v>
          </cell>
          <cell r="J2670">
            <v>5</v>
          </cell>
          <cell r="K2670">
            <v>12</v>
          </cell>
          <cell r="L2670">
            <v>99.82</v>
          </cell>
          <cell r="M2670">
            <v>56</v>
          </cell>
          <cell r="N2670">
            <v>59.7</v>
          </cell>
          <cell r="O2670">
            <v>5.5</v>
          </cell>
          <cell r="P2670">
            <v>29.2</v>
          </cell>
          <cell r="S2670">
            <v>41.7</v>
          </cell>
          <cell r="T2670">
            <v>21.5</v>
          </cell>
          <cell r="U2670">
            <v>1</v>
          </cell>
        </row>
        <row r="2671">
          <cell r="B2671" t="str">
            <v>Female</v>
          </cell>
          <cell r="F2671">
            <v>28</v>
          </cell>
          <cell r="G2671">
            <v>37.700000000000003</v>
          </cell>
          <cell r="H2671">
            <v>11.7</v>
          </cell>
          <cell r="I2671">
            <v>62.9</v>
          </cell>
          <cell r="K2671">
            <v>20</v>
          </cell>
          <cell r="L2671">
            <v>83.83</v>
          </cell>
          <cell r="M2671">
            <v>1</v>
          </cell>
          <cell r="N2671">
            <v>15.3</v>
          </cell>
          <cell r="O2671">
            <v>2</v>
          </cell>
          <cell r="P2671">
            <v>39.299999999999997</v>
          </cell>
          <cell r="S2671">
            <v>50.3</v>
          </cell>
          <cell r="T2671">
            <v>18.5</v>
          </cell>
          <cell r="U2671">
            <v>2</v>
          </cell>
        </row>
        <row r="2672">
          <cell r="B2672" t="str">
            <v>Male</v>
          </cell>
          <cell r="F2672">
            <v>0</v>
          </cell>
          <cell r="H2672">
            <v>4.9000000000000004</v>
          </cell>
          <cell r="I2672">
            <v>85.1</v>
          </cell>
          <cell r="J2672">
            <v>1</v>
          </cell>
          <cell r="K2672">
            <v>7</v>
          </cell>
          <cell r="L2672">
            <v>108.4</v>
          </cell>
          <cell r="M2672">
            <v>116</v>
          </cell>
          <cell r="N2672">
            <v>44.2</v>
          </cell>
          <cell r="O2672">
            <v>2.7</v>
          </cell>
          <cell r="P2672">
            <v>9.1999999999999993</v>
          </cell>
          <cell r="S2672">
            <v>25.9</v>
          </cell>
          <cell r="T2672">
            <v>14.5</v>
          </cell>
          <cell r="U2672">
            <v>2</v>
          </cell>
        </row>
        <row r="2673">
          <cell r="B2673" t="str">
            <v>Male</v>
          </cell>
          <cell r="F2673">
            <v>4</v>
          </cell>
          <cell r="G2673">
            <v>21.5</v>
          </cell>
          <cell r="H2673">
            <v>4.2</v>
          </cell>
          <cell r="I2673">
            <v>54.3</v>
          </cell>
          <cell r="J2673">
            <v>2</v>
          </cell>
          <cell r="K2673">
            <v>7</v>
          </cell>
          <cell r="L2673">
            <v>35.799999999999997</v>
          </cell>
          <cell r="M2673">
            <v>29</v>
          </cell>
          <cell r="N2673">
            <v>22.2</v>
          </cell>
          <cell r="P2673">
            <v>6.9</v>
          </cell>
          <cell r="S2673">
            <v>24.5</v>
          </cell>
          <cell r="T2673">
            <v>8.3000000000000007</v>
          </cell>
          <cell r="U2673">
            <v>2</v>
          </cell>
        </row>
        <row r="2674">
          <cell r="B2674" t="str">
            <v>Male</v>
          </cell>
          <cell r="F2674">
            <v>22</v>
          </cell>
          <cell r="G2674">
            <v>51.4</v>
          </cell>
          <cell r="H2674">
            <v>17.3</v>
          </cell>
          <cell r="I2674">
            <v>38</v>
          </cell>
          <cell r="J2674">
            <v>7</v>
          </cell>
          <cell r="K2674">
            <v>32.5</v>
          </cell>
          <cell r="L2674">
            <v>176.29</v>
          </cell>
          <cell r="M2674">
            <v>14</v>
          </cell>
          <cell r="O2674">
            <v>5.5</v>
          </cell>
          <cell r="P2674">
            <v>34.5</v>
          </cell>
          <cell r="S2674">
            <v>56</v>
          </cell>
          <cell r="U2674">
            <v>2</v>
          </cell>
        </row>
        <row r="2675">
          <cell r="B2675" t="str">
            <v>Male</v>
          </cell>
          <cell r="F2675">
            <v>3</v>
          </cell>
          <cell r="H2675">
            <v>5.7</v>
          </cell>
          <cell r="I2675">
            <v>77.5</v>
          </cell>
          <cell r="J2675">
            <v>2</v>
          </cell>
          <cell r="K2675" t="str">
            <v>7.800000000000001</v>
          </cell>
          <cell r="L2675">
            <v>135.15</v>
          </cell>
          <cell r="M2675">
            <v>21</v>
          </cell>
          <cell r="N2675" t="str">
            <v>14.639999999999999</v>
          </cell>
          <cell r="O2675">
            <v>8.3000000000000007</v>
          </cell>
          <cell r="P2675">
            <v>10</v>
          </cell>
          <cell r="S2675">
            <v>3.5</v>
          </cell>
          <cell r="T2675">
            <v>10.4</v>
          </cell>
          <cell r="U2675">
            <v>1</v>
          </cell>
        </row>
        <row r="2676">
          <cell r="B2676" t="str">
            <v>Male</v>
          </cell>
          <cell r="F2676">
            <v>23</v>
          </cell>
          <cell r="G2676">
            <v>41.9</v>
          </cell>
          <cell r="H2676">
            <v>12.3</v>
          </cell>
          <cell r="I2676">
            <v>37.4</v>
          </cell>
          <cell r="K2676">
            <v>17</v>
          </cell>
          <cell r="L2676">
            <v>97.8</v>
          </cell>
          <cell r="M2676">
            <v>4</v>
          </cell>
          <cell r="N2676">
            <v>43.1</v>
          </cell>
          <cell r="O2676">
            <v>2.9</v>
          </cell>
          <cell r="P2676">
            <v>24.8</v>
          </cell>
          <cell r="S2676">
            <v>28.9</v>
          </cell>
          <cell r="T2676">
            <v>31</v>
          </cell>
          <cell r="U2676">
            <v>3</v>
          </cell>
        </row>
        <row r="2677">
          <cell r="B2677" t="str">
            <v>Female</v>
          </cell>
          <cell r="F2677">
            <v>16</v>
          </cell>
          <cell r="G2677">
            <v>20.5</v>
          </cell>
          <cell r="H2677">
            <v>6.7</v>
          </cell>
          <cell r="I2677">
            <v>54</v>
          </cell>
          <cell r="J2677">
            <v>4</v>
          </cell>
          <cell r="K2677">
            <v>14</v>
          </cell>
          <cell r="L2677">
            <v>110.86</v>
          </cell>
          <cell r="M2677">
            <v>33</v>
          </cell>
          <cell r="N2677">
            <v>7.6</v>
          </cell>
          <cell r="O2677">
            <v>12.2</v>
          </cell>
          <cell r="P2677">
            <v>12.9</v>
          </cell>
          <cell r="T2677">
            <v>7.9</v>
          </cell>
          <cell r="U2677">
            <v>1</v>
          </cell>
        </row>
        <row r="2678">
          <cell r="B2678" t="str">
            <v>Female</v>
          </cell>
          <cell r="F2678">
            <v>5</v>
          </cell>
          <cell r="G2678">
            <v>11.2</v>
          </cell>
          <cell r="H2678">
            <v>2.2000000000000002</v>
          </cell>
          <cell r="I2678">
            <v>84.1</v>
          </cell>
          <cell r="K2678" t="str">
            <v>11.700000000000001</v>
          </cell>
          <cell r="L2678">
            <v>57.32</v>
          </cell>
          <cell r="M2678">
            <v>5</v>
          </cell>
          <cell r="N2678">
            <v>49.68</v>
          </cell>
          <cell r="S2678">
            <v>0</v>
          </cell>
          <cell r="T2678">
            <v>15.6</v>
          </cell>
          <cell r="U2678">
            <v>1</v>
          </cell>
        </row>
        <row r="2679">
          <cell r="B2679" t="str">
            <v>Male</v>
          </cell>
          <cell r="F2679">
            <v>13</v>
          </cell>
          <cell r="G2679">
            <v>27.9</v>
          </cell>
          <cell r="H2679">
            <v>12.6</v>
          </cell>
          <cell r="I2679">
            <v>52</v>
          </cell>
          <cell r="J2679">
            <v>3</v>
          </cell>
          <cell r="K2679">
            <v>12</v>
          </cell>
          <cell r="L2679">
            <v>136.44</v>
          </cell>
          <cell r="M2679">
            <v>19</v>
          </cell>
          <cell r="N2679">
            <v>34.200000000000003</v>
          </cell>
          <cell r="O2679">
            <v>3.7</v>
          </cell>
          <cell r="P2679">
            <v>36.4</v>
          </cell>
          <cell r="S2679">
            <v>29.8</v>
          </cell>
          <cell r="T2679">
            <v>11.1</v>
          </cell>
          <cell r="U2679">
            <v>1</v>
          </cell>
        </row>
        <row r="2680">
          <cell r="B2680" t="str">
            <v>Female</v>
          </cell>
          <cell r="F2680">
            <v>11</v>
          </cell>
          <cell r="H2680">
            <v>5.0999999999999996</v>
          </cell>
          <cell r="I2680">
            <v>73.099999999999994</v>
          </cell>
          <cell r="J2680">
            <v>0</v>
          </cell>
          <cell r="K2680">
            <v>3</v>
          </cell>
          <cell r="L2680">
            <v>116.45</v>
          </cell>
          <cell r="M2680">
            <v>52</v>
          </cell>
          <cell r="N2680">
            <v>49.2</v>
          </cell>
          <cell r="O2680">
            <v>2.4</v>
          </cell>
          <cell r="P2680">
            <v>0</v>
          </cell>
          <cell r="S2680">
            <v>20</v>
          </cell>
          <cell r="T2680">
            <v>12.7</v>
          </cell>
          <cell r="U2680">
            <v>3</v>
          </cell>
        </row>
        <row r="2681">
          <cell r="B2681" t="str">
            <v>Female</v>
          </cell>
          <cell r="F2681">
            <v>9</v>
          </cell>
          <cell r="H2681">
            <v>4.9000000000000004</v>
          </cell>
          <cell r="I2681">
            <v>69</v>
          </cell>
          <cell r="J2681">
            <v>1</v>
          </cell>
          <cell r="K2681">
            <v>9.1</v>
          </cell>
          <cell r="L2681">
            <v>81.56</v>
          </cell>
          <cell r="M2681">
            <v>1</v>
          </cell>
          <cell r="N2681" t="str">
            <v>71.75999999999999</v>
          </cell>
          <cell r="O2681">
            <v>7.6</v>
          </cell>
          <cell r="P2681">
            <v>12.1</v>
          </cell>
          <cell r="S2681">
            <v>29.3</v>
          </cell>
          <cell r="T2681">
            <v>12.1</v>
          </cell>
          <cell r="U2681">
            <v>5</v>
          </cell>
        </row>
        <row r="2682">
          <cell r="B2682" t="str">
            <v>Male</v>
          </cell>
          <cell r="F2682">
            <v>9</v>
          </cell>
          <cell r="G2682">
            <v>29.8</v>
          </cell>
          <cell r="H2682">
            <v>12.5</v>
          </cell>
          <cell r="I2682">
            <v>40</v>
          </cell>
          <cell r="J2682">
            <v>5</v>
          </cell>
          <cell r="K2682">
            <v>14</v>
          </cell>
          <cell r="L2682">
            <v>90.96</v>
          </cell>
          <cell r="M2682">
            <v>3</v>
          </cell>
          <cell r="N2682">
            <v>36.1</v>
          </cell>
          <cell r="O2682">
            <v>1.5</v>
          </cell>
          <cell r="P2682">
            <v>33.1</v>
          </cell>
          <cell r="S2682">
            <v>37.200000000000003</v>
          </cell>
          <cell r="T2682">
            <v>29.1</v>
          </cell>
          <cell r="U2682">
            <v>1</v>
          </cell>
        </row>
        <row r="2683">
          <cell r="B2683" t="str">
            <v>Male</v>
          </cell>
          <cell r="F2683">
            <v>18</v>
          </cell>
          <cell r="G2683">
            <v>30.9</v>
          </cell>
          <cell r="H2683">
            <v>9.5</v>
          </cell>
          <cell r="I2683">
            <v>69</v>
          </cell>
          <cell r="J2683">
            <v>5</v>
          </cell>
          <cell r="K2683">
            <v>11</v>
          </cell>
          <cell r="L2683">
            <v>71.34</v>
          </cell>
          <cell r="M2683">
            <v>57</v>
          </cell>
          <cell r="O2683">
            <v>6.4</v>
          </cell>
          <cell r="P2683">
            <v>27.7</v>
          </cell>
          <cell r="S2683">
            <v>49.3</v>
          </cell>
          <cell r="U2683">
            <v>4</v>
          </cell>
        </row>
        <row r="2684">
          <cell r="B2684" t="str">
            <v>Male</v>
          </cell>
          <cell r="F2684">
            <v>21</v>
          </cell>
          <cell r="G2684">
            <v>30.2</v>
          </cell>
          <cell r="H2684">
            <v>10</v>
          </cell>
          <cell r="I2684">
            <v>47.9</v>
          </cell>
          <cell r="J2684">
            <v>3</v>
          </cell>
          <cell r="K2684">
            <v>12</v>
          </cell>
          <cell r="L2684">
            <v>101.46</v>
          </cell>
          <cell r="M2684">
            <v>9</v>
          </cell>
          <cell r="N2684">
            <v>46.6</v>
          </cell>
          <cell r="O2684">
            <v>4</v>
          </cell>
          <cell r="P2684">
            <v>14.3</v>
          </cell>
          <cell r="S2684">
            <v>41</v>
          </cell>
          <cell r="T2684">
            <v>17.100000000000001</v>
          </cell>
          <cell r="U2684">
            <v>2</v>
          </cell>
        </row>
        <row r="2685">
          <cell r="B2685" t="str">
            <v>Female</v>
          </cell>
          <cell r="F2685">
            <v>24</v>
          </cell>
          <cell r="G2685">
            <v>50.9</v>
          </cell>
          <cell r="I2685">
            <v>20.100000000000001</v>
          </cell>
          <cell r="J2685">
            <v>9</v>
          </cell>
          <cell r="K2685">
            <v>21</v>
          </cell>
          <cell r="L2685">
            <v>36.89</v>
          </cell>
          <cell r="M2685">
            <v>12</v>
          </cell>
          <cell r="N2685">
            <v>21.2</v>
          </cell>
          <cell r="O2685">
            <v>3.1</v>
          </cell>
          <cell r="P2685">
            <v>52.6</v>
          </cell>
          <cell r="S2685">
            <v>71.5</v>
          </cell>
          <cell r="T2685">
            <v>27.1</v>
          </cell>
          <cell r="U2685">
            <v>1</v>
          </cell>
        </row>
        <row r="2686">
          <cell r="B2686" t="str">
            <v>Male</v>
          </cell>
          <cell r="F2686">
            <v>20</v>
          </cell>
          <cell r="G2686">
            <v>53.3</v>
          </cell>
          <cell r="H2686">
            <v>17.600000000000001</v>
          </cell>
          <cell r="I2686">
            <v>3.7</v>
          </cell>
          <cell r="J2686">
            <v>9</v>
          </cell>
          <cell r="K2686">
            <v>27</v>
          </cell>
          <cell r="L2686">
            <v>50.96</v>
          </cell>
          <cell r="M2686">
            <v>20</v>
          </cell>
          <cell r="N2686">
            <v>27.9</v>
          </cell>
          <cell r="O2686">
            <v>4.3</v>
          </cell>
          <cell r="P2686">
            <v>54.2</v>
          </cell>
          <cell r="S2686">
            <v>63.4</v>
          </cell>
          <cell r="T2686">
            <v>35.799999999999997</v>
          </cell>
          <cell r="U2686">
            <v>1</v>
          </cell>
        </row>
        <row r="2687">
          <cell r="B2687" t="str">
            <v>Male</v>
          </cell>
          <cell r="F2687">
            <v>30</v>
          </cell>
          <cell r="G2687">
            <v>40.9</v>
          </cell>
          <cell r="H2687">
            <v>13.7</v>
          </cell>
          <cell r="I2687">
            <v>50.1</v>
          </cell>
          <cell r="J2687">
            <v>7</v>
          </cell>
          <cell r="K2687">
            <v>21</v>
          </cell>
          <cell r="L2687">
            <v>229.37</v>
          </cell>
          <cell r="M2687">
            <v>30</v>
          </cell>
          <cell r="N2687">
            <v>10.3</v>
          </cell>
          <cell r="O2687">
            <v>5.4</v>
          </cell>
          <cell r="P2687">
            <v>33.1</v>
          </cell>
          <cell r="S2687">
            <v>58.1</v>
          </cell>
          <cell r="T2687">
            <v>28.4</v>
          </cell>
          <cell r="U2687">
            <v>2</v>
          </cell>
        </row>
        <row r="2688">
          <cell r="B2688" t="str">
            <v>Male</v>
          </cell>
          <cell r="F2688">
            <v>3</v>
          </cell>
          <cell r="G2688">
            <v>19.8</v>
          </cell>
          <cell r="H2688">
            <v>1</v>
          </cell>
          <cell r="I2688">
            <v>51.4</v>
          </cell>
          <cell r="J2688">
            <v>0</v>
          </cell>
          <cell r="K2688">
            <v>10</v>
          </cell>
          <cell r="L2688">
            <v>145.76</v>
          </cell>
          <cell r="M2688">
            <v>8</v>
          </cell>
          <cell r="N2688">
            <v>42.6</v>
          </cell>
          <cell r="O2688">
            <v>3.8</v>
          </cell>
          <cell r="P2688">
            <v>17.3</v>
          </cell>
          <cell r="S2688">
            <v>35.6</v>
          </cell>
          <cell r="T2688">
            <v>10.5</v>
          </cell>
          <cell r="U2688">
            <v>3</v>
          </cell>
        </row>
        <row r="2689">
          <cell r="B2689" t="str">
            <v>Female</v>
          </cell>
          <cell r="F2689">
            <v>20</v>
          </cell>
          <cell r="G2689">
            <v>39.9</v>
          </cell>
          <cell r="H2689">
            <v>10.9</v>
          </cell>
          <cell r="I2689">
            <v>26.7</v>
          </cell>
          <cell r="J2689">
            <v>6</v>
          </cell>
          <cell r="K2689">
            <v>18</v>
          </cell>
          <cell r="L2689">
            <v>80.33</v>
          </cell>
          <cell r="M2689">
            <v>9</v>
          </cell>
          <cell r="N2689">
            <v>65</v>
          </cell>
          <cell r="P2689">
            <v>26</v>
          </cell>
          <cell r="S2689">
            <v>35.6</v>
          </cell>
          <cell r="T2689">
            <v>32.799999999999997</v>
          </cell>
          <cell r="U2689">
            <v>4</v>
          </cell>
        </row>
        <row r="2690">
          <cell r="B2690" t="str">
            <v>Female</v>
          </cell>
          <cell r="F2690">
            <v>15</v>
          </cell>
          <cell r="G2690">
            <v>30.8</v>
          </cell>
          <cell r="H2690">
            <v>8.6</v>
          </cell>
          <cell r="I2690">
            <v>61.6</v>
          </cell>
          <cell r="J2690">
            <v>8</v>
          </cell>
          <cell r="K2690" t="str">
            <v>15.600000000000001</v>
          </cell>
          <cell r="L2690">
            <v>195.78</v>
          </cell>
          <cell r="M2690">
            <v>2</v>
          </cell>
          <cell r="N2690">
            <v>39.479999999999997</v>
          </cell>
          <cell r="O2690">
            <v>4.5</v>
          </cell>
          <cell r="P2690">
            <v>13.8</v>
          </cell>
          <cell r="S2690">
            <v>47.9</v>
          </cell>
          <cell r="T2690">
            <v>23.8</v>
          </cell>
        </row>
        <row r="2691">
          <cell r="B2691" t="str">
            <v>Female</v>
          </cell>
          <cell r="F2691">
            <v>6</v>
          </cell>
          <cell r="G2691">
            <v>22.1</v>
          </cell>
          <cell r="H2691">
            <v>1</v>
          </cell>
          <cell r="I2691">
            <v>71.3</v>
          </cell>
          <cell r="J2691">
            <v>1</v>
          </cell>
          <cell r="K2691">
            <v>7</v>
          </cell>
          <cell r="L2691">
            <v>179.14</v>
          </cell>
          <cell r="M2691">
            <v>8</v>
          </cell>
          <cell r="N2691">
            <v>12.4</v>
          </cell>
          <cell r="O2691">
            <v>9.4</v>
          </cell>
          <cell r="P2691">
            <v>0</v>
          </cell>
          <cell r="S2691">
            <v>0</v>
          </cell>
          <cell r="T2691">
            <v>9.8000000000000007</v>
          </cell>
          <cell r="U2691">
            <v>2</v>
          </cell>
        </row>
        <row r="2692">
          <cell r="B2692" t="str">
            <v>Female</v>
          </cell>
          <cell r="F2692">
            <v>13</v>
          </cell>
          <cell r="G2692">
            <v>37</v>
          </cell>
          <cell r="H2692">
            <v>11.7</v>
          </cell>
          <cell r="I2692">
            <v>62</v>
          </cell>
          <cell r="J2692">
            <v>7</v>
          </cell>
          <cell r="K2692">
            <v>14</v>
          </cell>
          <cell r="L2692">
            <v>110.3</v>
          </cell>
          <cell r="M2692">
            <v>24</v>
          </cell>
          <cell r="N2692">
            <v>45.9</v>
          </cell>
          <cell r="O2692">
            <v>0.7</v>
          </cell>
          <cell r="P2692">
            <v>41.7</v>
          </cell>
          <cell r="S2692">
            <v>50.3</v>
          </cell>
          <cell r="T2692">
            <v>22.3</v>
          </cell>
          <cell r="U2692">
            <v>3</v>
          </cell>
        </row>
        <row r="2693">
          <cell r="B2693" t="str">
            <v>Female</v>
          </cell>
          <cell r="F2693">
            <v>0</v>
          </cell>
          <cell r="G2693">
            <v>15.1</v>
          </cell>
          <cell r="I2693">
            <v>50.4</v>
          </cell>
          <cell r="J2693">
            <v>3</v>
          </cell>
          <cell r="K2693">
            <v>8</v>
          </cell>
          <cell r="L2693">
            <v>97.5</v>
          </cell>
          <cell r="O2693">
            <v>4.5</v>
          </cell>
          <cell r="S2693">
            <v>26.4</v>
          </cell>
          <cell r="T2693">
            <v>19.2</v>
          </cell>
          <cell r="U2693">
            <v>2</v>
          </cell>
        </row>
        <row r="2694">
          <cell r="B2694" t="str">
            <v>Female</v>
          </cell>
          <cell r="F2694">
            <v>14</v>
          </cell>
          <cell r="G2694">
            <v>8.1</v>
          </cell>
          <cell r="H2694">
            <v>2.5</v>
          </cell>
          <cell r="I2694">
            <v>79.599999999999994</v>
          </cell>
          <cell r="J2694">
            <v>0</v>
          </cell>
          <cell r="K2694" t="str">
            <v>7.800000000000001</v>
          </cell>
          <cell r="L2694">
            <v>271.7</v>
          </cell>
          <cell r="M2694">
            <v>10</v>
          </cell>
          <cell r="N2694">
            <v>46.32</v>
          </cell>
          <cell r="O2694">
            <v>8.1999999999999993</v>
          </cell>
          <cell r="P2694">
            <v>8.1</v>
          </cell>
          <cell r="S2694">
            <v>18.100000000000001</v>
          </cell>
          <cell r="T2694">
            <v>7.5</v>
          </cell>
          <cell r="U2694">
            <v>3</v>
          </cell>
        </row>
        <row r="2695">
          <cell r="B2695" t="str">
            <v>Other</v>
          </cell>
          <cell r="F2695">
            <v>0</v>
          </cell>
          <cell r="G2695">
            <v>20.8</v>
          </cell>
          <cell r="H2695">
            <v>4.0999999999999996</v>
          </cell>
          <cell r="I2695">
            <v>83.6</v>
          </cell>
          <cell r="K2695">
            <v>6</v>
          </cell>
          <cell r="L2695">
            <v>164.93</v>
          </cell>
          <cell r="M2695">
            <v>29</v>
          </cell>
          <cell r="O2695">
            <v>12.8</v>
          </cell>
          <cell r="P2695">
            <v>9.6</v>
          </cell>
          <cell r="T2695">
            <v>13.1</v>
          </cell>
          <cell r="U2695">
            <v>2</v>
          </cell>
        </row>
        <row r="2696">
          <cell r="B2696" t="str">
            <v>Female</v>
          </cell>
          <cell r="F2696">
            <v>7</v>
          </cell>
          <cell r="G2696">
            <v>30.3</v>
          </cell>
          <cell r="H2696">
            <v>6.6</v>
          </cell>
          <cell r="I2696">
            <v>59.8</v>
          </cell>
          <cell r="K2696">
            <v>10</v>
          </cell>
          <cell r="L2696">
            <v>99.17</v>
          </cell>
          <cell r="M2696">
            <v>23</v>
          </cell>
          <cell r="N2696">
            <v>24.6</v>
          </cell>
          <cell r="O2696">
            <v>1.7</v>
          </cell>
          <cell r="P2696">
            <v>14.8</v>
          </cell>
          <cell r="S2696">
            <v>32.4</v>
          </cell>
          <cell r="T2696">
            <v>16.7</v>
          </cell>
          <cell r="U2696">
            <v>2</v>
          </cell>
        </row>
        <row r="2697">
          <cell r="B2697" t="str">
            <v>Female</v>
          </cell>
          <cell r="F2697">
            <v>0</v>
          </cell>
          <cell r="G2697">
            <v>16.7</v>
          </cell>
          <cell r="H2697">
            <v>3.6</v>
          </cell>
          <cell r="I2697">
            <v>69.2</v>
          </cell>
          <cell r="J2697">
            <v>1</v>
          </cell>
          <cell r="K2697">
            <v>8</v>
          </cell>
          <cell r="L2697">
            <v>130.83000000000001</v>
          </cell>
          <cell r="M2697">
            <v>43</v>
          </cell>
          <cell r="N2697">
            <v>13.4</v>
          </cell>
          <cell r="O2697">
            <v>6.7</v>
          </cell>
          <cell r="P2697">
            <v>11</v>
          </cell>
          <cell r="T2697">
            <v>2.9</v>
          </cell>
          <cell r="U2697">
            <v>4</v>
          </cell>
        </row>
        <row r="2698">
          <cell r="B2698" t="str">
            <v>Male</v>
          </cell>
          <cell r="F2698">
            <v>15</v>
          </cell>
          <cell r="G2698">
            <v>32.1</v>
          </cell>
          <cell r="H2698">
            <v>12.6</v>
          </cell>
          <cell r="I2698">
            <v>37.9</v>
          </cell>
          <cell r="J2698">
            <v>7</v>
          </cell>
          <cell r="K2698">
            <v>19</v>
          </cell>
          <cell r="L2698">
            <v>75.7</v>
          </cell>
          <cell r="M2698">
            <v>47</v>
          </cell>
          <cell r="N2698">
            <v>44.4</v>
          </cell>
          <cell r="O2698">
            <v>2.2000000000000002</v>
          </cell>
          <cell r="P2698">
            <v>30.6</v>
          </cell>
          <cell r="S2698">
            <v>60.6</v>
          </cell>
          <cell r="U2698">
            <v>4</v>
          </cell>
        </row>
        <row r="2699">
          <cell r="B2699" t="str">
            <v>Male</v>
          </cell>
          <cell r="F2699">
            <v>14</v>
          </cell>
          <cell r="G2699">
            <v>27.4</v>
          </cell>
          <cell r="H2699">
            <v>9.1999999999999993</v>
          </cell>
          <cell r="I2699">
            <v>56.1</v>
          </cell>
          <cell r="J2699">
            <v>6</v>
          </cell>
          <cell r="K2699">
            <v>11</v>
          </cell>
          <cell r="L2699">
            <v>64.17</v>
          </cell>
          <cell r="M2699">
            <v>44</v>
          </cell>
          <cell r="N2699">
            <v>39.700000000000003</v>
          </cell>
          <cell r="O2699">
            <v>15.8</v>
          </cell>
          <cell r="P2699">
            <v>14.3</v>
          </cell>
          <cell r="S2699">
            <v>24.5</v>
          </cell>
          <cell r="T2699">
            <v>15.2</v>
          </cell>
          <cell r="U2699">
            <v>1</v>
          </cell>
        </row>
        <row r="2700">
          <cell r="B2700" t="str">
            <v>Male</v>
          </cell>
          <cell r="F2700">
            <v>9</v>
          </cell>
          <cell r="G2700">
            <v>35.799999999999997</v>
          </cell>
          <cell r="H2700">
            <v>11.1</v>
          </cell>
          <cell r="I2700">
            <v>48</v>
          </cell>
          <cell r="J2700">
            <v>4</v>
          </cell>
          <cell r="K2700">
            <v>13</v>
          </cell>
          <cell r="L2700">
            <v>144.03</v>
          </cell>
          <cell r="M2700">
            <v>87</v>
          </cell>
          <cell r="N2700">
            <v>27.4</v>
          </cell>
          <cell r="O2700">
            <v>7.8</v>
          </cell>
          <cell r="P2700">
            <v>20.399999999999999</v>
          </cell>
          <cell r="S2700">
            <v>13</v>
          </cell>
          <cell r="T2700">
            <v>27</v>
          </cell>
          <cell r="U2700">
            <v>2</v>
          </cell>
        </row>
        <row r="2701">
          <cell r="B2701" t="str">
            <v>Male</v>
          </cell>
          <cell r="F2701">
            <v>16</v>
          </cell>
          <cell r="G2701">
            <v>19.600000000000001</v>
          </cell>
          <cell r="H2701">
            <v>8.8000000000000007</v>
          </cell>
          <cell r="I2701">
            <v>53.7</v>
          </cell>
          <cell r="J2701">
            <v>8</v>
          </cell>
          <cell r="K2701">
            <v>7</v>
          </cell>
          <cell r="L2701">
            <v>148.96</v>
          </cell>
          <cell r="M2701">
            <v>2</v>
          </cell>
          <cell r="N2701">
            <v>43.7</v>
          </cell>
          <cell r="O2701">
            <v>0.7</v>
          </cell>
          <cell r="P2701">
            <v>8.4</v>
          </cell>
          <cell r="S2701">
            <v>56.4</v>
          </cell>
        </row>
        <row r="2702">
          <cell r="B2702" t="str">
            <v>Male</v>
          </cell>
          <cell r="F2702">
            <v>14</v>
          </cell>
          <cell r="H2702">
            <v>6.6</v>
          </cell>
          <cell r="I2702">
            <v>76.8</v>
          </cell>
          <cell r="J2702">
            <v>0</v>
          </cell>
          <cell r="K2702">
            <v>9.1</v>
          </cell>
          <cell r="L2702">
            <v>158.16999999999999</v>
          </cell>
          <cell r="M2702">
            <v>50</v>
          </cell>
          <cell r="N2702" t="str">
            <v>35.879999999999995</v>
          </cell>
          <cell r="O2702">
            <v>3.4</v>
          </cell>
          <cell r="P2702">
            <v>5.0999999999999996</v>
          </cell>
          <cell r="S2702">
            <v>16.3</v>
          </cell>
          <cell r="T2702">
            <v>12.4</v>
          </cell>
          <cell r="U2702">
            <v>1</v>
          </cell>
        </row>
        <row r="2703">
          <cell r="B2703" t="str">
            <v>Male</v>
          </cell>
          <cell r="F2703">
            <v>0</v>
          </cell>
          <cell r="G2703">
            <v>10.5</v>
          </cell>
          <cell r="H2703">
            <v>4.4000000000000004</v>
          </cell>
          <cell r="I2703">
            <v>87</v>
          </cell>
          <cell r="J2703">
            <v>1</v>
          </cell>
          <cell r="K2703">
            <v>5</v>
          </cell>
          <cell r="L2703">
            <v>145.78</v>
          </cell>
          <cell r="M2703">
            <v>8</v>
          </cell>
          <cell r="N2703">
            <v>51.7</v>
          </cell>
          <cell r="O2703">
            <v>1.7</v>
          </cell>
          <cell r="P2703">
            <v>4.7</v>
          </cell>
          <cell r="S2703">
            <v>1.5</v>
          </cell>
          <cell r="T2703">
            <v>12</v>
          </cell>
          <cell r="U2703">
            <v>2</v>
          </cell>
        </row>
        <row r="2704">
          <cell r="B2704" t="str">
            <v>Female</v>
          </cell>
          <cell r="F2704">
            <v>20</v>
          </cell>
          <cell r="G2704">
            <v>35.9</v>
          </cell>
          <cell r="I2704">
            <v>48.1</v>
          </cell>
          <cell r="J2704">
            <v>8</v>
          </cell>
          <cell r="K2704">
            <v>21</v>
          </cell>
          <cell r="L2704">
            <v>67.010000000000005</v>
          </cell>
          <cell r="N2704">
            <v>39.299999999999997</v>
          </cell>
          <cell r="O2704">
            <v>7.3</v>
          </cell>
          <cell r="P2704">
            <v>28.4</v>
          </cell>
          <cell r="S2704">
            <v>17.5</v>
          </cell>
          <cell r="T2704">
            <v>30.3</v>
          </cell>
          <cell r="U2704">
            <v>1</v>
          </cell>
        </row>
        <row r="2705">
          <cell r="B2705" t="str">
            <v>Male</v>
          </cell>
          <cell r="F2705">
            <v>23</v>
          </cell>
          <cell r="G2705">
            <v>26.4</v>
          </cell>
          <cell r="H2705">
            <v>8.6999999999999993</v>
          </cell>
          <cell r="I2705">
            <v>44.4</v>
          </cell>
          <cell r="J2705">
            <v>8</v>
          </cell>
          <cell r="K2705">
            <v>14</v>
          </cell>
          <cell r="L2705">
            <v>203.07</v>
          </cell>
          <cell r="M2705">
            <v>34</v>
          </cell>
          <cell r="N2705">
            <v>93.7</v>
          </cell>
          <cell r="P2705">
            <v>7.7</v>
          </cell>
          <cell r="S2705">
            <v>37.799999999999997</v>
          </cell>
          <cell r="T2705">
            <v>21.3</v>
          </cell>
          <cell r="U2705">
            <v>1</v>
          </cell>
        </row>
        <row r="2706">
          <cell r="B2706" t="str">
            <v>Female</v>
          </cell>
          <cell r="F2706">
            <v>12</v>
          </cell>
          <cell r="G2706">
            <v>32.5</v>
          </cell>
          <cell r="H2706">
            <v>9.3000000000000007</v>
          </cell>
          <cell r="I2706">
            <v>56.7</v>
          </cell>
          <cell r="J2706">
            <v>3</v>
          </cell>
          <cell r="K2706" t="str">
            <v>16.900000000000002</v>
          </cell>
          <cell r="L2706">
            <v>84.77</v>
          </cell>
          <cell r="N2706">
            <v>98.16</v>
          </cell>
          <cell r="P2706">
            <v>23.4</v>
          </cell>
          <cell r="S2706">
            <v>48.7</v>
          </cell>
          <cell r="T2706">
            <v>20</v>
          </cell>
          <cell r="U2706">
            <v>1</v>
          </cell>
        </row>
        <row r="2707">
          <cell r="B2707" t="str">
            <v>Male</v>
          </cell>
          <cell r="F2707">
            <v>5</v>
          </cell>
          <cell r="G2707">
            <v>15.5</v>
          </cell>
          <cell r="H2707">
            <v>7.8</v>
          </cell>
          <cell r="I2707">
            <v>72.099999999999994</v>
          </cell>
          <cell r="J2707">
            <v>2</v>
          </cell>
          <cell r="K2707">
            <v>10</v>
          </cell>
          <cell r="L2707">
            <v>93.34</v>
          </cell>
          <cell r="M2707">
            <v>16</v>
          </cell>
          <cell r="N2707">
            <v>9.6</v>
          </cell>
          <cell r="O2707">
            <v>2.8</v>
          </cell>
          <cell r="P2707">
            <v>11.3</v>
          </cell>
          <cell r="S2707">
            <v>5.8</v>
          </cell>
          <cell r="T2707">
            <v>19.100000000000001</v>
          </cell>
          <cell r="U2707">
            <v>4</v>
          </cell>
        </row>
        <row r="2708">
          <cell r="B2708" t="str">
            <v>Female</v>
          </cell>
          <cell r="F2708">
            <v>4</v>
          </cell>
          <cell r="G2708">
            <v>16.7</v>
          </cell>
          <cell r="H2708">
            <v>5</v>
          </cell>
          <cell r="I2708">
            <v>56</v>
          </cell>
          <cell r="J2708">
            <v>1</v>
          </cell>
          <cell r="K2708">
            <v>6</v>
          </cell>
          <cell r="L2708">
            <v>116.87</v>
          </cell>
          <cell r="M2708">
            <v>34</v>
          </cell>
          <cell r="N2708">
            <v>5.7</v>
          </cell>
          <cell r="O2708">
            <v>14.7</v>
          </cell>
          <cell r="P2708">
            <v>13.9</v>
          </cell>
          <cell r="S2708">
            <v>27.4</v>
          </cell>
          <cell r="T2708">
            <v>9</v>
          </cell>
          <cell r="U2708">
            <v>3</v>
          </cell>
        </row>
        <row r="2709">
          <cell r="B2709" t="str">
            <v>Female</v>
          </cell>
          <cell r="F2709">
            <v>0</v>
          </cell>
          <cell r="G2709">
            <v>27.3</v>
          </cell>
          <cell r="H2709">
            <v>3.2</v>
          </cell>
          <cell r="I2709">
            <v>72.900000000000006</v>
          </cell>
          <cell r="J2709">
            <v>1</v>
          </cell>
          <cell r="K2709">
            <v>10.4</v>
          </cell>
          <cell r="L2709">
            <v>90.93</v>
          </cell>
          <cell r="M2709">
            <v>10</v>
          </cell>
          <cell r="N2709" t="str">
            <v>31.679999999999996</v>
          </cell>
          <cell r="P2709">
            <v>16.899999999999999</v>
          </cell>
          <cell r="U2709">
            <v>2</v>
          </cell>
        </row>
        <row r="2710">
          <cell r="B2710" t="str">
            <v>Female</v>
          </cell>
          <cell r="F2710">
            <v>20</v>
          </cell>
          <cell r="G2710">
            <v>40.5</v>
          </cell>
          <cell r="H2710">
            <v>12</v>
          </cell>
          <cell r="I2710">
            <v>45.7</v>
          </cell>
          <cell r="J2710">
            <v>9</v>
          </cell>
          <cell r="K2710">
            <v>13</v>
          </cell>
          <cell r="L2710">
            <v>206.03</v>
          </cell>
          <cell r="M2710">
            <v>41</v>
          </cell>
          <cell r="O2710">
            <v>5.4</v>
          </cell>
          <cell r="P2710">
            <v>31.6</v>
          </cell>
          <cell r="S2710">
            <v>46.3</v>
          </cell>
          <cell r="T2710">
            <v>26.5</v>
          </cell>
          <cell r="U2710">
            <v>4</v>
          </cell>
        </row>
        <row r="2711">
          <cell r="B2711" t="str">
            <v>Male</v>
          </cell>
          <cell r="F2711">
            <v>4</v>
          </cell>
          <cell r="G2711">
            <v>18</v>
          </cell>
          <cell r="H2711">
            <v>3.4</v>
          </cell>
          <cell r="I2711">
            <v>86.2</v>
          </cell>
          <cell r="J2711">
            <v>2</v>
          </cell>
          <cell r="K2711">
            <v>10.4</v>
          </cell>
          <cell r="L2711">
            <v>76.62</v>
          </cell>
          <cell r="M2711">
            <v>8</v>
          </cell>
          <cell r="N2711">
            <v>35.159999999999997</v>
          </cell>
          <cell r="O2711">
            <v>7.1</v>
          </cell>
          <cell r="P2711">
            <v>0</v>
          </cell>
          <cell r="S2711">
            <v>14.1</v>
          </cell>
          <cell r="T2711">
            <v>12.9</v>
          </cell>
          <cell r="U2711">
            <v>1</v>
          </cell>
        </row>
        <row r="2712">
          <cell r="B2712" t="str">
            <v>Female</v>
          </cell>
          <cell r="F2712">
            <v>5</v>
          </cell>
          <cell r="H2712">
            <v>7.2</v>
          </cell>
          <cell r="I2712">
            <v>75.599999999999994</v>
          </cell>
          <cell r="J2712">
            <v>3</v>
          </cell>
          <cell r="K2712">
            <v>10.4</v>
          </cell>
          <cell r="L2712">
            <v>111.93</v>
          </cell>
          <cell r="M2712">
            <v>38</v>
          </cell>
          <cell r="N2712">
            <v>53.64</v>
          </cell>
          <cell r="O2712">
            <v>4.5999999999999996</v>
          </cell>
          <cell r="P2712">
            <v>14.7</v>
          </cell>
          <cell r="S2712">
            <v>45</v>
          </cell>
          <cell r="T2712">
            <v>15.7</v>
          </cell>
          <cell r="U2712">
            <v>3</v>
          </cell>
        </row>
        <row r="2713">
          <cell r="B2713" t="str">
            <v>Male</v>
          </cell>
          <cell r="F2713">
            <v>21</v>
          </cell>
          <cell r="G2713">
            <v>30.1</v>
          </cell>
          <cell r="H2713">
            <v>8.3000000000000007</v>
          </cell>
          <cell r="I2713">
            <v>73.099999999999994</v>
          </cell>
          <cell r="J2713">
            <v>3</v>
          </cell>
          <cell r="K2713">
            <v>13</v>
          </cell>
          <cell r="L2713">
            <v>87.08</v>
          </cell>
          <cell r="M2713">
            <v>35</v>
          </cell>
          <cell r="N2713">
            <v>11.9</v>
          </cell>
          <cell r="O2713">
            <v>1.7</v>
          </cell>
          <cell r="P2713">
            <v>22.3</v>
          </cell>
          <cell r="S2713">
            <v>41.4</v>
          </cell>
          <cell r="T2713">
            <v>21.4</v>
          </cell>
          <cell r="U2713">
            <v>1</v>
          </cell>
        </row>
        <row r="2714">
          <cell r="B2714" t="str">
            <v>Female</v>
          </cell>
          <cell r="F2714">
            <v>23</v>
          </cell>
          <cell r="G2714">
            <v>49.2</v>
          </cell>
          <cell r="H2714">
            <v>14.2</v>
          </cell>
          <cell r="I2714">
            <v>9.3000000000000007</v>
          </cell>
          <cell r="J2714">
            <v>11</v>
          </cell>
          <cell r="K2714">
            <v>19</v>
          </cell>
          <cell r="L2714">
            <v>48.63</v>
          </cell>
          <cell r="M2714">
            <v>18</v>
          </cell>
          <cell r="N2714">
            <v>16.7</v>
          </cell>
          <cell r="O2714">
            <v>10.199999999999999</v>
          </cell>
          <cell r="P2714">
            <v>39.700000000000003</v>
          </cell>
          <cell r="S2714">
            <v>81.900000000000006</v>
          </cell>
          <cell r="T2714">
            <v>44.1</v>
          </cell>
          <cell r="U2714">
            <v>2</v>
          </cell>
        </row>
        <row r="2715">
          <cell r="B2715" t="str">
            <v>Male</v>
          </cell>
          <cell r="F2715">
            <v>10</v>
          </cell>
          <cell r="G2715">
            <v>21.6</v>
          </cell>
          <cell r="H2715">
            <v>3.8</v>
          </cell>
          <cell r="I2715">
            <v>65.8</v>
          </cell>
          <cell r="J2715">
            <v>0</v>
          </cell>
          <cell r="K2715">
            <v>17</v>
          </cell>
          <cell r="L2715">
            <v>108.6</v>
          </cell>
          <cell r="M2715">
            <v>3</v>
          </cell>
          <cell r="N2715">
            <v>35</v>
          </cell>
          <cell r="O2715">
            <v>5.2</v>
          </cell>
          <cell r="P2715">
            <v>11.5</v>
          </cell>
          <cell r="S2715">
            <v>11.3</v>
          </cell>
          <cell r="T2715">
            <v>14.8</v>
          </cell>
          <cell r="U2715">
            <v>1</v>
          </cell>
        </row>
        <row r="2716">
          <cell r="B2716" t="str">
            <v>Male</v>
          </cell>
          <cell r="F2716">
            <v>13</v>
          </cell>
          <cell r="G2716">
            <v>24.7</v>
          </cell>
          <cell r="H2716">
            <v>8</v>
          </cell>
          <cell r="I2716">
            <v>55.6</v>
          </cell>
          <cell r="J2716">
            <v>1</v>
          </cell>
          <cell r="K2716">
            <v>10.4</v>
          </cell>
          <cell r="L2716">
            <v>114.46</v>
          </cell>
          <cell r="M2716">
            <v>17</v>
          </cell>
          <cell r="N2716">
            <v>45.48</v>
          </cell>
          <cell r="O2716">
            <v>7.7</v>
          </cell>
          <cell r="P2716">
            <v>16.3</v>
          </cell>
          <cell r="T2716">
            <v>25.2</v>
          </cell>
          <cell r="U2716">
            <v>2</v>
          </cell>
        </row>
        <row r="2717">
          <cell r="B2717" t="str">
            <v>Male</v>
          </cell>
          <cell r="F2717">
            <v>8</v>
          </cell>
          <cell r="G2717">
            <v>15.6</v>
          </cell>
          <cell r="H2717">
            <v>5.9</v>
          </cell>
          <cell r="I2717">
            <v>75.599999999999994</v>
          </cell>
          <cell r="J2717">
            <v>7</v>
          </cell>
          <cell r="K2717">
            <v>7</v>
          </cell>
          <cell r="L2717">
            <v>73.09</v>
          </cell>
          <cell r="N2717">
            <v>28.9</v>
          </cell>
          <cell r="O2717">
            <v>7.7</v>
          </cell>
          <cell r="P2717">
            <v>0.7</v>
          </cell>
          <cell r="S2717">
            <v>24.8</v>
          </cell>
          <cell r="T2717">
            <v>9.1</v>
          </cell>
          <cell r="U2717">
            <v>2</v>
          </cell>
        </row>
        <row r="2718">
          <cell r="B2718" t="str">
            <v>Male</v>
          </cell>
          <cell r="F2718">
            <v>10</v>
          </cell>
          <cell r="G2718">
            <v>21.3</v>
          </cell>
          <cell r="H2718">
            <v>7.6</v>
          </cell>
          <cell r="I2718">
            <v>53.3</v>
          </cell>
          <cell r="J2718">
            <v>1</v>
          </cell>
          <cell r="K2718">
            <v>14</v>
          </cell>
          <cell r="L2718">
            <v>152.68</v>
          </cell>
          <cell r="M2718">
            <v>28</v>
          </cell>
          <cell r="N2718">
            <v>36.6</v>
          </cell>
          <cell r="O2718">
            <v>3.6</v>
          </cell>
          <cell r="P2718">
            <v>6.4</v>
          </cell>
          <cell r="T2718">
            <v>19.600000000000001</v>
          </cell>
          <cell r="U2718">
            <v>2</v>
          </cell>
        </row>
        <row r="2719">
          <cell r="B2719" t="str">
            <v>Male</v>
          </cell>
          <cell r="F2719">
            <v>24</v>
          </cell>
          <cell r="G2719">
            <v>38.5</v>
          </cell>
          <cell r="H2719">
            <v>9.5</v>
          </cell>
          <cell r="I2719">
            <v>28.6</v>
          </cell>
          <cell r="J2719">
            <v>9</v>
          </cell>
          <cell r="K2719">
            <v>32</v>
          </cell>
          <cell r="L2719">
            <v>121.76</v>
          </cell>
          <cell r="M2719">
            <v>77</v>
          </cell>
          <cell r="N2719">
            <v>74.8</v>
          </cell>
          <cell r="O2719">
            <v>1.5</v>
          </cell>
          <cell r="P2719">
            <v>30.7</v>
          </cell>
          <cell r="S2719">
            <v>44.7</v>
          </cell>
          <cell r="T2719">
            <v>25.3</v>
          </cell>
          <cell r="U2719">
            <v>1</v>
          </cell>
        </row>
        <row r="2720">
          <cell r="B2720" t="str">
            <v>Female</v>
          </cell>
          <cell r="F2720">
            <v>4</v>
          </cell>
          <cell r="G2720">
            <v>19.7</v>
          </cell>
          <cell r="H2720">
            <v>4.7</v>
          </cell>
          <cell r="I2720">
            <v>79.8</v>
          </cell>
          <cell r="J2720">
            <v>3</v>
          </cell>
          <cell r="K2720">
            <v>7</v>
          </cell>
          <cell r="L2720">
            <v>77.040000000000006</v>
          </cell>
          <cell r="M2720">
            <v>31</v>
          </cell>
          <cell r="N2720">
            <v>47.9</v>
          </cell>
          <cell r="O2720">
            <v>11</v>
          </cell>
          <cell r="P2720">
            <v>29.5</v>
          </cell>
          <cell r="S2720">
            <v>0.4</v>
          </cell>
          <cell r="T2720">
            <v>8.8000000000000007</v>
          </cell>
          <cell r="U2720">
            <v>1</v>
          </cell>
        </row>
        <row r="2721">
          <cell r="B2721" t="str">
            <v>Male</v>
          </cell>
          <cell r="F2721">
            <v>9</v>
          </cell>
          <cell r="G2721">
            <v>16.3</v>
          </cell>
          <cell r="H2721">
            <v>5.9</v>
          </cell>
          <cell r="I2721">
            <v>68.8</v>
          </cell>
          <cell r="J2721">
            <v>3</v>
          </cell>
          <cell r="K2721">
            <v>8</v>
          </cell>
          <cell r="L2721">
            <v>133.46</v>
          </cell>
          <cell r="M2721">
            <v>9</v>
          </cell>
          <cell r="N2721">
            <v>41.1</v>
          </cell>
          <cell r="O2721">
            <v>4.5999999999999996</v>
          </cell>
          <cell r="S2721">
            <v>28.2</v>
          </cell>
          <cell r="T2721">
            <v>17.3</v>
          </cell>
          <cell r="U2721">
            <v>3</v>
          </cell>
        </row>
        <row r="2722">
          <cell r="B2722" t="str">
            <v>Female</v>
          </cell>
          <cell r="F2722">
            <v>11</v>
          </cell>
          <cell r="G2722">
            <v>33.799999999999997</v>
          </cell>
          <cell r="H2722">
            <v>9.1</v>
          </cell>
          <cell r="I2722">
            <v>57.6</v>
          </cell>
          <cell r="K2722">
            <v>13</v>
          </cell>
          <cell r="L2722">
            <v>130.33000000000001</v>
          </cell>
          <cell r="M2722">
            <v>26</v>
          </cell>
          <cell r="N2722" t="str">
            <v>53.879999999999995</v>
          </cell>
          <cell r="O2722">
            <v>2.2000000000000002</v>
          </cell>
          <cell r="P2722">
            <v>31.3</v>
          </cell>
          <cell r="S2722">
            <v>14.8</v>
          </cell>
          <cell r="T2722">
            <v>12.8</v>
          </cell>
          <cell r="U2722">
            <v>2</v>
          </cell>
        </row>
        <row r="2723">
          <cell r="B2723" t="str">
            <v>Male</v>
          </cell>
          <cell r="F2723">
            <v>3</v>
          </cell>
          <cell r="G2723">
            <v>31.9</v>
          </cell>
          <cell r="H2723">
            <v>7.2</v>
          </cell>
          <cell r="I2723">
            <v>90.8</v>
          </cell>
          <cell r="J2723">
            <v>4</v>
          </cell>
          <cell r="K2723">
            <v>20.8</v>
          </cell>
          <cell r="L2723">
            <v>46.55</v>
          </cell>
          <cell r="N2723">
            <v>75.84</v>
          </cell>
          <cell r="T2723">
            <v>21.8</v>
          </cell>
          <cell r="U2723">
            <v>2</v>
          </cell>
        </row>
        <row r="2724">
          <cell r="B2724" t="str">
            <v>Male</v>
          </cell>
          <cell r="F2724">
            <v>10</v>
          </cell>
          <cell r="G2724">
            <v>35.1</v>
          </cell>
          <cell r="H2724">
            <v>3.8</v>
          </cell>
          <cell r="I2724">
            <v>58.9</v>
          </cell>
          <cell r="J2724">
            <v>6</v>
          </cell>
          <cell r="K2724">
            <v>10</v>
          </cell>
          <cell r="L2724">
            <v>113.06</v>
          </cell>
          <cell r="M2724">
            <v>37</v>
          </cell>
          <cell r="N2724">
            <v>76.8</v>
          </cell>
          <cell r="O2724">
            <v>5.6</v>
          </cell>
          <cell r="P2724">
            <v>16.399999999999999</v>
          </cell>
          <cell r="S2724">
            <v>32.1</v>
          </cell>
          <cell r="T2724">
            <v>19</v>
          </cell>
          <cell r="U2724">
            <v>2</v>
          </cell>
        </row>
        <row r="2725">
          <cell r="B2725" t="str">
            <v>Male</v>
          </cell>
          <cell r="F2725">
            <v>24</v>
          </cell>
          <cell r="G2725">
            <v>39.6</v>
          </cell>
          <cell r="I2725">
            <v>49.3</v>
          </cell>
          <cell r="J2725">
            <v>5</v>
          </cell>
          <cell r="K2725">
            <v>18</v>
          </cell>
          <cell r="L2725">
            <v>69.33</v>
          </cell>
          <cell r="M2725">
            <v>54</v>
          </cell>
          <cell r="N2725">
            <v>27.2</v>
          </cell>
          <cell r="P2725">
            <v>8.1</v>
          </cell>
          <cell r="S2725">
            <v>22.1</v>
          </cell>
          <cell r="T2725">
            <v>31.1</v>
          </cell>
          <cell r="U2725">
            <v>2</v>
          </cell>
        </row>
        <row r="2726">
          <cell r="B2726" t="str">
            <v>Male</v>
          </cell>
          <cell r="F2726">
            <v>6</v>
          </cell>
          <cell r="G2726">
            <v>35</v>
          </cell>
          <cell r="H2726">
            <v>10.199999999999999</v>
          </cell>
          <cell r="I2726">
            <v>50.1</v>
          </cell>
          <cell r="J2726">
            <v>4</v>
          </cell>
          <cell r="K2726">
            <v>23</v>
          </cell>
          <cell r="L2726">
            <v>107.39</v>
          </cell>
          <cell r="M2726">
            <v>23</v>
          </cell>
          <cell r="N2726">
            <v>31.8</v>
          </cell>
          <cell r="O2726">
            <v>6</v>
          </cell>
          <cell r="P2726">
            <v>11.8</v>
          </cell>
          <cell r="T2726">
            <v>31.2</v>
          </cell>
          <cell r="U2726">
            <v>3</v>
          </cell>
        </row>
        <row r="2727">
          <cell r="B2727" t="str">
            <v>Female</v>
          </cell>
          <cell r="F2727">
            <v>4</v>
          </cell>
          <cell r="G2727">
            <v>23.8</v>
          </cell>
          <cell r="H2727">
            <v>7.1</v>
          </cell>
          <cell r="I2727">
            <v>56.3</v>
          </cell>
          <cell r="J2727">
            <v>6</v>
          </cell>
          <cell r="K2727">
            <v>12</v>
          </cell>
          <cell r="L2727">
            <v>100.25</v>
          </cell>
          <cell r="M2727">
            <v>17</v>
          </cell>
          <cell r="N2727">
            <v>15.7</v>
          </cell>
          <cell r="O2727">
            <v>8.9</v>
          </cell>
          <cell r="P2727">
            <v>12.4</v>
          </cell>
          <cell r="S2727">
            <v>17.8</v>
          </cell>
          <cell r="T2727">
            <v>9.1</v>
          </cell>
          <cell r="U2727">
            <v>2</v>
          </cell>
        </row>
        <row r="2728">
          <cell r="B2728" t="str">
            <v>Female</v>
          </cell>
          <cell r="F2728">
            <v>16</v>
          </cell>
          <cell r="G2728">
            <v>42.8</v>
          </cell>
          <cell r="H2728">
            <v>8.8000000000000007</v>
          </cell>
          <cell r="I2728">
            <v>63</v>
          </cell>
          <cell r="J2728">
            <v>2</v>
          </cell>
          <cell r="K2728">
            <v>18.2</v>
          </cell>
          <cell r="L2728">
            <v>70.66</v>
          </cell>
          <cell r="M2728">
            <v>19</v>
          </cell>
          <cell r="N2728">
            <v>18.48</v>
          </cell>
          <cell r="O2728">
            <v>19.5</v>
          </cell>
          <cell r="P2728">
            <v>16.7</v>
          </cell>
          <cell r="S2728">
            <v>0</v>
          </cell>
          <cell r="T2728">
            <v>18.399999999999999</v>
          </cell>
          <cell r="U2728">
            <v>2</v>
          </cell>
        </row>
        <row r="2729">
          <cell r="B2729" t="str">
            <v>Male</v>
          </cell>
          <cell r="F2729">
            <v>30</v>
          </cell>
          <cell r="G2729">
            <v>47.4</v>
          </cell>
          <cell r="H2729">
            <v>15.8</v>
          </cell>
          <cell r="I2729">
            <v>25.9</v>
          </cell>
          <cell r="J2729">
            <v>7</v>
          </cell>
          <cell r="K2729">
            <v>18</v>
          </cell>
          <cell r="L2729">
            <v>89.09</v>
          </cell>
          <cell r="M2729">
            <v>49</v>
          </cell>
          <cell r="N2729">
            <v>26.5</v>
          </cell>
          <cell r="O2729">
            <v>3.4</v>
          </cell>
          <cell r="P2729">
            <v>27.6</v>
          </cell>
          <cell r="S2729">
            <v>60.2</v>
          </cell>
          <cell r="T2729">
            <v>28.6</v>
          </cell>
          <cell r="U2729">
            <v>2</v>
          </cell>
        </row>
        <row r="2730">
          <cell r="B2730" t="str">
            <v>Female</v>
          </cell>
          <cell r="F2730">
            <v>1</v>
          </cell>
          <cell r="G2730">
            <v>24.4</v>
          </cell>
          <cell r="H2730">
            <v>7.7</v>
          </cell>
          <cell r="I2730">
            <v>68.900000000000006</v>
          </cell>
          <cell r="J2730">
            <v>4</v>
          </cell>
          <cell r="K2730">
            <v>10</v>
          </cell>
          <cell r="L2730">
            <v>132.63</v>
          </cell>
          <cell r="M2730">
            <v>8</v>
          </cell>
          <cell r="N2730">
            <v>32.299999999999997</v>
          </cell>
          <cell r="O2730">
            <v>2.9</v>
          </cell>
          <cell r="P2730">
            <v>9.4</v>
          </cell>
          <cell r="S2730">
            <v>36.200000000000003</v>
          </cell>
          <cell r="T2730">
            <v>26.3</v>
          </cell>
          <cell r="U2730">
            <v>2</v>
          </cell>
        </row>
        <row r="2731">
          <cell r="B2731" t="str">
            <v>Female</v>
          </cell>
          <cell r="F2731">
            <v>18</v>
          </cell>
          <cell r="G2731">
            <v>21.8</v>
          </cell>
          <cell r="H2731">
            <v>11.5</v>
          </cell>
          <cell r="I2731">
            <v>55.4</v>
          </cell>
          <cell r="J2731">
            <v>6</v>
          </cell>
          <cell r="K2731">
            <v>11</v>
          </cell>
          <cell r="L2731">
            <v>152.97999999999999</v>
          </cell>
          <cell r="M2731">
            <v>11</v>
          </cell>
          <cell r="N2731">
            <v>40.299999999999997</v>
          </cell>
          <cell r="O2731">
            <v>5.4</v>
          </cell>
          <cell r="P2731">
            <v>28.4</v>
          </cell>
          <cell r="S2731">
            <v>18.100000000000001</v>
          </cell>
          <cell r="T2731">
            <v>16.600000000000001</v>
          </cell>
          <cell r="U2731">
            <v>2</v>
          </cell>
        </row>
        <row r="2732">
          <cell r="B2732" t="str">
            <v>Male</v>
          </cell>
          <cell r="F2732">
            <v>16</v>
          </cell>
          <cell r="H2732">
            <v>11</v>
          </cell>
          <cell r="I2732">
            <v>70.900000000000006</v>
          </cell>
          <cell r="K2732">
            <v>8</v>
          </cell>
          <cell r="L2732">
            <v>78.7</v>
          </cell>
          <cell r="M2732">
            <v>4</v>
          </cell>
          <cell r="N2732">
            <v>34.299999999999997</v>
          </cell>
          <cell r="O2732">
            <v>0.3</v>
          </cell>
          <cell r="P2732">
            <v>9</v>
          </cell>
          <cell r="S2732">
            <v>0</v>
          </cell>
          <cell r="T2732">
            <v>23.8</v>
          </cell>
          <cell r="U2732">
            <v>1</v>
          </cell>
        </row>
        <row r="2733">
          <cell r="B2733" t="str">
            <v>Male</v>
          </cell>
          <cell r="F2733">
            <v>22</v>
          </cell>
          <cell r="G2733">
            <v>46.5</v>
          </cell>
          <cell r="H2733">
            <v>12.6</v>
          </cell>
          <cell r="I2733">
            <v>11</v>
          </cell>
          <cell r="J2733">
            <v>5</v>
          </cell>
          <cell r="K2733">
            <v>18</v>
          </cell>
          <cell r="L2733">
            <v>207.41</v>
          </cell>
          <cell r="M2733">
            <v>9</v>
          </cell>
          <cell r="N2733">
            <v>60.5</v>
          </cell>
          <cell r="O2733">
            <v>3.1</v>
          </cell>
          <cell r="P2733">
            <v>39.5</v>
          </cell>
          <cell r="S2733">
            <v>69.8</v>
          </cell>
          <cell r="U2733">
            <v>2</v>
          </cell>
        </row>
        <row r="2734">
          <cell r="B2734" t="str">
            <v>Female</v>
          </cell>
          <cell r="F2734">
            <v>0</v>
          </cell>
          <cell r="H2734">
            <v>4.8</v>
          </cell>
          <cell r="I2734">
            <v>83.8</v>
          </cell>
          <cell r="J2734">
            <v>1</v>
          </cell>
          <cell r="K2734">
            <v>1.3</v>
          </cell>
          <cell r="L2734">
            <v>106.81</v>
          </cell>
          <cell r="M2734">
            <v>49</v>
          </cell>
          <cell r="N2734">
            <v>91.2</v>
          </cell>
          <cell r="O2734">
            <v>5.6</v>
          </cell>
          <cell r="P2734">
            <v>14.8</v>
          </cell>
          <cell r="S2734">
            <v>0</v>
          </cell>
          <cell r="T2734">
            <v>4.9000000000000004</v>
          </cell>
          <cell r="U2734">
            <v>1</v>
          </cell>
        </row>
        <row r="2735">
          <cell r="B2735" t="str">
            <v>Female</v>
          </cell>
          <cell r="F2735">
            <v>7</v>
          </cell>
          <cell r="G2735">
            <v>24.7</v>
          </cell>
          <cell r="H2735">
            <v>5.3</v>
          </cell>
          <cell r="I2735">
            <v>52.4</v>
          </cell>
          <cell r="J2735">
            <v>1</v>
          </cell>
          <cell r="K2735">
            <v>10</v>
          </cell>
          <cell r="L2735">
            <v>132.83000000000001</v>
          </cell>
          <cell r="M2735">
            <v>17</v>
          </cell>
          <cell r="N2735">
            <v>23.9</v>
          </cell>
          <cell r="O2735">
            <v>0.8</v>
          </cell>
          <cell r="P2735">
            <v>0</v>
          </cell>
          <cell r="T2735">
            <v>21.7</v>
          </cell>
          <cell r="U2735">
            <v>3</v>
          </cell>
        </row>
        <row r="2736">
          <cell r="B2736" t="str">
            <v>Male</v>
          </cell>
          <cell r="F2736">
            <v>3</v>
          </cell>
          <cell r="G2736">
            <v>21.9</v>
          </cell>
          <cell r="H2736">
            <v>4.7</v>
          </cell>
          <cell r="I2736">
            <v>63.5</v>
          </cell>
          <cell r="J2736">
            <v>2</v>
          </cell>
          <cell r="K2736" t="str">
            <v>7.800000000000001</v>
          </cell>
          <cell r="L2736">
            <v>158.28</v>
          </cell>
          <cell r="N2736">
            <v>83.04</v>
          </cell>
          <cell r="O2736">
            <v>10.199999999999999</v>
          </cell>
          <cell r="P2736">
            <v>21</v>
          </cell>
          <cell r="S2736">
            <v>4.7</v>
          </cell>
          <cell r="T2736">
            <v>3.3</v>
          </cell>
          <cell r="U2736">
            <v>1</v>
          </cell>
        </row>
        <row r="2737">
          <cell r="B2737" t="str">
            <v>Female</v>
          </cell>
          <cell r="F2737">
            <v>5</v>
          </cell>
          <cell r="G2737">
            <v>31</v>
          </cell>
          <cell r="H2737">
            <v>13.4</v>
          </cell>
          <cell r="I2737">
            <v>49.3</v>
          </cell>
          <cell r="J2737">
            <v>4</v>
          </cell>
          <cell r="K2737">
            <v>12</v>
          </cell>
          <cell r="L2737">
            <v>244.74</v>
          </cell>
          <cell r="M2737">
            <v>11</v>
          </cell>
          <cell r="N2737">
            <v>16.7</v>
          </cell>
          <cell r="O2737">
            <v>7.9</v>
          </cell>
          <cell r="P2737">
            <v>24.6</v>
          </cell>
          <cell r="S2737">
            <v>38.700000000000003</v>
          </cell>
          <cell r="T2737">
            <v>15.1</v>
          </cell>
          <cell r="U2737">
            <v>3</v>
          </cell>
        </row>
        <row r="2738">
          <cell r="B2738" t="str">
            <v>Female</v>
          </cell>
          <cell r="F2738">
            <v>8</v>
          </cell>
          <cell r="G2738">
            <v>33.1</v>
          </cell>
          <cell r="H2738">
            <v>10.199999999999999</v>
          </cell>
          <cell r="I2738">
            <v>58.5</v>
          </cell>
          <cell r="J2738">
            <v>4</v>
          </cell>
          <cell r="K2738">
            <v>8</v>
          </cell>
          <cell r="L2738">
            <v>88.67</v>
          </cell>
          <cell r="M2738">
            <v>5</v>
          </cell>
          <cell r="N2738">
            <v>40.5</v>
          </cell>
          <cell r="O2738">
            <v>2.8</v>
          </cell>
          <cell r="P2738">
            <v>0</v>
          </cell>
          <cell r="S2738">
            <v>28.9</v>
          </cell>
          <cell r="T2738">
            <v>12</v>
          </cell>
          <cell r="U2738">
            <v>4</v>
          </cell>
        </row>
        <row r="2739">
          <cell r="B2739" t="str">
            <v>Male</v>
          </cell>
          <cell r="F2739">
            <v>14</v>
          </cell>
          <cell r="G2739">
            <v>37.700000000000003</v>
          </cell>
          <cell r="H2739">
            <v>10.7</v>
          </cell>
          <cell r="I2739">
            <v>50.5</v>
          </cell>
          <cell r="J2739">
            <v>6</v>
          </cell>
          <cell r="K2739">
            <v>20</v>
          </cell>
          <cell r="L2739">
            <v>94.81</v>
          </cell>
          <cell r="M2739">
            <v>18</v>
          </cell>
          <cell r="N2739">
            <v>58.8</v>
          </cell>
          <cell r="O2739">
            <v>3.5</v>
          </cell>
          <cell r="P2739">
            <v>20.9</v>
          </cell>
          <cell r="S2739">
            <v>36.9</v>
          </cell>
          <cell r="T2739">
            <v>31.1</v>
          </cell>
          <cell r="U2739">
            <v>3</v>
          </cell>
        </row>
        <row r="2740">
          <cell r="B2740" t="str">
            <v>Male</v>
          </cell>
          <cell r="F2740">
            <v>19</v>
          </cell>
          <cell r="G2740">
            <v>42.7</v>
          </cell>
          <cell r="H2740">
            <v>12.6</v>
          </cell>
          <cell r="I2740">
            <v>55.9</v>
          </cell>
          <cell r="J2740">
            <v>4</v>
          </cell>
          <cell r="K2740">
            <v>13</v>
          </cell>
          <cell r="L2740">
            <v>120.95</v>
          </cell>
          <cell r="M2740">
            <v>47</v>
          </cell>
          <cell r="N2740">
            <v>8.1</v>
          </cell>
          <cell r="O2740">
            <v>0.9</v>
          </cell>
          <cell r="P2740">
            <v>28.1</v>
          </cell>
          <cell r="T2740">
            <v>19.899999999999999</v>
          </cell>
          <cell r="U2740">
            <v>1</v>
          </cell>
        </row>
        <row r="2741">
          <cell r="B2741" t="str">
            <v>Male</v>
          </cell>
          <cell r="F2741">
            <v>10</v>
          </cell>
          <cell r="G2741">
            <v>14.8</v>
          </cell>
          <cell r="H2741">
            <v>6.9</v>
          </cell>
          <cell r="I2741">
            <v>71.599999999999994</v>
          </cell>
          <cell r="J2741">
            <v>3</v>
          </cell>
          <cell r="K2741">
            <v>13</v>
          </cell>
          <cell r="L2741">
            <v>126.35</v>
          </cell>
          <cell r="M2741">
            <v>27</v>
          </cell>
          <cell r="N2741">
            <v>62.5</v>
          </cell>
          <cell r="O2741">
            <v>5</v>
          </cell>
          <cell r="P2741">
            <v>0</v>
          </cell>
          <cell r="S2741">
            <v>30</v>
          </cell>
          <cell r="T2741">
            <v>17</v>
          </cell>
          <cell r="U2741">
            <v>4</v>
          </cell>
        </row>
        <row r="2742">
          <cell r="B2742" t="str">
            <v>Female</v>
          </cell>
          <cell r="F2742">
            <v>6</v>
          </cell>
          <cell r="G2742">
            <v>32.4</v>
          </cell>
          <cell r="H2742">
            <v>8</v>
          </cell>
          <cell r="I2742">
            <v>66.099999999999994</v>
          </cell>
          <cell r="J2742">
            <v>2</v>
          </cell>
          <cell r="K2742">
            <v>15</v>
          </cell>
          <cell r="L2742">
            <v>95.23</v>
          </cell>
          <cell r="M2742">
            <v>51</v>
          </cell>
          <cell r="N2742">
            <v>24.4</v>
          </cell>
          <cell r="O2742">
            <v>8.9</v>
          </cell>
          <cell r="S2742">
            <v>26.9</v>
          </cell>
          <cell r="T2742">
            <v>20.6</v>
          </cell>
          <cell r="U2742">
            <v>2</v>
          </cell>
        </row>
        <row r="2743">
          <cell r="B2743" t="str">
            <v>Male</v>
          </cell>
          <cell r="F2743">
            <v>10</v>
          </cell>
          <cell r="G2743">
            <v>24.5</v>
          </cell>
          <cell r="H2743">
            <v>7.6</v>
          </cell>
          <cell r="I2743">
            <v>72.599999999999994</v>
          </cell>
          <cell r="J2743">
            <v>4</v>
          </cell>
          <cell r="K2743">
            <v>11</v>
          </cell>
          <cell r="L2743">
            <v>83.51</v>
          </cell>
          <cell r="M2743">
            <v>11</v>
          </cell>
          <cell r="N2743">
            <v>38.4</v>
          </cell>
          <cell r="O2743">
            <v>7.5</v>
          </cell>
          <cell r="P2743">
            <v>16.600000000000001</v>
          </cell>
          <cell r="S2743">
            <v>15.8</v>
          </cell>
          <cell r="T2743">
            <v>3.4</v>
          </cell>
          <cell r="U2743">
            <v>3</v>
          </cell>
        </row>
        <row r="2744">
          <cell r="B2744" t="str">
            <v>Female</v>
          </cell>
          <cell r="F2744">
            <v>20</v>
          </cell>
          <cell r="G2744">
            <v>29.2</v>
          </cell>
          <cell r="H2744">
            <v>9.1</v>
          </cell>
          <cell r="I2744">
            <v>56.9</v>
          </cell>
          <cell r="J2744">
            <v>5</v>
          </cell>
          <cell r="K2744">
            <v>19</v>
          </cell>
          <cell r="L2744">
            <v>137.80000000000001</v>
          </cell>
          <cell r="M2744">
            <v>6</v>
          </cell>
          <cell r="N2744">
            <v>47</v>
          </cell>
          <cell r="O2744">
            <v>6.7</v>
          </cell>
          <cell r="P2744">
            <v>41.2</v>
          </cell>
          <cell r="U2744">
            <v>2</v>
          </cell>
        </row>
        <row r="2745">
          <cell r="B2745" t="str">
            <v>Male</v>
          </cell>
          <cell r="F2745">
            <v>8</v>
          </cell>
          <cell r="G2745">
            <v>9.5</v>
          </cell>
          <cell r="H2745">
            <v>5.5</v>
          </cell>
          <cell r="I2745">
            <v>58.6</v>
          </cell>
          <cell r="J2745">
            <v>6</v>
          </cell>
          <cell r="K2745">
            <v>13</v>
          </cell>
          <cell r="L2745">
            <v>129.94</v>
          </cell>
          <cell r="M2745">
            <v>24</v>
          </cell>
          <cell r="N2745">
            <v>54.24</v>
          </cell>
          <cell r="O2745">
            <v>5.5</v>
          </cell>
          <cell r="S2745">
            <v>15.7</v>
          </cell>
          <cell r="U2745">
            <v>3</v>
          </cell>
        </row>
        <row r="2746">
          <cell r="B2746" t="str">
            <v>Male</v>
          </cell>
          <cell r="F2746">
            <v>8</v>
          </cell>
          <cell r="G2746">
            <v>25.4</v>
          </cell>
          <cell r="H2746">
            <v>10.4</v>
          </cell>
          <cell r="I2746">
            <v>75.7</v>
          </cell>
          <cell r="J2746">
            <v>5</v>
          </cell>
          <cell r="K2746">
            <v>6</v>
          </cell>
          <cell r="L2746">
            <v>80.8</v>
          </cell>
          <cell r="M2746">
            <v>26</v>
          </cell>
          <cell r="N2746">
            <v>55.1</v>
          </cell>
          <cell r="O2746">
            <v>8</v>
          </cell>
          <cell r="P2746">
            <v>21.7</v>
          </cell>
          <cell r="S2746">
            <v>0</v>
          </cell>
          <cell r="U2746">
            <v>1</v>
          </cell>
        </row>
        <row r="2747">
          <cell r="B2747" t="str">
            <v>Female</v>
          </cell>
          <cell r="F2747">
            <v>26</v>
          </cell>
          <cell r="G2747">
            <v>47.9</v>
          </cell>
          <cell r="H2747">
            <v>17.3</v>
          </cell>
          <cell r="I2747">
            <v>40.5</v>
          </cell>
          <cell r="J2747">
            <v>4</v>
          </cell>
          <cell r="K2747">
            <v>20</v>
          </cell>
          <cell r="L2747">
            <v>208.38</v>
          </cell>
          <cell r="M2747">
            <v>15</v>
          </cell>
          <cell r="N2747">
            <v>29.5</v>
          </cell>
          <cell r="O2747">
            <v>3.9</v>
          </cell>
          <cell r="P2747">
            <v>45</v>
          </cell>
          <cell r="S2747">
            <v>77.8</v>
          </cell>
          <cell r="T2747">
            <v>31.2</v>
          </cell>
          <cell r="U2747">
            <v>1</v>
          </cell>
        </row>
        <row r="2748">
          <cell r="B2748" t="str">
            <v>Male</v>
          </cell>
          <cell r="F2748">
            <v>8</v>
          </cell>
          <cell r="G2748">
            <v>44</v>
          </cell>
          <cell r="H2748">
            <v>10.5</v>
          </cell>
          <cell r="I2748">
            <v>58.3</v>
          </cell>
          <cell r="J2748">
            <v>5</v>
          </cell>
          <cell r="K2748" t="str">
            <v>16.900000000000002</v>
          </cell>
          <cell r="L2748">
            <v>55.33</v>
          </cell>
          <cell r="M2748">
            <v>75</v>
          </cell>
          <cell r="N2748">
            <v>24.84</v>
          </cell>
          <cell r="O2748">
            <v>3.8</v>
          </cell>
          <cell r="P2748">
            <v>24.8</v>
          </cell>
          <cell r="S2748">
            <v>24.1</v>
          </cell>
          <cell r="T2748">
            <v>21.4</v>
          </cell>
          <cell r="U2748">
            <v>2</v>
          </cell>
        </row>
        <row r="2749">
          <cell r="B2749" t="str">
            <v>Female</v>
          </cell>
          <cell r="F2749">
            <v>21</v>
          </cell>
          <cell r="G2749">
            <v>31.1</v>
          </cell>
          <cell r="H2749">
            <v>5.5</v>
          </cell>
          <cell r="I2749">
            <v>72.3</v>
          </cell>
          <cell r="J2749">
            <v>7</v>
          </cell>
          <cell r="K2749" t="str">
            <v>80.60000000000001</v>
          </cell>
          <cell r="L2749">
            <v>71.84</v>
          </cell>
          <cell r="M2749">
            <v>12</v>
          </cell>
          <cell r="N2749">
            <v>36.72</v>
          </cell>
          <cell r="O2749" t="str">
            <v>96.40147082483136</v>
          </cell>
          <cell r="P2749">
            <v>1.9</v>
          </cell>
          <cell r="S2749">
            <v>37.1</v>
          </cell>
          <cell r="T2749">
            <v>27.7</v>
          </cell>
          <cell r="U2749">
            <v>2</v>
          </cell>
        </row>
        <row r="2750">
          <cell r="B2750" t="str">
            <v>Female</v>
          </cell>
          <cell r="F2750">
            <v>12</v>
          </cell>
          <cell r="G2750">
            <v>22.2</v>
          </cell>
          <cell r="H2750">
            <v>1.9</v>
          </cell>
          <cell r="I2750">
            <v>55.2</v>
          </cell>
          <cell r="J2750">
            <v>3</v>
          </cell>
          <cell r="K2750">
            <v>5</v>
          </cell>
          <cell r="L2750">
            <v>142.44999999999999</v>
          </cell>
          <cell r="M2750">
            <v>26</v>
          </cell>
          <cell r="N2750">
            <v>26.2</v>
          </cell>
          <cell r="O2750">
            <v>3.6</v>
          </cell>
          <cell r="P2750">
            <v>3.3</v>
          </cell>
          <cell r="S2750">
            <v>31.6</v>
          </cell>
          <cell r="T2750">
            <v>7.4</v>
          </cell>
          <cell r="U2750">
            <v>2</v>
          </cell>
        </row>
        <row r="2751">
          <cell r="B2751" t="str">
            <v>Male</v>
          </cell>
          <cell r="F2751">
            <v>11</v>
          </cell>
          <cell r="G2751">
            <v>13.9</v>
          </cell>
          <cell r="H2751">
            <v>8.3000000000000007</v>
          </cell>
          <cell r="I2751">
            <v>44.8</v>
          </cell>
          <cell r="J2751">
            <v>3</v>
          </cell>
          <cell r="K2751" t="str">
            <v>16.900000000000002</v>
          </cell>
          <cell r="L2751">
            <v>171.08</v>
          </cell>
          <cell r="N2751" t="str">
            <v>72.47999999999999</v>
          </cell>
          <cell r="O2751">
            <v>1.3</v>
          </cell>
          <cell r="P2751">
            <v>6.1</v>
          </cell>
          <cell r="T2751">
            <v>12.7</v>
          </cell>
          <cell r="U2751">
            <v>2</v>
          </cell>
        </row>
        <row r="2752">
          <cell r="B2752" t="str">
            <v>Female</v>
          </cell>
          <cell r="F2752">
            <v>17</v>
          </cell>
          <cell r="G2752">
            <v>38</v>
          </cell>
          <cell r="H2752">
            <v>10.9</v>
          </cell>
          <cell r="I2752">
            <v>29.2</v>
          </cell>
          <cell r="J2752">
            <v>6</v>
          </cell>
          <cell r="K2752">
            <v>13</v>
          </cell>
          <cell r="L2752">
            <v>112.08</v>
          </cell>
          <cell r="M2752">
            <v>69</v>
          </cell>
          <cell r="N2752">
            <v>72.900000000000006</v>
          </cell>
          <cell r="O2752">
            <v>12</v>
          </cell>
          <cell r="P2752">
            <v>30.8</v>
          </cell>
          <cell r="S2752">
            <v>33.1</v>
          </cell>
          <cell r="U2752">
            <v>3</v>
          </cell>
        </row>
        <row r="2753">
          <cell r="B2753" t="str">
            <v>Male</v>
          </cell>
          <cell r="F2753">
            <v>0</v>
          </cell>
          <cell r="G2753">
            <v>25.3</v>
          </cell>
          <cell r="H2753">
            <v>7.3</v>
          </cell>
          <cell r="I2753">
            <v>56.3</v>
          </cell>
          <cell r="J2753">
            <v>1</v>
          </cell>
          <cell r="K2753">
            <v>9</v>
          </cell>
          <cell r="L2753">
            <v>116.32</v>
          </cell>
          <cell r="M2753">
            <v>2</v>
          </cell>
          <cell r="N2753">
            <v>30.4</v>
          </cell>
          <cell r="O2753">
            <v>6</v>
          </cell>
          <cell r="P2753">
            <v>11.1</v>
          </cell>
          <cell r="S2753">
            <v>15.5</v>
          </cell>
          <cell r="U2753">
            <v>2</v>
          </cell>
        </row>
        <row r="2754">
          <cell r="B2754" t="str">
            <v>Female</v>
          </cell>
          <cell r="F2754">
            <v>18</v>
          </cell>
          <cell r="G2754">
            <v>26.6</v>
          </cell>
          <cell r="H2754">
            <v>13.1</v>
          </cell>
          <cell r="I2754">
            <v>64.099999999999994</v>
          </cell>
          <cell r="J2754">
            <v>1</v>
          </cell>
          <cell r="K2754">
            <v>11</v>
          </cell>
          <cell r="L2754">
            <v>87.16</v>
          </cell>
          <cell r="N2754">
            <v>22.9</v>
          </cell>
          <cell r="O2754">
            <v>8.3000000000000007</v>
          </cell>
          <cell r="P2754">
            <v>45.4</v>
          </cell>
          <cell r="T2754">
            <v>23</v>
          </cell>
          <cell r="U2754">
            <v>1</v>
          </cell>
        </row>
        <row r="2755">
          <cell r="B2755" t="str">
            <v>Male</v>
          </cell>
          <cell r="F2755">
            <v>9</v>
          </cell>
          <cell r="G2755">
            <v>30.6</v>
          </cell>
          <cell r="H2755">
            <v>5.8</v>
          </cell>
          <cell r="I2755">
            <v>45</v>
          </cell>
          <cell r="J2755">
            <v>11</v>
          </cell>
          <cell r="K2755">
            <v>11</v>
          </cell>
          <cell r="L2755">
            <v>97.45</v>
          </cell>
          <cell r="M2755">
            <v>24</v>
          </cell>
          <cell r="N2755">
            <v>49.3</v>
          </cell>
          <cell r="O2755">
            <v>2.8</v>
          </cell>
          <cell r="P2755">
            <v>14</v>
          </cell>
          <cell r="S2755">
            <v>30.1</v>
          </cell>
          <cell r="T2755">
            <v>20.6</v>
          </cell>
          <cell r="U2755">
            <v>3</v>
          </cell>
        </row>
        <row r="2756">
          <cell r="B2756" t="str">
            <v>Male</v>
          </cell>
          <cell r="F2756">
            <v>2</v>
          </cell>
          <cell r="G2756">
            <v>23.6</v>
          </cell>
          <cell r="H2756">
            <v>5</v>
          </cell>
          <cell r="I2756">
            <v>78.400000000000006</v>
          </cell>
          <cell r="J2756">
            <v>5</v>
          </cell>
          <cell r="K2756">
            <v>9.1</v>
          </cell>
          <cell r="L2756">
            <v>84.69</v>
          </cell>
          <cell r="M2756">
            <v>123</v>
          </cell>
          <cell r="N2756" t="str">
            <v>78.71999999999998</v>
          </cell>
          <cell r="O2756">
            <v>1.5</v>
          </cell>
          <cell r="S2756">
            <v>23.1</v>
          </cell>
          <cell r="T2756">
            <v>7.6</v>
          </cell>
          <cell r="U2756">
            <v>2</v>
          </cell>
        </row>
        <row r="2757">
          <cell r="B2757" t="str">
            <v>Female</v>
          </cell>
          <cell r="F2757">
            <v>5</v>
          </cell>
          <cell r="G2757">
            <v>20.6</v>
          </cell>
          <cell r="H2757">
            <v>8.6</v>
          </cell>
          <cell r="I2757">
            <v>62.1</v>
          </cell>
          <cell r="J2757">
            <v>3</v>
          </cell>
          <cell r="K2757">
            <v>14</v>
          </cell>
          <cell r="L2757">
            <v>68.010000000000005</v>
          </cell>
          <cell r="M2757">
            <v>14</v>
          </cell>
          <cell r="O2757">
            <v>2.9</v>
          </cell>
          <cell r="S2757">
            <v>36.700000000000003</v>
          </cell>
          <cell r="T2757">
            <v>23.7</v>
          </cell>
          <cell r="U2757">
            <v>1</v>
          </cell>
        </row>
        <row r="2758">
          <cell r="B2758" t="str">
            <v>Female</v>
          </cell>
          <cell r="F2758">
            <v>12</v>
          </cell>
          <cell r="G2758">
            <v>22.3</v>
          </cell>
          <cell r="H2758">
            <v>4.7</v>
          </cell>
          <cell r="I2758">
            <v>55.4</v>
          </cell>
          <cell r="J2758">
            <v>2</v>
          </cell>
          <cell r="K2758">
            <v>5</v>
          </cell>
          <cell r="L2758">
            <v>164.8</v>
          </cell>
          <cell r="M2758">
            <v>55</v>
          </cell>
          <cell r="P2758">
            <v>7.8</v>
          </cell>
          <cell r="S2758">
            <v>0.2</v>
          </cell>
          <cell r="T2758">
            <v>9.6999999999999993</v>
          </cell>
          <cell r="U2758">
            <v>2</v>
          </cell>
        </row>
        <row r="2759">
          <cell r="B2759" t="str">
            <v>Male</v>
          </cell>
          <cell r="F2759">
            <v>18</v>
          </cell>
          <cell r="G2759">
            <v>33.299999999999997</v>
          </cell>
          <cell r="H2759">
            <v>12.2</v>
          </cell>
          <cell r="I2759">
            <v>43.9</v>
          </cell>
          <cell r="K2759">
            <v>16</v>
          </cell>
          <cell r="L2759">
            <v>117.08</v>
          </cell>
          <cell r="M2759">
            <v>34</v>
          </cell>
          <cell r="N2759">
            <v>45.9</v>
          </cell>
          <cell r="O2759">
            <v>8</v>
          </cell>
          <cell r="P2759">
            <v>21.4</v>
          </cell>
          <cell r="S2759">
            <v>39.4</v>
          </cell>
          <cell r="T2759">
            <v>31.2</v>
          </cell>
          <cell r="U2759">
            <v>1</v>
          </cell>
        </row>
        <row r="2760">
          <cell r="B2760" t="str">
            <v>Female</v>
          </cell>
          <cell r="F2760">
            <v>7</v>
          </cell>
          <cell r="G2760">
            <v>13.1</v>
          </cell>
          <cell r="H2760">
            <v>1.5</v>
          </cell>
          <cell r="I2760">
            <v>59.8</v>
          </cell>
          <cell r="J2760">
            <v>2</v>
          </cell>
          <cell r="K2760">
            <v>7</v>
          </cell>
          <cell r="L2760">
            <v>266.05</v>
          </cell>
          <cell r="M2760">
            <v>0</v>
          </cell>
          <cell r="N2760">
            <v>74.900000000000006</v>
          </cell>
          <cell r="O2760">
            <v>13.7</v>
          </cell>
          <cell r="P2760">
            <v>8.1999999999999993</v>
          </cell>
          <cell r="S2760">
            <v>0</v>
          </cell>
          <cell r="T2760">
            <v>6.5</v>
          </cell>
          <cell r="U2760">
            <v>4</v>
          </cell>
        </row>
        <row r="2761">
          <cell r="B2761" t="str">
            <v>Male</v>
          </cell>
          <cell r="F2761">
            <v>19</v>
          </cell>
          <cell r="G2761">
            <v>23.8</v>
          </cell>
          <cell r="H2761">
            <v>7.5</v>
          </cell>
          <cell r="I2761">
            <v>43.8</v>
          </cell>
          <cell r="J2761">
            <v>6</v>
          </cell>
          <cell r="K2761">
            <v>16</v>
          </cell>
          <cell r="L2761">
            <v>138.63</v>
          </cell>
          <cell r="M2761">
            <v>133</v>
          </cell>
          <cell r="N2761">
            <v>52.1</v>
          </cell>
          <cell r="O2761">
            <v>6.6</v>
          </cell>
          <cell r="P2761">
            <v>26.6</v>
          </cell>
          <cell r="S2761">
            <v>30.7</v>
          </cell>
          <cell r="T2761">
            <v>25.4</v>
          </cell>
          <cell r="U2761">
            <v>5</v>
          </cell>
        </row>
        <row r="2762">
          <cell r="B2762" t="str">
            <v>Male</v>
          </cell>
          <cell r="F2762">
            <v>6</v>
          </cell>
          <cell r="G2762">
            <v>20.2</v>
          </cell>
          <cell r="I2762">
            <v>64.400000000000006</v>
          </cell>
          <cell r="J2762">
            <v>0</v>
          </cell>
          <cell r="K2762">
            <v>4</v>
          </cell>
          <cell r="L2762">
            <v>150.66999999999999</v>
          </cell>
          <cell r="N2762">
            <v>5.9</v>
          </cell>
          <cell r="O2762">
            <v>1.6</v>
          </cell>
          <cell r="P2762">
            <v>0</v>
          </cell>
          <cell r="S2762">
            <v>27.8</v>
          </cell>
          <cell r="T2762">
            <v>3.3</v>
          </cell>
          <cell r="U2762">
            <v>1</v>
          </cell>
        </row>
        <row r="2763">
          <cell r="B2763" t="str">
            <v>Female</v>
          </cell>
          <cell r="F2763">
            <v>5</v>
          </cell>
          <cell r="G2763">
            <v>14</v>
          </cell>
          <cell r="H2763">
            <v>3.9</v>
          </cell>
          <cell r="I2763">
            <v>46.1</v>
          </cell>
          <cell r="J2763">
            <v>2</v>
          </cell>
          <cell r="K2763">
            <v>5</v>
          </cell>
          <cell r="L2763">
            <v>63.4</v>
          </cell>
          <cell r="M2763">
            <v>70</v>
          </cell>
          <cell r="N2763">
            <v>53.3</v>
          </cell>
          <cell r="O2763">
            <v>6.1</v>
          </cell>
          <cell r="S2763">
            <v>46.3</v>
          </cell>
          <cell r="T2763">
            <v>5.7</v>
          </cell>
          <cell r="U2763">
            <v>2</v>
          </cell>
        </row>
        <row r="2764">
          <cell r="B2764" t="str">
            <v>Female</v>
          </cell>
          <cell r="F2764">
            <v>22</v>
          </cell>
          <cell r="G2764">
            <v>39.6</v>
          </cell>
          <cell r="H2764">
            <v>14</v>
          </cell>
          <cell r="I2764">
            <v>43.1</v>
          </cell>
          <cell r="J2764">
            <v>6</v>
          </cell>
          <cell r="K2764">
            <v>16</v>
          </cell>
          <cell r="L2764">
            <v>181.98</v>
          </cell>
          <cell r="M2764">
            <v>71</v>
          </cell>
          <cell r="N2764">
            <v>42.5</v>
          </cell>
          <cell r="P2764">
            <v>25.5</v>
          </cell>
          <cell r="S2764">
            <v>45.8</v>
          </cell>
          <cell r="T2764">
            <v>31.2</v>
          </cell>
          <cell r="U2764">
            <v>2</v>
          </cell>
        </row>
        <row r="2765">
          <cell r="B2765" t="str">
            <v>Male</v>
          </cell>
          <cell r="F2765">
            <v>21</v>
          </cell>
          <cell r="G2765">
            <v>35.1</v>
          </cell>
          <cell r="H2765">
            <v>13.4</v>
          </cell>
          <cell r="I2765">
            <v>35.9</v>
          </cell>
          <cell r="J2765">
            <v>6</v>
          </cell>
          <cell r="K2765">
            <v>16</v>
          </cell>
          <cell r="L2765">
            <v>93.87</v>
          </cell>
          <cell r="M2765">
            <v>83</v>
          </cell>
          <cell r="N2765">
            <v>63.5</v>
          </cell>
          <cell r="O2765">
            <v>5.0999999999999996</v>
          </cell>
          <cell r="P2765">
            <v>28.5</v>
          </cell>
          <cell r="S2765">
            <v>44</v>
          </cell>
          <cell r="T2765">
            <v>25.7</v>
          </cell>
          <cell r="U2765">
            <v>3</v>
          </cell>
        </row>
        <row r="2766">
          <cell r="B2766" t="str">
            <v>Male</v>
          </cell>
          <cell r="F2766">
            <v>11</v>
          </cell>
          <cell r="H2766">
            <v>4</v>
          </cell>
          <cell r="I2766">
            <v>68.7</v>
          </cell>
          <cell r="J2766">
            <v>1</v>
          </cell>
          <cell r="K2766">
            <v>7</v>
          </cell>
          <cell r="L2766">
            <v>116.49</v>
          </cell>
          <cell r="M2766">
            <v>58</v>
          </cell>
          <cell r="N2766">
            <v>16.899999999999999</v>
          </cell>
          <cell r="O2766">
            <v>5.8</v>
          </cell>
          <cell r="P2766">
            <v>13.3</v>
          </cell>
          <cell r="S2766">
            <v>3.4</v>
          </cell>
          <cell r="T2766">
            <v>11.2</v>
          </cell>
          <cell r="U2766">
            <v>3</v>
          </cell>
        </row>
        <row r="2767">
          <cell r="B2767" t="str">
            <v>Male</v>
          </cell>
          <cell r="F2767">
            <v>8</v>
          </cell>
          <cell r="G2767">
            <v>24.9</v>
          </cell>
          <cell r="H2767">
            <v>5.8</v>
          </cell>
          <cell r="I2767">
            <v>61.3</v>
          </cell>
          <cell r="J2767">
            <v>5</v>
          </cell>
          <cell r="K2767">
            <v>10</v>
          </cell>
          <cell r="L2767">
            <v>119.46</v>
          </cell>
          <cell r="M2767">
            <v>23</v>
          </cell>
          <cell r="N2767">
            <v>33</v>
          </cell>
          <cell r="O2767">
            <v>4.7</v>
          </cell>
          <cell r="P2767">
            <v>23.2</v>
          </cell>
          <cell r="S2767">
            <v>1.3</v>
          </cell>
          <cell r="T2767">
            <v>16.899999999999999</v>
          </cell>
          <cell r="U2767">
            <v>3</v>
          </cell>
        </row>
        <row r="2768">
          <cell r="B2768" t="str">
            <v>Female</v>
          </cell>
          <cell r="F2768">
            <v>21</v>
          </cell>
          <cell r="G2768">
            <v>48.2</v>
          </cell>
          <cell r="H2768">
            <v>16</v>
          </cell>
          <cell r="I2768">
            <v>24.7</v>
          </cell>
          <cell r="J2768">
            <v>10</v>
          </cell>
          <cell r="K2768">
            <v>17</v>
          </cell>
          <cell r="L2768">
            <v>134.72999999999999</v>
          </cell>
          <cell r="M2768">
            <v>10</v>
          </cell>
          <cell r="N2768">
            <v>72.8</v>
          </cell>
          <cell r="O2768">
            <v>6.5</v>
          </cell>
          <cell r="P2768">
            <v>46.4</v>
          </cell>
          <cell r="S2768">
            <v>61.5</v>
          </cell>
          <cell r="T2768">
            <v>29.7</v>
          </cell>
          <cell r="U2768">
            <v>2</v>
          </cell>
        </row>
        <row r="2769">
          <cell r="B2769" t="str">
            <v>Female</v>
          </cell>
          <cell r="F2769">
            <v>13</v>
          </cell>
          <cell r="G2769">
            <v>33.1</v>
          </cell>
          <cell r="H2769">
            <v>11</v>
          </cell>
          <cell r="I2769">
            <v>36.299999999999997</v>
          </cell>
          <cell r="J2769">
            <v>7</v>
          </cell>
          <cell r="K2769">
            <v>20.8</v>
          </cell>
          <cell r="L2769">
            <v>34.869999999999997</v>
          </cell>
          <cell r="M2769">
            <v>91</v>
          </cell>
          <cell r="N2769">
            <v>54.72</v>
          </cell>
          <cell r="O2769">
            <v>14.2</v>
          </cell>
          <cell r="P2769">
            <v>10.5</v>
          </cell>
          <cell r="T2769">
            <v>25.8</v>
          </cell>
          <cell r="U2769">
            <v>3</v>
          </cell>
        </row>
        <row r="2770">
          <cell r="B2770" t="str">
            <v>Female</v>
          </cell>
          <cell r="F2770">
            <v>11</v>
          </cell>
          <cell r="G2770">
            <v>15.3</v>
          </cell>
          <cell r="H2770">
            <v>4.7</v>
          </cell>
          <cell r="I2770">
            <v>63.9</v>
          </cell>
          <cell r="J2770">
            <v>0</v>
          </cell>
          <cell r="K2770">
            <v>6</v>
          </cell>
          <cell r="L2770">
            <v>76.64</v>
          </cell>
          <cell r="N2770">
            <v>48.3</v>
          </cell>
          <cell r="O2770">
            <v>1.2</v>
          </cell>
          <cell r="P2770">
            <v>4.2</v>
          </cell>
          <cell r="S2770">
            <v>3</v>
          </cell>
          <cell r="T2770">
            <v>11.3</v>
          </cell>
          <cell r="U2770">
            <v>4</v>
          </cell>
        </row>
        <row r="2771">
          <cell r="B2771" t="str">
            <v>Male</v>
          </cell>
          <cell r="F2771">
            <v>19</v>
          </cell>
          <cell r="H2771">
            <v>8.9</v>
          </cell>
          <cell r="I2771">
            <v>67.599999999999994</v>
          </cell>
          <cell r="J2771">
            <v>4</v>
          </cell>
          <cell r="K2771">
            <v>14.3</v>
          </cell>
          <cell r="L2771">
            <v>73.61</v>
          </cell>
          <cell r="M2771">
            <v>7</v>
          </cell>
          <cell r="N2771">
            <v>47.52</v>
          </cell>
          <cell r="O2771">
            <v>1.1000000000000001</v>
          </cell>
          <cell r="P2771">
            <v>13.7</v>
          </cell>
          <cell r="S2771">
            <v>36.799999999999997</v>
          </cell>
          <cell r="T2771">
            <v>17.899999999999999</v>
          </cell>
          <cell r="U2771">
            <v>1</v>
          </cell>
        </row>
        <row r="2772">
          <cell r="B2772" t="str">
            <v>Male</v>
          </cell>
          <cell r="F2772">
            <v>16</v>
          </cell>
          <cell r="G2772">
            <v>30.3</v>
          </cell>
          <cell r="H2772">
            <v>8.3000000000000007</v>
          </cell>
          <cell r="I2772">
            <v>53.5</v>
          </cell>
          <cell r="J2772">
            <v>5</v>
          </cell>
          <cell r="K2772" t="str">
            <v>23.400000000000002</v>
          </cell>
          <cell r="L2772">
            <v>97.13</v>
          </cell>
          <cell r="M2772">
            <v>10</v>
          </cell>
          <cell r="N2772">
            <v>79.680000000000007</v>
          </cell>
          <cell r="O2772">
            <v>4.7</v>
          </cell>
          <cell r="P2772">
            <v>46.8</v>
          </cell>
          <cell r="S2772">
            <v>20</v>
          </cell>
          <cell r="T2772">
            <v>16.5</v>
          </cell>
          <cell r="U2772">
            <v>4</v>
          </cell>
        </row>
        <row r="2773">
          <cell r="B2773" t="str">
            <v>Female</v>
          </cell>
          <cell r="F2773">
            <v>19</v>
          </cell>
          <cell r="G2773">
            <v>40.700000000000003</v>
          </cell>
          <cell r="H2773">
            <v>11.2</v>
          </cell>
          <cell r="I2773">
            <v>39.9</v>
          </cell>
          <cell r="J2773">
            <v>8</v>
          </cell>
          <cell r="K2773">
            <v>18</v>
          </cell>
          <cell r="L2773">
            <v>163.87</v>
          </cell>
          <cell r="M2773">
            <v>80</v>
          </cell>
          <cell r="N2773">
            <v>63.8</v>
          </cell>
          <cell r="O2773">
            <v>3.5</v>
          </cell>
          <cell r="P2773">
            <v>46.8</v>
          </cell>
          <cell r="S2773">
            <v>58.5</v>
          </cell>
          <cell r="U2773">
            <v>1</v>
          </cell>
        </row>
        <row r="2774">
          <cell r="B2774" t="str">
            <v>Male</v>
          </cell>
          <cell r="F2774">
            <v>3</v>
          </cell>
          <cell r="G2774">
            <v>2.6</v>
          </cell>
          <cell r="H2774">
            <v>7.2</v>
          </cell>
          <cell r="I2774">
            <v>70.900000000000006</v>
          </cell>
          <cell r="J2774">
            <v>0</v>
          </cell>
          <cell r="K2774">
            <v>5.2</v>
          </cell>
          <cell r="L2774">
            <v>165.08</v>
          </cell>
          <cell r="M2774">
            <v>44</v>
          </cell>
          <cell r="N2774" t="str">
            <v>56.279999999999994</v>
          </cell>
          <cell r="O2774">
            <v>2.2000000000000002</v>
          </cell>
          <cell r="P2774">
            <v>0.9</v>
          </cell>
          <cell r="S2774">
            <v>0</v>
          </cell>
          <cell r="T2774">
            <v>0</v>
          </cell>
          <cell r="U2774">
            <v>1</v>
          </cell>
        </row>
        <row r="2775">
          <cell r="B2775" t="str">
            <v>Male</v>
          </cell>
          <cell r="F2775">
            <v>13</v>
          </cell>
          <cell r="G2775">
            <v>32.4</v>
          </cell>
          <cell r="I2775">
            <v>38.299999999999997</v>
          </cell>
          <cell r="J2775">
            <v>4</v>
          </cell>
          <cell r="K2775">
            <v>13</v>
          </cell>
          <cell r="L2775">
            <v>135.76</v>
          </cell>
          <cell r="M2775">
            <v>29</v>
          </cell>
          <cell r="N2775">
            <v>63.5</v>
          </cell>
          <cell r="O2775">
            <v>20.7</v>
          </cell>
          <cell r="P2775">
            <v>25.6</v>
          </cell>
          <cell r="S2775">
            <v>34.4</v>
          </cell>
          <cell r="T2775">
            <v>23.8</v>
          </cell>
          <cell r="U2775">
            <v>1</v>
          </cell>
        </row>
        <row r="2776">
          <cell r="B2776" t="str">
            <v>Male</v>
          </cell>
          <cell r="F2776">
            <v>25</v>
          </cell>
          <cell r="G2776">
            <v>47</v>
          </cell>
          <cell r="H2776">
            <v>13.1</v>
          </cell>
          <cell r="I2776">
            <v>24.8</v>
          </cell>
          <cell r="J2776">
            <v>11</v>
          </cell>
          <cell r="K2776">
            <v>24.7</v>
          </cell>
          <cell r="L2776">
            <v>210.9</v>
          </cell>
          <cell r="M2776">
            <v>13</v>
          </cell>
          <cell r="N2776">
            <v>10.199999999999999</v>
          </cell>
          <cell r="O2776">
            <v>3.7</v>
          </cell>
          <cell r="P2776">
            <v>36.799999999999997</v>
          </cell>
          <cell r="S2776">
            <v>66.400000000000006</v>
          </cell>
          <cell r="U2776">
            <v>2</v>
          </cell>
        </row>
        <row r="2777">
          <cell r="B2777" t="str">
            <v>Female</v>
          </cell>
          <cell r="F2777">
            <v>16</v>
          </cell>
          <cell r="G2777">
            <v>26</v>
          </cell>
          <cell r="H2777">
            <v>12.1</v>
          </cell>
          <cell r="I2777">
            <v>50</v>
          </cell>
          <cell r="J2777">
            <v>10</v>
          </cell>
          <cell r="K2777">
            <v>15</v>
          </cell>
          <cell r="L2777">
            <v>81.5</v>
          </cell>
          <cell r="M2777">
            <v>39</v>
          </cell>
          <cell r="N2777">
            <v>36.9</v>
          </cell>
          <cell r="O2777">
            <v>10.8</v>
          </cell>
          <cell r="P2777">
            <v>14.3</v>
          </cell>
          <cell r="S2777">
            <v>28.1</v>
          </cell>
          <cell r="T2777">
            <v>17</v>
          </cell>
          <cell r="U2777">
            <v>5</v>
          </cell>
        </row>
        <row r="2778">
          <cell r="B2778" t="str">
            <v>Female</v>
          </cell>
          <cell r="F2778">
            <v>3</v>
          </cell>
          <cell r="G2778">
            <v>33.799999999999997</v>
          </cell>
          <cell r="H2778">
            <v>6.2</v>
          </cell>
          <cell r="I2778">
            <v>64.7</v>
          </cell>
          <cell r="J2778">
            <v>4</v>
          </cell>
          <cell r="K2778">
            <v>19</v>
          </cell>
          <cell r="L2778">
            <v>88.21</v>
          </cell>
          <cell r="M2778">
            <v>2</v>
          </cell>
          <cell r="N2778">
            <v>28</v>
          </cell>
          <cell r="P2778">
            <v>7.4</v>
          </cell>
          <cell r="S2778">
            <v>24</v>
          </cell>
          <cell r="T2778">
            <v>20</v>
          </cell>
          <cell r="U2778">
            <v>3</v>
          </cell>
        </row>
        <row r="2779">
          <cell r="B2779" t="str">
            <v>Female</v>
          </cell>
          <cell r="F2779">
            <v>15</v>
          </cell>
          <cell r="G2779">
            <v>26.5</v>
          </cell>
          <cell r="H2779">
            <v>10.4</v>
          </cell>
          <cell r="I2779">
            <v>33.5</v>
          </cell>
          <cell r="J2779">
            <v>5</v>
          </cell>
          <cell r="K2779">
            <v>12</v>
          </cell>
          <cell r="L2779">
            <v>162.37</v>
          </cell>
          <cell r="M2779">
            <v>12</v>
          </cell>
          <cell r="N2779">
            <v>32.1</v>
          </cell>
          <cell r="P2779">
            <v>0</v>
          </cell>
          <cell r="S2779">
            <v>50.5</v>
          </cell>
          <cell r="U2779">
            <v>3</v>
          </cell>
        </row>
        <row r="2780">
          <cell r="B2780" t="str">
            <v>Female</v>
          </cell>
          <cell r="F2780">
            <v>24</v>
          </cell>
          <cell r="H2780">
            <v>9.5</v>
          </cell>
          <cell r="I2780">
            <v>60.7</v>
          </cell>
          <cell r="J2780">
            <v>7</v>
          </cell>
          <cell r="K2780" t="str">
            <v>16.900000000000002</v>
          </cell>
          <cell r="L2780">
            <v>154.75</v>
          </cell>
          <cell r="M2780">
            <v>11</v>
          </cell>
          <cell r="O2780">
            <v>5.9</v>
          </cell>
          <cell r="P2780">
            <v>14</v>
          </cell>
          <cell r="S2780">
            <v>21.5</v>
          </cell>
          <cell r="T2780">
            <v>29.3</v>
          </cell>
          <cell r="U2780">
            <v>1</v>
          </cell>
        </row>
        <row r="2781">
          <cell r="B2781" t="str">
            <v>Female</v>
          </cell>
          <cell r="F2781">
            <v>29</v>
          </cell>
          <cell r="G2781">
            <v>52</v>
          </cell>
          <cell r="H2781">
            <v>13.5</v>
          </cell>
          <cell r="I2781">
            <v>41.2</v>
          </cell>
          <cell r="K2781">
            <v>22</v>
          </cell>
          <cell r="L2781">
            <v>163</v>
          </cell>
          <cell r="M2781">
            <v>80</v>
          </cell>
          <cell r="N2781">
            <v>61.6</v>
          </cell>
          <cell r="O2781">
            <v>9.6</v>
          </cell>
          <cell r="P2781">
            <v>58.8</v>
          </cell>
          <cell r="S2781">
            <v>80</v>
          </cell>
          <cell r="T2781">
            <v>45</v>
          </cell>
        </row>
        <row r="2782">
          <cell r="B2782" t="str">
            <v>Female</v>
          </cell>
          <cell r="F2782">
            <v>6</v>
          </cell>
          <cell r="G2782">
            <v>23</v>
          </cell>
          <cell r="H2782">
            <v>3.4</v>
          </cell>
          <cell r="I2782">
            <v>76.900000000000006</v>
          </cell>
          <cell r="J2782">
            <v>0</v>
          </cell>
          <cell r="K2782">
            <v>2</v>
          </cell>
          <cell r="L2782">
            <v>85</v>
          </cell>
          <cell r="M2782">
            <v>3</v>
          </cell>
          <cell r="N2782">
            <v>45.7</v>
          </cell>
          <cell r="O2782">
            <v>1.9</v>
          </cell>
          <cell r="P2782">
            <v>0.9</v>
          </cell>
          <cell r="S2782">
            <v>15.3</v>
          </cell>
          <cell r="T2782">
            <v>10.5</v>
          </cell>
          <cell r="U2782">
            <v>2</v>
          </cell>
        </row>
        <row r="2783">
          <cell r="B2783" t="str">
            <v>Male</v>
          </cell>
          <cell r="F2783">
            <v>0</v>
          </cell>
          <cell r="G2783">
            <v>25.7</v>
          </cell>
          <cell r="H2783">
            <v>8.6999999999999993</v>
          </cell>
          <cell r="I2783">
            <v>66.599999999999994</v>
          </cell>
          <cell r="J2783">
            <v>4</v>
          </cell>
          <cell r="K2783">
            <v>11</v>
          </cell>
          <cell r="L2783">
            <v>88.9</v>
          </cell>
          <cell r="N2783">
            <v>3.7</v>
          </cell>
          <cell r="O2783">
            <v>13.3</v>
          </cell>
          <cell r="P2783">
            <v>34.700000000000003</v>
          </cell>
          <cell r="S2783">
            <v>24.7</v>
          </cell>
          <cell r="T2783">
            <v>19.899999999999999</v>
          </cell>
          <cell r="U2783">
            <v>3</v>
          </cell>
        </row>
        <row r="2784">
          <cell r="B2784" t="str">
            <v>Male</v>
          </cell>
          <cell r="F2784">
            <v>22</v>
          </cell>
          <cell r="G2784">
            <v>31</v>
          </cell>
          <cell r="H2784">
            <v>14.3</v>
          </cell>
          <cell r="I2784">
            <v>51</v>
          </cell>
          <cell r="J2784">
            <v>6</v>
          </cell>
          <cell r="K2784">
            <v>14</v>
          </cell>
          <cell r="L2784">
            <v>91.91</v>
          </cell>
          <cell r="M2784">
            <v>9</v>
          </cell>
          <cell r="N2784">
            <v>51.7</v>
          </cell>
          <cell r="O2784">
            <v>2.4</v>
          </cell>
          <cell r="P2784">
            <v>34.4</v>
          </cell>
          <cell r="S2784">
            <v>32.6</v>
          </cell>
          <cell r="T2784">
            <v>31.3</v>
          </cell>
          <cell r="U2784">
            <v>3</v>
          </cell>
        </row>
        <row r="2785">
          <cell r="B2785" t="str">
            <v>Male</v>
          </cell>
          <cell r="F2785">
            <v>28</v>
          </cell>
          <cell r="G2785">
            <v>33.1</v>
          </cell>
          <cell r="H2785">
            <v>15.7</v>
          </cell>
          <cell r="I2785">
            <v>28.3</v>
          </cell>
          <cell r="J2785">
            <v>7</v>
          </cell>
          <cell r="K2785">
            <v>17</v>
          </cell>
          <cell r="L2785">
            <v>107.81</v>
          </cell>
          <cell r="M2785">
            <v>10</v>
          </cell>
          <cell r="N2785">
            <v>9.8000000000000007</v>
          </cell>
          <cell r="O2785">
            <v>9.4</v>
          </cell>
          <cell r="P2785">
            <v>54.5</v>
          </cell>
          <cell r="S2785">
            <v>12.5</v>
          </cell>
          <cell r="T2785">
            <v>31</v>
          </cell>
          <cell r="U2785">
            <v>2</v>
          </cell>
        </row>
        <row r="2786">
          <cell r="B2786" t="str">
            <v>Male</v>
          </cell>
          <cell r="F2786">
            <v>16</v>
          </cell>
          <cell r="G2786">
            <v>34.4</v>
          </cell>
          <cell r="H2786">
            <v>9.1999999999999993</v>
          </cell>
          <cell r="I2786">
            <v>38.299999999999997</v>
          </cell>
          <cell r="J2786">
            <v>6</v>
          </cell>
          <cell r="K2786">
            <v>18.2</v>
          </cell>
          <cell r="L2786">
            <v>305.75</v>
          </cell>
          <cell r="M2786">
            <v>9</v>
          </cell>
          <cell r="N2786">
            <v>16.559999999999999</v>
          </cell>
          <cell r="O2786">
            <v>10.3</v>
          </cell>
          <cell r="P2786">
            <v>26.4</v>
          </cell>
          <cell r="S2786">
            <v>52.3</v>
          </cell>
          <cell r="T2786">
            <v>18</v>
          </cell>
          <cell r="U2786">
            <v>2</v>
          </cell>
        </row>
        <row r="2787">
          <cell r="B2787" t="str">
            <v>Male</v>
          </cell>
          <cell r="F2787">
            <v>2</v>
          </cell>
          <cell r="G2787">
            <v>25.3</v>
          </cell>
          <cell r="H2787">
            <v>9.9</v>
          </cell>
          <cell r="I2787">
            <v>30.3</v>
          </cell>
          <cell r="J2787">
            <v>3</v>
          </cell>
          <cell r="K2787">
            <v>9</v>
          </cell>
          <cell r="L2787">
            <v>117.68</v>
          </cell>
          <cell r="M2787">
            <v>17</v>
          </cell>
          <cell r="N2787">
            <v>8.1999999999999993</v>
          </cell>
          <cell r="S2787">
            <v>47.3</v>
          </cell>
          <cell r="T2787">
            <v>17.2</v>
          </cell>
          <cell r="U2787">
            <v>2</v>
          </cell>
        </row>
        <row r="2788">
          <cell r="B2788" t="str">
            <v>Male</v>
          </cell>
          <cell r="F2788">
            <v>13</v>
          </cell>
          <cell r="H2788">
            <v>9.4</v>
          </cell>
          <cell r="I2788">
            <v>62.9</v>
          </cell>
          <cell r="J2788">
            <v>7</v>
          </cell>
          <cell r="K2788">
            <v>10</v>
          </cell>
          <cell r="L2788">
            <v>107.88</v>
          </cell>
          <cell r="M2788">
            <v>5</v>
          </cell>
          <cell r="N2788">
            <v>40.1</v>
          </cell>
          <cell r="O2788">
            <v>5</v>
          </cell>
          <cell r="P2788">
            <v>27.6</v>
          </cell>
          <cell r="S2788">
            <v>24.4</v>
          </cell>
        </row>
        <row r="2789">
          <cell r="B2789" t="str">
            <v>Male</v>
          </cell>
          <cell r="F2789">
            <v>2</v>
          </cell>
          <cell r="G2789">
            <v>17.7</v>
          </cell>
          <cell r="H2789">
            <v>7.7</v>
          </cell>
          <cell r="I2789">
            <v>58.4</v>
          </cell>
          <cell r="K2789">
            <v>8</v>
          </cell>
          <cell r="L2789">
            <v>124.55</v>
          </cell>
          <cell r="M2789">
            <v>21</v>
          </cell>
          <cell r="N2789">
            <v>49.9</v>
          </cell>
          <cell r="O2789">
            <v>15.8</v>
          </cell>
          <cell r="P2789">
            <v>2.1</v>
          </cell>
          <cell r="S2789">
            <v>21.6</v>
          </cell>
          <cell r="T2789">
            <v>8.5</v>
          </cell>
          <cell r="U2789">
            <v>1</v>
          </cell>
        </row>
        <row r="2790">
          <cell r="B2790" t="str">
            <v>Male</v>
          </cell>
          <cell r="F2790">
            <v>4</v>
          </cell>
          <cell r="G2790">
            <v>7.5</v>
          </cell>
          <cell r="H2790">
            <v>7</v>
          </cell>
          <cell r="I2790">
            <v>87</v>
          </cell>
          <cell r="J2790">
            <v>3</v>
          </cell>
          <cell r="K2790">
            <v>3</v>
          </cell>
          <cell r="L2790">
            <v>39.69</v>
          </cell>
          <cell r="M2790">
            <v>84</v>
          </cell>
          <cell r="N2790">
            <v>43.2</v>
          </cell>
          <cell r="O2790">
            <v>3.7</v>
          </cell>
          <cell r="P2790">
            <v>3</v>
          </cell>
          <cell r="T2790">
            <v>7.6</v>
          </cell>
          <cell r="U2790">
            <v>2</v>
          </cell>
        </row>
        <row r="2791">
          <cell r="B2791" t="str">
            <v>Female</v>
          </cell>
          <cell r="F2791">
            <v>0</v>
          </cell>
          <cell r="G2791">
            <v>13.6</v>
          </cell>
          <cell r="H2791">
            <v>6</v>
          </cell>
          <cell r="I2791">
            <v>71.599999999999994</v>
          </cell>
          <cell r="J2791">
            <v>1</v>
          </cell>
          <cell r="K2791" t="str">
            <v>7.800000000000001</v>
          </cell>
          <cell r="L2791">
            <v>94.12</v>
          </cell>
          <cell r="M2791">
            <v>17</v>
          </cell>
          <cell r="N2791">
            <v>73.2</v>
          </cell>
          <cell r="O2791">
            <v>10.199999999999999</v>
          </cell>
          <cell r="P2791">
            <v>16.5</v>
          </cell>
          <cell r="S2791">
            <v>0</v>
          </cell>
          <cell r="T2791">
            <v>1.6</v>
          </cell>
          <cell r="U2791">
            <v>2</v>
          </cell>
        </row>
        <row r="2792">
          <cell r="B2792" t="str">
            <v>Male</v>
          </cell>
          <cell r="F2792">
            <v>14</v>
          </cell>
          <cell r="H2792">
            <v>7.4</v>
          </cell>
          <cell r="I2792">
            <v>72.7</v>
          </cell>
          <cell r="J2792">
            <v>1</v>
          </cell>
          <cell r="K2792">
            <v>9</v>
          </cell>
          <cell r="L2792">
            <v>147.18</v>
          </cell>
          <cell r="M2792">
            <v>87</v>
          </cell>
          <cell r="N2792">
            <v>63.5</v>
          </cell>
          <cell r="O2792">
            <v>9.1</v>
          </cell>
          <cell r="P2792">
            <v>16.600000000000001</v>
          </cell>
          <cell r="S2792">
            <v>34.299999999999997</v>
          </cell>
          <cell r="T2792">
            <v>12.7</v>
          </cell>
          <cell r="U2792">
            <v>1</v>
          </cell>
        </row>
        <row r="2793">
          <cell r="B2793" t="str">
            <v>Female</v>
          </cell>
          <cell r="F2793">
            <v>6</v>
          </cell>
          <cell r="G2793">
            <v>42.6</v>
          </cell>
          <cell r="H2793">
            <v>8.1</v>
          </cell>
          <cell r="I2793">
            <v>58.7</v>
          </cell>
          <cell r="J2793">
            <v>2</v>
          </cell>
          <cell r="K2793">
            <v>20</v>
          </cell>
          <cell r="L2793">
            <v>46.78</v>
          </cell>
          <cell r="M2793">
            <v>45</v>
          </cell>
          <cell r="N2793">
            <v>66.5</v>
          </cell>
          <cell r="O2793">
            <v>5.3</v>
          </cell>
          <cell r="P2793">
            <v>26.9</v>
          </cell>
          <cell r="S2793">
            <v>34.5</v>
          </cell>
          <cell r="T2793">
            <v>19.899999999999999</v>
          </cell>
          <cell r="U2793">
            <v>2</v>
          </cell>
        </row>
        <row r="2794">
          <cell r="B2794" t="str">
            <v>Male</v>
          </cell>
          <cell r="F2794">
            <v>7</v>
          </cell>
          <cell r="G2794">
            <v>22.7</v>
          </cell>
          <cell r="H2794">
            <v>6.6</v>
          </cell>
          <cell r="I2794">
            <v>78.3</v>
          </cell>
          <cell r="J2794">
            <v>3</v>
          </cell>
          <cell r="K2794">
            <v>7</v>
          </cell>
          <cell r="L2794">
            <v>102.84</v>
          </cell>
          <cell r="M2794">
            <v>0</v>
          </cell>
          <cell r="N2794">
            <v>54.5</v>
          </cell>
          <cell r="O2794">
            <v>9.1999999999999993</v>
          </cell>
          <cell r="P2794">
            <v>15.9</v>
          </cell>
          <cell r="S2794">
            <v>3.8</v>
          </cell>
          <cell r="T2794">
            <v>11.4</v>
          </cell>
          <cell r="U2794">
            <v>1</v>
          </cell>
        </row>
        <row r="2795">
          <cell r="B2795" t="str">
            <v>Male</v>
          </cell>
          <cell r="F2795">
            <v>3</v>
          </cell>
          <cell r="G2795">
            <v>21.5</v>
          </cell>
          <cell r="H2795">
            <v>8.1999999999999993</v>
          </cell>
          <cell r="I2795">
            <v>73.5</v>
          </cell>
          <cell r="J2795">
            <v>1</v>
          </cell>
          <cell r="K2795">
            <v>13</v>
          </cell>
          <cell r="L2795">
            <v>64.05</v>
          </cell>
          <cell r="M2795">
            <v>54</v>
          </cell>
          <cell r="N2795">
            <v>77.900000000000006</v>
          </cell>
          <cell r="O2795">
            <v>16</v>
          </cell>
          <cell r="P2795">
            <v>19.3</v>
          </cell>
          <cell r="S2795">
            <v>26.3</v>
          </cell>
          <cell r="T2795">
            <v>21.8</v>
          </cell>
          <cell r="U2795">
            <v>3</v>
          </cell>
        </row>
        <row r="2796">
          <cell r="B2796" t="str">
            <v>Male</v>
          </cell>
          <cell r="F2796">
            <v>12</v>
          </cell>
          <cell r="G2796">
            <v>31.3</v>
          </cell>
          <cell r="H2796">
            <v>10.199999999999999</v>
          </cell>
          <cell r="I2796">
            <v>58.4</v>
          </cell>
          <cell r="J2796">
            <v>2</v>
          </cell>
          <cell r="K2796">
            <v>14</v>
          </cell>
          <cell r="L2796">
            <v>83.69</v>
          </cell>
          <cell r="N2796">
            <v>54</v>
          </cell>
          <cell r="O2796">
            <v>8.1</v>
          </cell>
          <cell r="P2796">
            <v>21.7</v>
          </cell>
          <cell r="S2796">
            <v>41.5</v>
          </cell>
          <cell r="T2796">
            <v>21.1</v>
          </cell>
          <cell r="U2796">
            <v>3</v>
          </cell>
        </row>
        <row r="2797">
          <cell r="B2797" t="str">
            <v>Female</v>
          </cell>
          <cell r="F2797">
            <v>18</v>
          </cell>
          <cell r="G2797">
            <v>27</v>
          </cell>
          <cell r="H2797">
            <v>9.8000000000000007</v>
          </cell>
          <cell r="I2797">
            <v>57.3</v>
          </cell>
          <cell r="J2797">
            <v>2</v>
          </cell>
          <cell r="K2797">
            <v>18.2</v>
          </cell>
          <cell r="L2797">
            <v>148.63</v>
          </cell>
          <cell r="M2797">
            <v>2</v>
          </cell>
          <cell r="N2797">
            <v>52.32</v>
          </cell>
          <cell r="O2797">
            <v>0.2</v>
          </cell>
          <cell r="P2797">
            <v>19.3</v>
          </cell>
          <cell r="T2797">
            <v>21</v>
          </cell>
          <cell r="U2797">
            <v>1</v>
          </cell>
        </row>
        <row r="2798">
          <cell r="B2798" t="str">
            <v>Female</v>
          </cell>
          <cell r="F2798">
            <v>17</v>
          </cell>
          <cell r="H2798">
            <v>11</v>
          </cell>
          <cell r="I2798">
            <v>68.7</v>
          </cell>
          <cell r="J2798">
            <v>5</v>
          </cell>
          <cell r="K2798">
            <v>9.1</v>
          </cell>
          <cell r="L2798">
            <v>72.56</v>
          </cell>
          <cell r="M2798">
            <v>66</v>
          </cell>
          <cell r="O2798">
            <v>7.4</v>
          </cell>
          <cell r="P2798">
            <v>1.4</v>
          </cell>
          <cell r="S2798">
            <v>47.7</v>
          </cell>
          <cell r="T2798">
            <v>14.4</v>
          </cell>
          <cell r="U2798">
            <v>2</v>
          </cell>
        </row>
        <row r="2799">
          <cell r="B2799" t="str">
            <v>Female</v>
          </cell>
          <cell r="F2799">
            <v>6</v>
          </cell>
          <cell r="G2799">
            <v>25.7</v>
          </cell>
          <cell r="H2799">
            <v>9.4</v>
          </cell>
          <cell r="I2799">
            <v>50.1</v>
          </cell>
          <cell r="J2799">
            <v>5</v>
          </cell>
          <cell r="K2799">
            <v>14</v>
          </cell>
          <cell r="L2799">
            <v>136.44999999999999</v>
          </cell>
          <cell r="M2799">
            <v>52</v>
          </cell>
          <cell r="P2799">
            <v>11.9</v>
          </cell>
          <cell r="S2799">
            <v>31.5</v>
          </cell>
          <cell r="T2799">
            <v>16.5</v>
          </cell>
          <cell r="U2799">
            <v>3</v>
          </cell>
        </row>
        <row r="2800">
          <cell r="B2800" t="str">
            <v>Male</v>
          </cell>
          <cell r="F2800">
            <v>14</v>
          </cell>
          <cell r="G2800">
            <v>32.6</v>
          </cell>
          <cell r="H2800">
            <v>10.5</v>
          </cell>
          <cell r="I2800">
            <v>36.799999999999997</v>
          </cell>
          <cell r="J2800">
            <v>4</v>
          </cell>
          <cell r="K2800" t="str">
            <v>16.900000000000002</v>
          </cell>
          <cell r="L2800">
            <v>143.66</v>
          </cell>
          <cell r="N2800">
            <v>86.52</v>
          </cell>
          <cell r="O2800">
            <v>2.1</v>
          </cell>
          <cell r="P2800">
            <v>47.3</v>
          </cell>
          <cell r="S2800">
            <v>32.5</v>
          </cell>
          <cell r="U2800">
            <v>5</v>
          </cell>
        </row>
        <row r="2801">
          <cell r="B2801" t="str">
            <v>Male</v>
          </cell>
          <cell r="F2801">
            <v>5</v>
          </cell>
          <cell r="G2801">
            <v>18</v>
          </cell>
          <cell r="I2801">
            <v>65.3</v>
          </cell>
          <cell r="J2801">
            <v>2</v>
          </cell>
          <cell r="K2801" t="str">
            <v>15.600000000000001</v>
          </cell>
          <cell r="L2801">
            <v>144.28</v>
          </cell>
          <cell r="M2801">
            <v>39</v>
          </cell>
          <cell r="N2801" t="str">
            <v>43.440000000000005</v>
          </cell>
          <cell r="P2801">
            <v>0</v>
          </cell>
          <cell r="S2801">
            <v>17.7</v>
          </cell>
          <cell r="U2801">
            <v>2</v>
          </cell>
        </row>
        <row r="2802">
          <cell r="B2802" t="str">
            <v>Female</v>
          </cell>
          <cell r="F2802">
            <v>16</v>
          </cell>
          <cell r="G2802">
            <v>36.4</v>
          </cell>
          <cell r="H2802">
            <v>12.3</v>
          </cell>
          <cell r="I2802">
            <v>61.5</v>
          </cell>
          <cell r="J2802">
            <v>5</v>
          </cell>
          <cell r="K2802">
            <v>21</v>
          </cell>
          <cell r="L2802">
            <v>84.51</v>
          </cell>
          <cell r="M2802">
            <v>21</v>
          </cell>
          <cell r="N2802">
            <v>34.6</v>
          </cell>
          <cell r="P2802">
            <v>32</v>
          </cell>
          <cell r="T2802">
            <v>22</v>
          </cell>
          <cell r="U2802">
            <v>2</v>
          </cell>
        </row>
        <row r="2803">
          <cell r="B2803" t="str">
            <v>Female</v>
          </cell>
          <cell r="F2803">
            <v>0</v>
          </cell>
          <cell r="G2803">
            <v>24.9</v>
          </cell>
          <cell r="H2803">
            <v>8.1</v>
          </cell>
          <cell r="I2803">
            <v>68.7</v>
          </cell>
          <cell r="J2803">
            <v>3</v>
          </cell>
          <cell r="K2803">
            <v>10.4</v>
          </cell>
          <cell r="L2803">
            <v>110.82</v>
          </cell>
          <cell r="M2803">
            <v>48</v>
          </cell>
          <cell r="N2803" t="str">
            <v>32.879999999999995</v>
          </cell>
          <cell r="O2803">
            <v>1.8</v>
          </cell>
          <cell r="P2803">
            <v>10.7</v>
          </cell>
          <cell r="S2803">
            <v>11</v>
          </cell>
          <cell r="T2803">
            <v>14.4</v>
          </cell>
          <cell r="U2803">
            <v>5</v>
          </cell>
        </row>
        <row r="2804">
          <cell r="B2804" t="str">
            <v>Male</v>
          </cell>
          <cell r="F2804">
            <v>7</v>
          </cell>
          <cell r="G2804">
            <v>18.600000000000001</v>
          </cell>
          <cell r="H2804">
            <v>1.8</v>
          </cell>
          <cell r="I2804">
            <v>82.7</v>
          </cell>
          <cell r="J2804">
            <v>2</v>
          </cell>
          <cell r="K2804">
            <v>4</v>
          </cell>
          <cell r="L2804">
            <v>209.78</v>
          </cell>
          <cell r="M2804">
            <v>12</v>
          </cell>
          <cell r="N2804">
            <v>8.4</v>
          </cell>
          <cell r="O2804">
            <v>9.5</v>
          </cell>
          <cell r="P2804">
            <v>9.4</v>
          </cell>
          <cell r="T2804">
            <v>2</v>
          </cell>
          <cell r="U2804">
            <v>3</v>
          </cell>
        </row>
        <row r="2805">
          <cell r="B2805" t="str">
            <v>Male</v>
          </cell>
          <cell r="F2805">
            <v>23</v>
          </cell>
          <cell r="G2805">
            <v>43.4</v>
          </cell>
          <cell r="H2805">
            <v>14.7</v>
          </cell>
          <cell r="I2805">
            <v>32.299999999999997</v>
          </cell>
          <cell r="J2805">
            <v>3</v>
          </cell>
          <cell r="K2805">
            <v>18</v>
          </cell>
          <cell r="L2805">
            <v>137.85</v>
          </cell>
          <cell r="M2805">
            <v>32</v>
          </cell>
          <cell r="N2805">
            <v>74.599999999999994</v>
          </cell>
          <cell r="O2805">
            <v>3.5</v>
          </cell>
          <cell r="P2805">
            <v>62.4</v>
          </cell>
          <cell r="T2805">
            <v>31.7</v>
          </cell>
          <cell r="U2805">
            <v>2</v>
          </cell>
        </row>
        <row r="2806">
          <cell r="B2806" t="str">
            <v>Male</v>
          </cell>
          <cell r="F2806">
            <v>15</v>
          </cell>
          <cell r="G2806">
            <v>36.200000000000003</v>
          </cell>
          <cell r="H2806">
            <v>11.3</v>
          </cell>
          <cell r="I2806">
            <v>37.1</v>
          </cell>
          <cell r="J2806">
            <v>8</v>
          </cell>
          <cell r="K2806">
            <v>16</v>
          </cell>
          <cell r="L2806">
            <v>70.22</v>
          </cell>
          <cell r="M2806">
            <v>63</v>
          </cell>
          <cell r="N2806">
            <v>32.200000000000003</v>
          </cell>
          <cell r="O2806">
            <v>12.8</v>
          </cell>
          <cell r="P2806">
            <v>9.4</v>
          </cell>
          <cell r="S2806">
            <v>40.799999999999997</v>
          </cell>
          <cell r="T2806">
            <v>20.6</v>
          </cell>
          <cell r="U2806">
            <v>3</v>
          </cell>
        </row>
        <row r="2807">
          <cell r="B2807" t="str">
            <v>Male</v>
          </cell>
          <cell r="F2807">
            <v>9</v>
          </cell>
          <cell r="G2807">
            <v>29.8</v>
          </cell>
          <cell r="H2807">
            <v>10.8</v>
          </cell>
          <cell r="I2807">
            <v>49.3</v>
          </cell>
          <cell r="J2807">
            <v>10</v>
          </cell>
          <cell r="K2807">
            <v>14</v>
          </cell>
          <cell r="L2807">
            <v>40.53</v>
          </cell>
          <cell r="N2807">
            <v>34.200000000000003</v>
          </cell>
          <cell r="O2807">
            <v>5.3</v>
          </cell>
          <cell r="P2807">
            <v>39.6</v>
          </cell>
          <cell r="S2807">
            <v>28.7</v>
          </cell>
          <cell r="T2807">
            <v>23</v>
          </cell>
          <cell r="U2807">
            <v>1</v>
          </cell>
        </row>
        <row r="2808">
          <cell r="B2808" t="str">
            <v>Female</v>
          </cell>
          <cell r="F2808">
            <v>0</v>
          </cell>
          <cell r="G2808">
            <v>20.3</v>
          </cell>
          <cell r="H2808">
            <v>6.4</v>
          </cell>
          <cell r="I2808">
            <v>38.700000000000003</v>
          </cell>
          <cell r="J2808">
            <v>2</v>
          </cell>
          <cell r="K2808">
            <v>9</v>
          </cell>
          <cell r="L2808">
            <v>102.81</v>
          </cell>
          <cell r="M2808">
            <v>1</v>
          </cell>
          <cell r="N2808">
            <v>55</v>
          </cell>
          <cell r="O2808">
            <v>0.8</v>
          </cell>
          <cell r="P2808">
            <v>2.2999999999999998</v>
          </cell>
          <cell r="S2808">
            <v>36.4</v>
          </cell>
          <cell r="T2808">
            <v>22.1</v>
          </cell>
          <cell r="U2808">
            <v>3</v>
          </cell>
        </row>
        <row r="2809">
          <cell r="B2809" t="str">
            <v>Male</v>
          </cell>
          <cell r="F2809">
            <v>16</v>
          </cell>
          <cell r="G2809">
            <v>28.3</v>
          </cell>
          <cell r="I2809">
            <v>46.5</v>
          </cell>
          <cell r="J2809">
            <v>6</v>
          </cell>
          <cell r="K2809">
            <v>11</v>
          </cell>
          <cell r="L2809">
            <v>141.04</v>
          </cell>
          <cell r="M2809">
            <v>7</v>
          </cell>
          <cell r="N2809">
            <v>19.899999999999999</v>
          </cell>
          <cell r="O2809">
            <v>0.6</v>
          </cell>
          <cell r="P2809">
            <v>8.5</v>
          </cell>
          <cell r="S2809">
            <v>24.8</v>
          </cell>
          <cell r="T2809">
            <v>21.8</v>
          </cell>
          <cell r="U2809">
            <v>5</v>
          </cell>
        </row>
        <row r="2810">
          <cell r="B2810" t="str">
            <v>Female</v>
          </cell>
          <cell r="F2810">
            <v>6</v>
          </cell>
          <cell r="G2810">
            <v>18</v>
          </cell>
          <cell r="H2810">
            <v>7.9</v>
          </cell>
          <cell r="I2810">
            <v>70.5</v>
          </cell>
          <cell r="J2810">
            <v>2</v>
          </cell>
          <cell r="K2810">
            <v>12</v>
          </cell>
          <cell r="L2810">
            <v>153.74</v>
          </cell>
          <cell r="M2810">
            <v>23</v>
          </cell>
          <cell r="N2810">
            <v>75.900000000000006</v>
          </cell>
          <cell r="O2810">
            <v>13.1</v>
          </cell>
          <cell r="P2810">
            <v>3.7</v>
          </cell>
          <cell r="S2810">
            <v>28.6</v>
          </cell>
          <cell r="T2810">
            <v>6</v>
          </cell>
          <cell r="U2810">
            <v>2</v>
          </cell>
        </row>
        <row r="2811">
          <cell r="B2811" t="str">
            <v>Female</v>
          </cell>
          <cell r="F2811">
            <v>9</v>
          </cell>
          <cell r="G2811">
            <v>21</v>
          </cell>
          <cell r="H2811">
            <v>5.6</v>
          </cell>
          <cell r="I2811">
            <v>48.1</v>
          </cell>
          <cell r="J2811">
            <v>2</v>
          </cell>
          <cell r="K2811">
            <v>9.1</v>
          </cell>
          <cell r="L2811">
            <v>72.88</v>
          </cell>
          <cell r="M2811">
            <v>0</v>
          </cell>
          <cell r="N2811">
            <v>10.56</v>
          </cell>
          <cell r="O2811">
            <v>1.2</v>
          </cell>
          <cell r="S2811">
            <v>22.7</v>
          </cell>
          <cell r="T2811">
            <v>7.1</v>
          </cell>
          <cell r="U2811">
            <v>5</v>
          </cell>
        </row>
        <row r="2812">
          <cell r="B2812" t="str">
            <v>Male</v>
          </cell>
          <cell r="F2812">
            <v>2</v>
          </cell>
          <cell r="G2812">
            <v>13</v>
          </cell>
          <cell r="H2812">
            <v>5.0999999999999996</v>
          </cell>
          <cell r="I2812">
            <v>75.599999999999994</v>
          </cell>
          <cell r="J2812">
            <v>3</v>
          </cell>
          <cell r="K2812">
            <v>4</v>
          </cell>
          <cell r="L2812">
            <v>89.18</v>
          </cell>
          <cell r="N2812">
            <v>9.6999999999999993</v>
          </cell>
          <cell r="O2812">
            <v>4</v>
          </cell>
          <cell r="S2812">
            <v>18.100000000000001</v>
          </cell>
          <cell r="T2812">
            <v>9.1999999999999993</v>
          </cell>
          <cell r="U2812">
            <v>1</v>
          </cell>
        </row>
        <row r="2813">
          <cell r="B2813" t="str">
            <v>Female</v>
          </cell>
          <cell r="F2813">
            <v>9</v>
          </cell>
          <cell r="G2813">
            <v>27.7</v>
          </cell>
          <cell r="H2813">
            <v>4.5999999999999996</v>
          </cell>
          <cell r="I2813">
            <v>44.4</v>
          </cell>
          <cell r="J2813">
            <v>1</v>
          </cell>
          <cell r="K2813">
            <v>9</v>
          </cell>
          <cell r="L2813">
            <v>94.31</v>
          </cell>
          <cell r="M2813">
            <v>17</v>
          </cell>
          <cell r="N2813">
            <v>49.7</v>
          </cell>
          <cell r="O2813">
            <v>2.2000000000000002</v>
          </cell>
          <cell r="P2813">
            <v>3.1</v>
          </cell>
          <cell r="S2813">
            <v>8.6999999999999993</v>
          </cell>
        </row>
        <row r="2814">
          <cell r="B2814" t="str">
            <v>Male</v>
          </cell>
          <cell r="F2814">
            <v>12</v>
          </cell>
          <cell r="G2814">
            <v>9.9</v>
          </cell>
          <cell r="H2814">
            <v>7.1</v>
          </cell>
          <cell r="I2814">
            <v>72.3</v>
          </cell>
          <cell r="J2814">
            <v>0</v>
          </cell>
          <cell r="K2814">
            <v>5</v>
          </cell>
          <cell r="L2814">
            <v>115.22</v>
          </cell>
          <cell r="M2814">
            <v>13</v>
          </cell>
          <cell r="O2814">
            <v>7.2</v>
          </cell>
          <cell r="P2814">
            <v>21.2</v>
          </cell>
          <cell r="S2814">
            <v>0</v>
          </cell>
          <cell r="U2814">
            <v>2</v>
          </cell>
        </row>
        <row r="2815">
          <cell r="B2815" t="str">
            <v>Female</v>
          </cell>
          <cell r="F2815">
            <v>10</v>
          </cell>
          <cell r="G2815">
            <v>24.8</v>
          </cell>
          <cell r="H2815">
            <v>8.8000000000000007</v>
          </cell>
          <cell r="I2815">
            <v>46.2</v>
          </cell>
          <cell r="J2815">
            <v>5</v>
          </cell>
          <cell r="K2815">
            <v>11</v>
          </cell>
          <cell r="L2815">
            <v>148.18</v>
          </cell>
          <cell r="M2815">
            <v>37</v>
          </cell>
          <cell r="N2815">
            <v>22.4</v>
          </cell>
          <cell r="O2815">
            <v>0.6</v>
          </cell>
          <cell r="P2815">
            <v>58.2</v>
          </cell>
          <cell r="S2815">
            <v>20.2</v>
          </cell>
          <cell r="T2815">
            <v>19.899999999999999</v>
          </cell>
          <cell r="U2815">
            <v>3</v>
          </cell>
        </row>
        <row r="2816">
          <cell r="B2816" t="str">
            <v>Female</v>
          </cell>
          <cell r="F2816">
            <v>14</v>
          </cell>
          <cell r="G2816">
            <v>31.6</v>
          </cell>
          <cell r="H2816">
            <v>10.5</v>
          </cell>
          <cell r="I2816">
            <v>49.2</v>
          </cell>
          <cell r="J2816">
            <v>6</v>
          </cell>
          <cell r="K2816">
            <v>15</v>
          </cell>
          <cell r="L2816">
            <v>134.43</v>
          </cell>
          <cell r="M2816">
            <v>11</v>
          </cell>
          <cell r="N2816">
            <v>19</v>
          </cell>
          <cell r="O2816">
            <v>2.8</v>
          </cell>
          <cell r="P2816">
            <v>16.600000000000001</v>
          </cell>
          <cell r="S2816">
            <v>49.4</v>
          </cell>
          <cell r="T2816">
            <v>23.5</v>
          </cell>
        </row>
        <row r="2817">
          <cell r="B2817" t="str">
            <v>Female</v>
          </cell>
          <cell r="F2817">
            <v>16</v>
          </cell>
          <cell r="G2817">
            <v>33.700000000000003</v>
          </cell>
          <cell r="H2817">
            <v>6.8</v>
          </cell>
          <cell r="I2817">
            <v>48.1</v>
          </cell>
          <cell r="J2817">
            <v>10</v>
          </cell>
          <cell r="K2817">
            <v>20</v>
          </cell>
          <cell r="L2817">
            <v>84.8</v>
          </cell>
          <cell r="M2817">
            <v>10</v>
          </cell>
          <cell r="N2817">
            <v>39.700000000000003</v>
          </cell>
          <cell r="O2817">
            <v>23.1</v>
          </cell>
          <cell r="P2817">
            <v>25.2</v>
          </cell>
          <cell r="S2817">
            <v>53.2</v>
          </cell>
          <cell r="U2817">
            <v>2</v>
          </cell>
        </row>
        <row r="2818">
          <cell r="B2818" t="str">
            <v>Male</v>
          </cell>
          <cell r="F2818">
            <v>28</v>
          </cell>
          <cell r="G2818">
            <v>47.8</v>
          </cell>
          <cell r="H2818">
            <v>10.7</v>
          </cell>
          <cell r="I2818">
            <v>41.1</v>
          </cell>
          <cell r="J2818">
            <v>14</v>
          </cell>
          <cell r="K2818">
            <v>19</v>
          </cell>
          <cell r="L2818">
            <v>43.98</v>
          </cell>
          <cell r="M2818">
            <v>3</v>
          </cell>
          <cell r="N2818">
            <v>47.4</v>
          </cell>
          <cell r="O2818">
            <v>5.2</v>
          </cell>
          <cell r="P2818">
            <v>36.799999999999997</v>
          </cell>
          <cell r="S2818">
            <v>67.2</v>
          </cell>
          <cell r="T2818">
            <v>32.9</v>
          </cell>
          <cell r="U2818">
            <v>2</v>
          </cell>
        </row>
        <row r="2819">
          <cell r="B2819" t="str">
            <v>Male</v>
          </cell>
          <cell r="F2819">
            <v>13</v>
          </cell>
          <cell r="G2819">
            <v>34.1</v>
          </cell>
          <cell r="H2819">
            <v>11.9</v>
          </cell>
          <cell r="I2819">
            <v>53.1</v>
          </cell>
          <cell r="J2819">
            <v>4</v>
          </cell>
          <cell r="K2819">
            <v>23</v>
          </cell>
          <cell r="L2819">
            <v>66.8</v>
          </cell>
          <cell r="M2819">
            <v>9</v>
          </cell>
          <cell r="N2819">
            <v>36.700000000000003</v>
          </cell>
          <cell r="O2819">
            <v>2.8</v>
          </cell>
          <cell r="P2819">
            <v>40</v>
          </cell>
          <cell r="S2819">
            <v>30.3</v>
          </cell>
          <cell r="T2819">
            <v>25.6</v>
          </cell>
          <cell r="U2819">
            <v>1</v>
          </cell>
        </row>
        <row r="2820">
          <cell r="B2820" t="str">
            <v>Female</v>
          </cell>
          <cell r="F2820">
            <v>0</v>
          </cell>
          <cell r="G2820">
            <v>11.2</v>
          </cell>
          <cell r="H2820">
            <v>8.1</v>
          </cell>
          <cell r="I2820">
            <v>71.3</v>
          </cell>
          <cell r="K2820">
            <v>7</v>
          </cell>
          <cell r="L2820">
            <v>65.72</v>
          </cell>
          <cell r="M2820">
            <v>7</v>
          </cell>
          <cell r="N2820">
            <v>69.099999999999994</v>
          </cell>
          <cell r="O2820">
            <v>8.1999999999999993</v>
          </cell>
          <cell r="P2820">
            <v>7.7</v>
          </cell>
          <cell r="S2820">
            <v>10.5</v>
          </cell>
          <cell r="T2820">
            <v>12.6</v>
          </cell>
          <cell r="U2820">
            <v>1</v>
          </cell>
        </row>
        <row r="2821">
          <cell r="B2821" t="str">
            <v>Female</v>
          </cell>
          <cell r="F2821">
            <v>3</v>
          </cell>
          <cell r="G2821">
            <v>5.3</v>
          </cell>
          <cell r="H2821">
            <v>3.7</v>
          </cell>
          <cell r="I2821">
            <v>67.2</v>
          </cell>
          <cell r="K2821">
            <v>3</v>
          </cell>
          <cell r="L2821">
            <v>117.87</v>
          </cell>
          <cell r="M2821">
            <v>53</v>
          </cell>
          <cell r="N2821">
            <v>10.6</v>
          </cell>
          <cell r="O2821">
            <v>11.9</v>
          </cell>
          <cell r="P2821">
            <v>23.2</v>
          </cell>
          <cell r="S2821">
            <v>11.8</v>
          </cell>
          <cell r="T2821">
            <v>15.1</v>
          </cell>
          <cell r="U2821">
            <v>3</v>
          </cell>
        </row>
        <row r="2822">
          <cell r="B2822" t="str">
            <v>Male</v>
          </cell>
          <cell r="F2822">
            <v>13</v>
          </cell>
          <cell r="G2822">
            <v>32.700000000000003</v>
          </cell>
          <cell r="H2822">
            <v>12.7</v>
          </cell>
          <cell r="I2822">
            <v>49.5</v>
          </cell>
          <cell r="J2822">
            <v>11</v>
          </cell>
          <cell r="K2822">
            <v>20.8</v>
          </cell>
          <cell r="L2822">
            <v>138.46</v>
          </cell>
          <cell r="M2822">
            <v>18</v>
          </cell>
          <cell r="N2822">
            <v>54.12</v>
          </cell>
          <cell r="P2822">
            <v>32.6</v>
          </cell>
          <cell r="S2822">
            <v>10.4</v>
          </cell>
          <cell r="T2822">
            <v>31</v>
          </cell>
          <cell r="U2822">
            <v>3</v>
          </cell>
        </row>
        <row r="2823">
          <cell r="B2823" t="str">
            <v>Male</v>
          </cell>
          <cell r="F2823">
            <v>8</v>
          </cell>
          <cell r="G2823">
            <v>21.9</v>
          </cell>
          <cell r="H2823">
            <v>4.5999999999999996</v>
          </cell>
          <cell r="I2823">
            <v>64.3</v>
          </cell>
          <cell r="J2823">
            <v>4</v>
          </cell>
          <cell r="K2823">
            <v>7</v>
          </cell>
          <cell r="L2823">
            <v>110.34</v>
          </cell>
          <cell r="M2823">
            <v>14</v>
          </cell>
          <cell r="N2823">
            <v>35.5</v>
          </cell>
          <cell r="O2823">
            <v>3.3</v>
          </cell>
          <cell r="P2823">
            <v>15.5</v>
          </cell>
          <cell r="S2823">
            <v>14.3</v>
          </cell>
          <cell r="U2823">
            <v>2</v>
          </cell>
        </row>
        <row r="2824">
          <cell r="B2824" t="str">
            <v>Male</v>
          </cell>
          <cell r="F2824">
            <v>12</v>
          </cell>
          <cell r="G2824">
            <v>31.7</v>
          </cell>
          <cell r="H2824">
            <v>9.4</v>
          </cell>
          <cell r="I2824">
            <v>70.5</v>
          </cell>
          <cell r="J2824">
            <v>6</v>
          </cell>
          <cell r="K2824">
            <v>12</v>
          </cell>
          <cell r="L2824">
            <v>149.88</v>
          </cell>
          <cell r="M2824">
            <v>21</v>
          </cell>
          <cell r="N2824">
            <v>39.799999999999997</v>
          </cell>
          <cell r="O2824">
            <v>5.5</v>
          </cell>
          <cell r="P2824">
            <v>23.2</v>
          </cell>
          <cell r="S2824">
            <v>22.8</v>
          </cell>
          <cell r="T2824">
            <v>7.9</v>
          </cell>
          <cell r="U2824">
            <v>1</v>
          </cell>
        </row>
        <row r="2825">
          <cell r="B2825" t="str">
            <v>Female</v>
          </cell>
          <cell r="F2825">
            <v>17</v>
          </cell>
          <cell r="G2825">
            <v>25.6</v>
          </cell>
          <cell r="H2825">
            <v>6.8</v>
          </cell>
          <cell r="I2825">
            <v>64.3</v>
          </cell>
          <cell r="J2825">
            <v>1</v>
          </cell>
          <cell r="K2825">
            <v>14.3</v>
          </cell>
          <cell r="L2825">
            <v>64.98</v>
          </cell>
          <cell r="M2825">
            <v>33</v>
          </cell>
          <cell r="N2825">
            <v>48.6</v>
          </cell>
          <cell r="O2825">
            <v>13.4</v>
          </cell>
          <cell r="P2825">
            <v>23.5</v>
          </cell>
          <cell r="S2825">
            <v>27.1</v>
          </cell>
          <cell r="T2825">
            <v>18.899999999999999</v>
          </cell>
          <cell r="U2825">
            <v>1</v>
          </cell>
        </row>
        <row r="2826">
          <cell r="B2826" t="str">
            <v>Female</v>
          </cell>
          <cell r="F2826">
            <v>11</v>
          </cell>
          <cell r="G2826">
            <v>22</v>
          </cell>
          <cell r="H2826">
            <v>6.7</v>
          </cell>
          <cell r="I2826">
            <v>80.2</v>
          </cell>
          <cell r="J2826">
            <v>0</v>
          </cell>
          <cell r="K2826">
            <v>7</v>
          </cell>
          <cell r="L2826">
            <v>114.6</v>
          </cell>
          <cell r="M2826">
            <v>14</v>
          </cell>
          <cell r="N2826">
            <v>22.7</v>
          </cell>
          <cell r="O2826">
            <v>12.9</v>
          </cell>
          <cell r="P2826">
            <v>8.1</v>
          </cell>
          <cell r="S2826">
            <v>19.8</v>
          </cell>
          <cell r="T2826">
            <v>24.1</v>
          </cell>
          <cell r="U2826">
            <v>1</v>
          </cell>
        </row>
        <row r="2827">
          <cell r="B2827" t="str">
            <v>Female</v>
          </cell>
          <cell r="F2827">
            <v>10</v>
          </cell>
          <cell r="G2827">
            <v>28.2</v>
          </cell>
          <cell r="H2827">
            <v>4</v>
          </cell>
          <cell r="I2827">
            <v>65.099999999999994</v>
          </cell>
          <cell r="J2827">
            <v>2</v>
          </cell>
          <cell r="K2827">
            <v>14</v>
          </cell>
          <cell r="L2827">
            <v>98.01</v>
          </cell>
          <cell r="M2827">
            <v>32</v>
          </cell>
          <cell r="N2827">
            <v>73.7</v>
          </cell>
          <cell r="O2827">
            <v>8.1</v>
          </cell>
          <cell r="P2827">
            <v>18.100000000000001</v>
          </cell>
          <cell r="S2827">
            <v>43.5</v>
          </cell>
          <cell r="T2827">
            <v>18.600000000000001</v>
          </cell>
          <cell r="U2827">
            <v>3</v>
          </cell>
        </row>
        <row r="2828">
          <cell r="B2828" t="str">
            <v>Male</v>
          </cell>
          <cell r="F2828">
            <v>17</v>
          </cell>
          <cell r="G2828">
            <v>28.4</v>
          </cell>
          <cell r="H2828">
            <v>10.3</v>
          </cell>
          <cell r="I2828">
            <v>47.4</v>
          </cell>
          <cell r="J2828">
            <v>8</v>
          </cell>
          <cell r="K2828">
            <v>11</v>
          </cell>
          <cell r="L2828">
            <v>197.69</v>
          </cell>
          <cell r="M2828">
            <v>30</v>
          </cell>
          <cell r="N2828">
            <v>57.8</v>
          </cell>
          <cell r="O2828">
            <v>2.4</v>
          </cell>
          <cell r="P2828">
            <v>13.4</v>
          </cell>
          <cell r="S2828">
            <v>34.1</v>
          </cell>
          <cell r="T2828">
            <v>23.5</v>
          </cell>
          <cell r="U2828">
            <v>1</v>
          </cell>
        </row>
        <row r="2829">
          <cell r="B2829" t="str">
            <v>Male</v>
          </cell>
          <cell r="F2829">
            <v>0</v>
          </cell>
          <cell r="G2829">
            <v>10</v>
          </cell>
          <cell r="H2829">
            <v>6.2</v>
          </cell>
          <cell r="I2829">
            <v>63.9</v>
          </cell>
          <cell r="J2829">
            <v>2</v>
          </cell>
          <cell r="K2829">
            <v>4</v>
          </cell>
          <cell r="L2829">
            <v>119.35</v>
          </cell>
          <cell r="M2829">
            <v>13</v>
          </cell>
          <cell r="O2829">
            <v>12.4</v>
          </cell>
          <cell r="P2829">
            <v>18</v>
          </cell>
          <cell r="S2829">
            <v>27.4</v>
          </cell>
          <cell r="T2829">
            <v>6.6</v>
          </cell>
          <cell r="U2829">
            <v>2</v>
          </cell>
        </row>
        <row r="2830">
          <cell r="B2830" t="str">
            <v>Female</v>
          </cell>
          <cell r="F2830">
            <v>2</v>
          </cell>
          <cell r="G2830">
            <v>13.9</v>
          </cell>
          <cell r="H2830">
            <v>8.1999999999999993</v>
          </cell>
          <cell r="I2830">
            <v>91.7</v>
          </cell>
          <cell r="J2830">
            <v>1</v>
          </cell>
          <cell r="K2830">
            <v>4</v>
          </cell>
          <cell r="L2830">
            <v>271.89</v>
          </cell>
          <cell r="N2830">
            <v>13.4</v>
          </cell>
          <cell r="O2830">
            <v>2.5</v>
          </cell>
          <cell r="P2830">
            <v>9.4</v>
          </cell>
          <cell r="S2830">
            <v>23.6</v>
          </cell>
          <cell r="T2830">
            <v>13.8</v>
          </cell>
          <cell r="U2830">
            <v>1</v>
          </cell>
        </row>
        <row r="2831">
          <cell r="B2831" t="str">
            <v>Female</v>
          </cell>
          <cell r="F2831">
            <v>11</v>
          </cell>
          <cell r="G2831">
            <v>28.7</v>
          </cell>
          <cell r="H2831">
            <v>6.7</v>
          </cell>
          <cell r="I2831">
            <v>64.3</v>
          </cell>
          <cell r="K2831">
            <v>10</v>
          </cell>
          <cell r="L2831">
            <v>122.93</v>
          </cell>
          <cell r="M2831">
            <v>13</v>
          </cell>
          <cell r="N2831">
            <v>27</v>
          </cell>
          <cell r="O2831">
            <v>10.3</v>
          </cell>
          <cell r="P2831">
            <v>32.5</v>
          </cell>
          <cell r="S2831">
            <v>49.6</v>
          </cell>
          <cell r="T2831">
            <v>13.7</v>
          </cell>
        </row>
        <row r="2832">
          <cell r="B2832" t="str">
            <v>Male</v>
          </cell>
          <cell r="F2832">
            <v>22</v>
          </cell>
          <cell r="G2832">
            <v>36.200000000000003</v>
          </cell>
          <cell r="H2832">
            <v>7.2</v>
          </cell>
          <cell r="I2832">
            <v>49.5</v>
          </cell>
          <cell r="J2832">
            <v>4</v>
          </cell>
          <cell r="K2832">
            <v>13</v>
          </cell>
          <cell r="L2832">
            <v>83.76</v>
          </cell>
          <cell r="M2832">
            <v>58</v>
          </cell>
          <cell r="N2832">
            <v>41.3</v>
          </cell>
          <cell r="O2832">
            <v>3.1</v>
          </cell>
          <cell r="P2832">
            <v>11.6</v>
          </cell>
          <cell r="S2832">
            <v>50.2</v>
          </cell>
          <cell r="T2832">
            <v>18.7</v>
          </cell>
          <cell r="U2832">
            <v>2</v>
          </cell>
        </row>
        <row r="2833">
          <cell r="B2833" t="str">
            <v>Male</v>
          </cell>
          <cell r="F2833">
            <v>6</v>
          </cell>
          <cell r="G2833">
            <v>16.3</v>
          </cell>
          <cell r="H2833">
            <v>4.7</v>
          </cell>
          <cell r="I2833">
            <v>76</v>
          </cell>
          <cell r="J2833">
            <v>4</v>
          </cell>
          <cell r="K2833">
            <v>2.6</v>
          </cell>
          <cell r="L2833">
            <v>103.12</v>
          </cell>
          <cell r="M2833">
            <v>34</v>
          </cell>
          <cell r="N2833">
            <v>47.4</v>
          </cell>
          <cell r="O2833">
            <v>10</v>
          </cell>
          <cell r="P2833">
            <v>0</v>
          </cell>
          <cell r="S2833">
            <v>18.2</v>
          </cell>
          <cell r="T2833">
            <v>7</v>
          </cell>
          <cell r="U2833">
            <v>2</v>
          </cell>
        </row>
        <row r="2834">
          <cell r="B2834" t="str">
            <v>Male</v>
          </cell>
          <cell r="F2834">
            <v>16</v>
          </cell>
          <cell r="G2834">
            <v>31.7</v>
          </cell>
          <cell r="H2834">
            <v>9.9</v>
          </cell>
          <cell r="I2834">
            <v>55.2</v>
          </cell>
          <cell r="J2834">
            <v>8</v>
          </cell>
          <cell r="K2834">
            <v>13</v>
          </cell>
          <cell r="L2834">
            <v>155.44</v>
          </cell>
          <cell r="M2834">
            <v>33</v>
          </cell>
          <cell r="N2834">
            <v>49.1</v>
          </cell>
          <cell r="O2834">
            <v>8.3000000000000007</v>
          </cell>
          <cell r="P2834">
            <v>34</v>
          </cell>
          <cell r="S2834">
            <v>37.1</v>
          </cell>
          <cell r="T2834">
            <v>19.100000000000001</v>
          </cell>
          <cell r="U2834">
            <v>5</v>
          </cell>
        </row>
        <row r="2835">
          <cell r="B2835" t="str">
            <v>Female</v>
          </cell>
          <cell r="F2835">
            <v>20</v>
          </cell>
          <cell r="G2835">
            <v>51.3</v>
          </cell>
          <cell r="H2835">
            <v>14.2</v>
          </cell>
          <cell r="I2835">
            <v>43.1</v>
          </cell>
          <cell r="J2835">
            <v>9</v>
          </cell>
          <cell r="K2835">
            <v>17</v>
          </cell>
          <cell r="L2835">
            <v>121.61</v>
          </cell>
          <cell r="M2835">
            <v>5</v>
          </cell>
          <cell r="N2835">
            <v>64.2</v>
          </cell>
          <cell r="O2835">
            <v>4.2</v>
          </cell>
          <cell r="P2835">
            <v>21.2</v>
          </cell>
          <cell r="S2835">
            <v>64.400000000000006</v>
          </cell>
          <cell r="T2835">
            <v>33.1</v>
          </cell>
          <cell r="U2835">
            <v>3</v>
          </cell>
        </row>
        <row r="2836">
          <cell r="B2836" t="str">
            <v>Female</v>
          </cell>
          <cell r="F2836">
            <v>12</v>
          </cell>
          <cell r="G2836">
            <v>35.200000000000003</v>
          </cell>
          <cell r="I2836">
            <v>59.5</v>
          </cell>
          <cell r="J2836">
            <v>1</v>
          </cell>
          <cell r="K2836" t="str">
            <v>16.900000000000002</v>
          </cell>
          <cell r="L2836">
            <v>88.08</v>
          </cell>
          <cell r="M2836">
            <v>33</v>
          </cell>
          <cell r="N2836">
            <v>29.16</v>
          </cell>
          <cell r="O2836">
            <v>5.5</v>
          </cell>
          <cell r="P2836">
            <v>2.1</v>
          </cell>
          <cell r="S2836">
            <v>17.5</v>
          </cell>
          <cell r="T2836">
            <v>11.1</v>
          </cell>
          <cell r="U2836">
            <v>3</v>
          </cell>
        </row>
        <row r="2837">
          <cell r="B2837" t="str">
            <v>Female</v>
          </cell>
          <cell r="F2837">
            <v>9</v>
          </cell>
          <cell r="G2837">
            <v>18.100000000000001</v>
          </cell>
          <cell r="I2837">
            <v>66.7</v>
          </cell>
          <cell r="J2837">
            <v>0</v>
          </cell>
          <cell r="K2837">
            <v>2</v>
          </cell>
          <cell r="L2837">
            <v>146.01</v>
          </cell>
          <cell r="M2837">
            <v>32</v>
          </cell>
          <cell r="N2837">
            <v>53.5</v>
          </cell>
          <cell r="O2837">
            <v>4.0999999999999996</v>
          </cell>
          <cell r="P2837">
            <v>10.5</v>
          </cell>
          <cell r="S2837">
            <v>0</v>
          </cell>
          <cell r="T2837">
            <v>9</v>
          </cell>
          <cell r="U2837">
            <v>2</v>
          </cell>
        </row>
        <row r="2838">
          <cell r="B2838" t="str">
            <v>Female</v>
          </cell>
          <cell r="F2838">
            <v>24</v>
          </cell>
          <cell r="G2838">
            <v>44.5</v>
          </cell>
          <cell r="H2838">
            <v>14.5</v>
          </cell>
          <cell r="I2838">
            <v>28.4</v>
          </cell>
          <cell r="K2838">
            <v>17</v>
          </cell>
          <cell r="L2838">
            <v>128.25</v>
          </cell>
          <cell r="M2838">
            <v>51</v>
          </cell>
          <cell r="N2838">
            <v>54.3</v>
          </cell>
          <cell r="O2838">
            <v>26</v>
          </cell>
          <cell r="P2838">
            <v>39.4</v>
          </cell>
          <cell r="S2838">
            <v>48.1</v>
          </cell>
          <cell r="T2838">
            <v>29.4</v>
          </cell>
          <cell r="U2838">
            <v>3</v>
          </cell>
        </row>
        <row r="2839">
          <cell r="B2839" t="str">
            <v>Male</v>
          </cell>
          <cell r="F2839">
            <v>7</v>
          </cell>
          <cell r="G2839">
            <v>26.3</v>
          </cell>
          <cell r="H2839">
            <v>8.6999999999999993</v>
          </cell>
          <cell r="I2839">
            <v>54.2</v>
          </cell>
          <cell r="J2839">
            <v>1</v>
          </cell>
          <cell r="K2839">
            <v>14.3</v>
          </cell>
          <cell r="L2839">
            <v>106.95</v>
          </cell>
          <cell r="M2839">
            <v>135</v>
          </cell>
          <cell r="N2839">
            <v>91.32</v>
          </cell>
          <cell r="P2839">
            <v>24.9</v>
          </cell>
          <cell r="S2839">
            <v>21.5</v>
          </cell>
          <cell r="T2839">
            <v>13.4</v>
          </cell>
          <cell r="U2839">
            <v>1</v>
          </cell>
        </row>
        <row r="2840">
          <cell r="B2840" t="str">
            <v>Male</v>
          </cell>
          <cell r="F2840">
            <v>14</v>
          </cell>
          <cell r="G2840">
            <v>25.2</v>
          </cell>
          <cell r="H2840">
            <v>9.5</v>
          </cell>
          <cell r="I2840">
            <v>71</v>
          </cell>
          <cell r="K2840">
            <v>16</v>
          </cell>
          <cell r="L2840">
            <v>160</v>
          </cell>
          <cell r="M2840">
            <v>3</v>
          </cell>
          <cell r="N2840">
            <v>15.7</v>
          </cell>
          <cell r="O2840">
            <v>0.3</v>
          </cell>
          <cell r="P2840">
            <v>14.4</v>
          </cell>
          <cell r="S2840">
            <v>50</v>
          </cell>
          <cell r="T2840">
            <v>29.5</v>
          </cell>
          <cell r="U2840">
            <v>1</v>
          </cell>
        </row>
        <row r="2841">
          <cell r="B2841" t="str">
            <v>Female</v>
          </cell>
          <cell r="F2841">
            <v>8</v>
          </cell>
          <cell r="H2841">
            <v>9.6999999999999993</v>
          </cell>
          <cell r="I2841">
            <v>81.3</v>
          </cell>
          <cell r="J2841">
            <v>2</v>
          </cell>
          <cell r="K2841">
            <v>9.1</v>
          </cell>
          <cell r="L2841">
            <v>176.82</v>
          </cell>
          <cell r="M2841">
            <v>1</v>
          </cell>
          <cell r="N2841">
            <v>9.9600000000000009</v>
          </cell>
          <cell r="O2841">
            <v>9.1999999999999993</v>
          </cell>
          <cell r="P2841">
            <v>3.9</v>
          </cell>
          <cell r="S2841">
            <v>51.3</v>
          </cell>
          <cell r="T2841">
            <v>14.3</v>
          </cell>
          <cell r="U2841">
            <v>3</v>
          </cell>
        </row>
        <row r="2842">
          <cell r="B2842" t="str">
            <v>Female</v>
          </cell>
          <cell r="F2842">
            <v>4</v>
          </cell>
          <cell r="G2842">
            <v>10</v>
          </cell>
          <cell r="H2842">
            <v>3.5</v>
          </cell>
          <cell r="I2842">
            <v>78.599999999999994</v>
          </cell>
          <cell r="K2842">
            <v>5</v>
          </cell>
          <cell r="L2842">
            <v>99.84</v>
          </cell>
          <cell r="M2842">
            <v>33</v>
          </cell>
          <cell r="O2842">
            <v>9.9</v>
          </cell>
          <cell r="P2842">
            <v>0</v>
          </cell>
          <cell r="S2842">
            <v>2.2999999999999998</v>
          </cell>
          <cell r="T2842">
            <v>10.1</v>
          </cell>
          <cell r="U2842">
            <v>4</v>
          </cell>
        </row>
        <row r="2843">
          <cell r="B2843" t="str">
            <v>Male</v>
          </cell>
          <cell r="F2843">
            <v>29</v>
          </cell>
          <cell r="G2843">
            <v>59.9</v>
          </cell>
          <cell r="I2843">
            <v>2.5</v>
          </cell>
          <cell r="J2843">
            <v>10</v>
          </cell>
          <cell r="K2843">
            <v>32.5</v>
          </cell>
          <cell r="L2843">
            <v>97.97</v>
          </cell>
          <cell r="N2843">
            <v>74.28</v>
          </cell>
          <cell r="O2843">
            <v>2.5</v>
          </cell>
          <cell r="P2843">
            <v>36.299999999999997</v>
          </cell>
          <cell r="S2843">
            <v>85.3</v>
          </cell>
          <cell r="T2843">
            <v>43</v>
          </cell>
          <cell r="U2843">
            <v>4</v>
          </cell>
        </row>
        <row r="2844">
          <cell r="B2844" t="str">
            <v>Female</v>
          </cell>
          <cell r="F2844">
            <v>23</v>
          </cell>
          <cell r="G2844">
            <v>36.1</v>
          </cell>
          <cell r="H2844">
            <v>13.5</v>
          </cell>
          <cell r="I2844">
            <v>25.2</v>
          </cell>
          <cell r="J2844">
            <v>6</v>
          </cell>
          <cell r="K2844">
            <v>22.1</v>
          </cell>
          <cell r="L2844">
            <v>96.17</v>
          </cell>
          <cell r="M2844">
            <v>11</v>
          </cell>
          <cell r="N2844">
            <v>67.08</v>
          </cell>
          <cell r="O2844">
            <v>1.2</v>
          </cell>
          <cell r="P2844">
            <v>47.9</v>
          </cell>
          <cell r="S2844">
            <v>23</v>
          </cell>
          <cell r="T2844">
            <v>26.3</v>
          </cell>
          <cell r="U2844">
            <v>1</v>
          </cell>
        </row>
        <row r="2845">
          <cell r="B2845" t="str">
            <v>Female</v>
          </cell>
          <cell r="F2845">
            <v>8</v>
          </cell>
          <cell r="G2845">
            <v>41.9</v>
          </cell>
          <cell r="H2845">
            <v>6.7</v>
          </cell>
          <cell r="I2845">
            <v>43.8</v>
          </cell>
          <cell r="K2845">
            <v>11</v>
          </cell>
          <cell r="L2845">
            <v>107.82</v>
          </cell>
          <cell r="M2845">
            <v>8</v>
          </cell>
          <cell r="N2845">
            <v>4.3</v>
          </cell>
          <cell r="O2845">
            <v>3.8</v>
          </cell>
          <cell r="P2845">
            <v>14</v>
          </cell>
          <cell r="T2845">
            <v>27.3</v>
          </cell>
          <cell r="U2845">
            <v>3</v>
          </cell>
        </row>
        <row r="2846">
          <cell r="B2846" t="str">
            <v>Female</v>
          </cell>
          <cell r="F2846">
            <v>18</v>
          </cell>
          <cell r="G2846">
            <v>33</v>
          </cell>
          <cell r="H2846">
            <v>11.1</v>
          </cell>
          <cell r="I2846">
            <v>45</v>
          </cell>
          <cell r="J2846">
            <v>5</v>
          </cell>
          <cell r="K2846">
            <v>13</v>
          </cell>
          <cell r="L2846">
            <v>162.99</v>
          </cell>
          <cell r="M2846">
            <v>32</v>
          </cell>
          <cell r="N2846">
            <v>42.2</v>
          </cell>
          <cell r="O2846">
            <v>2.2999999999999998</v>
          </cell>
          <cell r="P2846">
            <v>21.4</v>
          </cell>
          <cell r="S2846">
            <v>37.4</v>
          </cell>
          <cell r="T2846">
            <v>20.399999999999999</v>
          </cell>
          <cell r="U2846">
            <v>2</v>
          </cell>
        </row>
        <row r="2847">
          <cell r="B2847" t="str">
            <v>Female</v>
          </cell>
          <cell r="F2847">
            <v>0</v>
          </cell>
          <cell r="G2847">
            <v>17</v>
          </cell>
          <cell r="H2847">
            <v>4.5</v>
          </cell>
          <cell r="I2847">
            <v>78.8</v>
          </cell>
          <cell r="J2847">
            <v>1</v>
          </cell>
          <cell r="K2847">
            <v>6</v>
          </cell>
          <cell r="L2847">
            <v>137.02000000000001</v>
          </cell>
          <cell r="N2847">
            <v>32.200000000000003</v>
          </cell>
          <cell r="O2847">
            <v>5.7</v>
          </cell>
          <cell r="P2847">
            <v>0</v>
          </cell>
          <cell r="S2847">
            <v>17.3</v>
          </cell>
          <cell r="U2847">
            <v>3</v>
          </cell>
        </row>
        <row r="2848">
          <cell r="B2848" t="str">
            <v>Female</v>
          </cell>
          <cell r="F2848">
            <v>7</v>
          </cell>
          <cell r="G2848">
            <v>12.2</v>
          </cell>
          <cell r="H2848">
            <v>4.9000000000000004</v>
          </cell>
          <cell r="I2848">
            <v>78.5</v>
          </cell>
          <cell r="J2848">
            <v>0</v>
          </cell>
          <cell r="K2848">
            <v>5</v>
          </cell>
          <cell r="L2848">
            <v>145.99</v>
          </cell>
          <cell r="M2848">
            <v>31</v>
          </cell>
          <cell r="N2848">
            <v>59.8</v>
          </cell>
          <cell r="O2848">
            <v>8.4</v>
          </cell>
          <cell r="P2848">
            <v>9.1999999999999993</v>
          </cell>
          <cell r="T2848">
            <v>14.6</v>
          </cell>
          <cell r="U2848">
            <v>1</v>
          </cell>
        </row>
        <row r="2849">
          <cell r="B2849" t="str">
            <v>Male</v>
          </cell>
          <cell r="F2849">
            <v>8</v>
          </cell>
          <cell r="G2849">
            <v>27.8</v>
          </cell>
          <cell r="H2849">
            <v>11.7</v>
          </cell>
          <cell r="I2849">
            <v>55.9</v>
          </cell>
          <cell r="J2849">
            <v>9</v>
          </cell>
          <cell r="K2849">
            <v>18</v>
          </cell>
          <cell r="L2849">
            <v>217.54</v>
          </cell>
          <cell r="M2849">
            <v>2</v>
          </cell>
          <cell r="N2849">
            <v>9.4</v>
          </cell>
          <cell r="O2849">
            <v>7.6</v>
          </cell>
          <cell r="P2849">
            <v>51.2</v>
          </cell>
          <cell r="S2849">
            <v>46.1</v>
          </cell>
          <cell r="T2849">
            <v>28.9</v>
          </cell>
          <cell r="U2849">
            <v>1</v>
          </cell>
        </row>
        <row r="2850">
          <cell r="B2850" t="str">
            <v>Female</v>
          </cell>
          <cell r="F2850">
            <v>15</v>
          </cell>
          <cell r="G2850">
            <v>32.5</v>
          </cell>
          <cell r="H2850">
            <v>7.2</v>
          </cell>
          <cell r="I2850">
            <v>58.7</v>
          </cell>
          <cell r="J2850">
            <v>4</v>
          </cell>
          <cell r="K2850">
            <v>23</v>
          </cell>
          <cell r="L2850">
            <v>94.47</v>
          </cell>
          <cell r="M2850">
            <v>35</v>
          </cell>
          <cell r="N2850">
            <v>32.9</v>
          </cell>
          <cell r="O2850">
            <v>4</v>
          </cell>
          <cell r="P2850">
            <v>14</v>
          </cell>
          <cell r="S2850">
            <v>44.9</v>
          </cell>
          <cell r="T2850">
            <v>21.8</v>
          </cell>
          <cell r="U2850">
            <v>2</v>
          </cell>
        </row>
        <row r="2851">
          <cell r="B2851" t="str">
            <v>Male</v>
          </cell>
          <cell r="F2851">
            <v>11</v>
          </cell>
          <cell r="G2851">
            <v>29.7</v>
          </cell>
          <cell r="H2851">
            <v>8.4</v>
          </cell>
          <cell r="I2851">
            <v>62.9</v>
          </cell>
          <cell r="J2851">
            <v>6</v>
          </cell>
          <cell r="K2851">
            <v>10</v>
          </cell>
          <cell r="L2851">
            <v>95.37</v>
          </cell>
          <cell r="M2851">
            <v>58</v>
          </cell>
          <cell r="N2851">
            <v>43.7</v>
          </cell>
          <cell r="O2851">
            <v>3.4</v>
          </cell>
          <cell r="P2851">
            <v>6.6</v>
          </cell>
          <cell r="S2851">
            <v>21.1</v>
          </cell>
          <cell r="T2851">
            <v>28.1</v>
          </cell>
          <cell r="U2851">
            <v>1</v>
          </cell>
        </row>
        <row r="2852">
          <cell r="B2852" t="str">
            <v>Male</v>
          </cell>
          <cell r="F2852">
            <v>25</v>
          </cell>
          <cell r="G2852">
            <v>28.8</v>
          </cell>
          <cell r="H2852">
            <v>12.4</v>
          </cell>
          <cell r="I2852">
            <v>32.1</v>
          </cell>
          <cell r="J2852">
            <v>9</v>
          </cell>
          <cell r="K2852">
            <v>14</v>
          </cell>
          <cell r="L2852">
            <v>115.85</v>
          </cell>
          <cell r="M2852">
            <v>4</v>
          </cell>
          <cell r="N2852">
            <v>19.899999999999999</v>
          </cell>
          <cell r="O2852">
            <v>0.8</v>
          </cell>
          <cell r="P2852">
            <v>31.7</v>
          </cell>
          <cell r="S2852">
            <v>53.9</v>
          </cell>
          <cell r="U2852">
            <v>1</v>
          </cell>
        </row>
        <row r="2853">
          <cell r="B2853" t="str">
            <v>Male</v>
          </cell>
          <cell r="F2853">
            <v>10</v>
          </cell>
          <cell r="G2853">
            <v>26.3</v>
          </cell>
          <cell r="H2853">
            <v>13.4</v>
          </cell>
          <cell r="I2853">
            <v>51.5</v>
          </cell>
          <cell r="J2853">
            <v>6</v>
          </cell>
          <cell r="K2853">
            <v>17</v>
          </cell>
          <cell r="L2853">
            <v>117.8</v>
          </cell>
          <cell r="M2853">
            <v>6</v>
          </cell>
          <cell r="O2853">
            <v>15.2</v>
          </cell>
          <cell r="P2853">
            <v>33.5</v>
          </cell>
          <cell r="S2853">
            <v>50.5</v>
          </cell>
          <cell r="T2853">
            <v>22.9</v>
          </cell>
          <cell r="U2853">
            <v>5</v>
          </cell>
        </row>
        <row r="2854">
          <cell r="B2854" t="str">
            <v>Male</v>
          </cell>
          <cell r="F2854">
            <v>10</v>
          </cell>
          <cell r="G2854">
            <v>15.6</v>
          </cell>
          <cell r="H2854">
            <v>8.3000000000000007</v>
          </cell>
          <cell r="I2854">
            <v>82.5</v>
          </cell>
          <cell r="J2854">
            <v>4</v>
          </cell>
          <cell r="K2854">
            <v>8</v>
          </cell>
          <cell r="L2854">
            <v>82.61</v>
          </cell>
          <cell r="M2854">
            <v>19</v>
          </cell>
          <cell r="N2854">
            <v>50.6</v>
          </cell>
          <cell r="O2854">
            <v>3.6</v>
          </cell>
          <cell r="P2854">
            <v>8.9</v>
          </cell>
          <cell r="S2854">
            <v>31.4</v>
          </cell>
          <cell r="T2854">
            <v>5.9</v>
          </cell>
          <cell r="U2854">
            <v>1</v>
          </cell>
        </row>
        <row r="2855">
          <cell r="B2855" t="str">
            <v>Male</v>
          </cell>
          <cell r="F2855">
            <v>17</v>
          </cell>
          <cell r="G2855">
            <v>29.6</v>
          </cell>
          <cell r="I2855">
            <v>51</v>
          </cell>
          <cell r="J2855">
            <v>1</v>
          </cell>
          <cell r="K2855">
            <v>14</v>
          </cell>
          <cell r="L2855">
            <v>98.1</v>
          </cell>
          <cell r="M2855">
            <v>45</v>
          </cell>
          <cell r="N2855">
            <v>75.3</v>
          </cell>
          <cell r="O2855">
            <v>13.6</v>
          </cell>
          <cell r="P2855">
            <v>11.6</v>
          </cell>
          <cell r="S2855">
            <v>40.1</v>
          </cell>
          <cell r="T2855">
            <v>11.9</v>
          </cell>
          <cell r="U2855">
            <v>3</v>
          </cell>
        </row>
        <row r="2856">
          <cell r="B2856" t="str">
            <v>Male</v>
          </cell>
          <cell r="F2856">
            <v>16</v>
          </cell>
          <cell r="G2856">
            <v>30.2</v>
          </cell>
          <cell r="H2856">
            <v>7.2</v>
          </cell>
          <cell r="I2856">
            <v>50.9</v>
          </cell>
          <cell r="J2856">
            <v>4</v>
          </cell>
          <cell r="K2856">
            <v>11</v>
          </cell>
          <cell r="L2856">
            <v>139.19</v>
          </cell>
          <cell r="N2856">
            <v>51.4</v>
          </cell>
          <cell r="O2856">
            <v>1.2</v>
          </cell>
          <cell r="P2856">
            <v>13.6</v>
          </cell>
          <cell r="S2856">
            <v>32.5</v>
          </cell>
          <cell r="T2856">
            <v>14.7</v>
          </cell>
          <cell r="U2856">
            <v>1</v>
          </cell>
        </row>
        <row r="2857">
          <cell r="B2857" t="str">
            <v>Male</v>
          </cell>
          <cell r="F2857">
            <v>11</v>
          </cell>
          <cell r="G2857">
            <v>29.2</v>
          </cell>
          <cell r="H2857">
            <v>8.8000000000000007</v>
          </cell>
          <cell r="I2857">
            <v>55</v>
          </cell>
          <cell r="J2857">
            <v>1</v>
          </cell>
          <cell r="K2857">
            <v>13</v>
          </cell>
          <cell r="L2857">
            <v>112.98</v>
          </cell>
          <cell r="N2857">
            <v>29.1</v>
          </cell>
          <cell r="O2857">
            <v>4.4000000000000004</v>
          </cell>
          <cell r="P2857">
            <v>17</v>
          </cell>
          <cell r="T2857">
            <v>15.2</v>
          </cell>
          <cell r="U2857">
            <v>3</v>
          </cell>
        </row>
        <row r="2858">
          <cell r="B2858" t="str">
            <v>Female</v>
          </cell>
          <cell r="F2858">
            <v>5</v>
          </cell>
          <cell r="G2858">
            <v>20</v>
          </cell>
          <cell r="H2858">
            <v>5.2</v>
          </cell>
          <cell r="I2858">
            <v>57.3</v>
          </cell>
          <cell r="J2858">
            <v>2</v>
          </cell>
          <cell r="K2858">
            <v>7</v>
          </cell>
          <cell r="L2858">
            <v>132.55000000000001</v>
          </cell>
          <cell r="M2858">
            <v>23</v>
          </cell>
          <cell r="N2858">
            <v>33.799999999999997</v>
          </cell>
          <cell r="O2858">
            <v>2.5</v>
          </cell>
          <cell r="P2858">
            <v>9.9</v>
          </cell>
          <cell r="T2858">
            <v>7</v>
          </cell>
          <cell r="U2858">
            <v>2</v>
          </cell>
        </row>
        <row r="2859">
          <cell r="B2859" t="str">
            <v>Male</v>
          </cell>
          <cell r="F2859">
            <v>8</v>
          </cell>
          <cell r="G2859">
            <v>18.100000000000001</v>
          </cell>
          <cell r="H2859">
            <v>10.5</v>
          </cell>
          <cell r="I2859">
            <v>65.3</v>
          </cell>
          <cell r="J2859">
            <v>2</v>
          </cell>
          <cell r="K2859">
            <v>15</v>
          </cell>
          <cell r="L2859">
            <v>123.63</v>
          </cell>
          <cell r="M2859">
            <v>1</v>
          </cell>
          <cell r="N2859">
            <v>55.7</v>
          </cell>
          <cell r="P2859">
            <v>31.4</v>
          </cell>
          <cell r="S2859">
            <v>19.2</v>
          </cell>
          <cell r="T2859">
            <v>10.4</v>
          </cell>
          <cell r="U2859">
            <v>2</v>
          </cell>
        </row>
        <row r="2860">
          <cell r="B2860" t="str">
            <v>Male</v>
          </cell>
          <cell r="F2860">
            <v>20</v>
          </cell>
          <cell r="G2860">
            <v>27.5</v>
          </cell>
          <cell r="H2860">
            <v>9.9</v>
          </cell>
          <cell r="I2860">
            <v>59.4</v>
          </cell>
          <cell r="J2860">
            <v>4</v>
          </cell>
          <cell r="K2860">
            <v>17</v>
          </cell>
          <cell r="L2860">
            <v>86.19</v>
          </cell>
          <cell r="M2860">
            <v>51</v>
          </cell>
          <cell r="N2860">
            <v>16.7</v>
          </cell>
          <cell r="O2860">
            <v>7</v>
          </cell>
          <cell r="P2860">
            <v>24.7</v>
          </cell>
          <cell r="S2860">
            <v>24.8</v>
          </cell>
          <cell r="T2860">
            <v>16.3</v>
          </cell>
          <cell r="U2860">
            <v>3</v>
          </cell>
        </row>
        <row r="2861">
          <cell r="B2861" t="str">
            <v>Female</v>
          </cell>
          <cell r="F2861">
            <v>15</v>
          </cell>
          <cell r="G2861">
            <v>26.9</v>
          </cell>
          <cell r="H2861">
            <v>9.3000000000000007</v>
          </cell>
          <cell r="I2861">
            <v>76.5</v>
          </cell>
          <cell r="J2861">
            <v>2</v>
          </cell>
          <cell r="K2861">
            <v>15</v>
          </cell>
          <cell r="L2861">
            <v>107.95</v>
          </cell>
          <cell r="M2861">
            <v>9</v>
          </cell>
          <cell r="O2861">
            <v>7</v>
          </cell>
          <cell r="P2861">
            <v>19.7</v>
          </cell>
          <cell r="S2861">
            <v>31.2</v>
          </cell>
          <cell r="T2861">
            <v>8.3000000000000007</v>
          </cell>
          <cell r="U2861">
            <v>1</v>
          </cell>
        </row>
        <row r="2862">
          <cell r="B2862" t="str">
            <v>Male</v>
          </cell>
          <cell r="F2862">
            <v>2</v>
          </cell>
          <cell r="G2862">
            <v>27.2</v>
          </cell>
          <cell r="H2862">
            <v>9.6</v>
          </cell>
          <cell r="I2862">
            <v>67.5</v>
          </cell>
          <cell r="K2862">
            <v>14.3</v>
          </cell>
          <cell r="L2862">
            <v>143.44</v>
          </cell>
          <cell r="M2862">
            <v>54</v>
          </cell>
          <cell r="N2862">
            <v>20.52</v>
          </cell>
          <cell r="O2862">
            <v>6.7</v>
          </cell>
          <cell r="P2862">
            <v>34.200000000000003</v>
          </cell>
          <cell r="S2862">
            <v>51.3</v>
          </cell>
          <cell r="T2862">
            <v>23.3</v>
          </cell>
          <cell r="U2862">
            <v>1</v>
          </cell>
        </row>
        <row r="2863">
          <cell r="B2863" t="str">
            <v>Female</v>
          </cell>
          <cell r="F2863">
            <v>4</v>
          </cell>
          <cell r="G2863">
            <v>28</v>
          </cell>
          <cell r="I2863">
            <v>52.1</v>
          </cell>
          <cell r="J2863">
            <v>3</v>
          </cell>
          <cell r="K2863">
            <v>19</v>
          </cell>
          <cell r="L2863">
            <v>97.75</v>
          </cell>
          <cell r="M2863">
            <v>12</v>
          </cell>
          <cell r="N2863">
            <v>69.2</v>
          </cell>
          <cell r="O2863">
            <v>4.3</v>
          </cell>
          <cell r="P2863">
            <v>13.1</v>
          </cell>
          <cell r="S2863">
            <v>4.2</v>
          </cell>
          <cell r="T2863">
            <v>16</v>
          </cell>
          <cell r="U2863">
            <v>2</v>
          </cell>
        </row>
        <row r="2864">
          <cell r="B2864" t="str">
            <v>Female</v>
          </cell>
          <cell r="F2864">
            <v>5</v>
          </cell>
          <cell r="G2864">
            <v>31.9</v>
          </cell>
          <cell r="H2864">
            <v>11.4</v>
          </cell>
          <cell r="I2864">
            <v>39.200000000000003</v>
          </cell>
          <cell r="J2864">
            <v>5</v>
          </cell>
          <cell r="K2864">
            <v>15</v>
          </cell>
          <cell r="L2864">
            <v>73.45</v>
          </cell>
          <cell r="M2864">
            <v>29</v>
          </cell>
          <cell r="O2864">
            <v>1.1000000000000001</v>
          </cell>
          <cell r="S2864">
            <v>21.9</v>
          </cell>
          <cell r="T2864">
            <v>27.9</v>
          </cell>
          <cell r="U2864">
            <v>2</v>
          </cell>
        </row>
        <row r="2865">
          <cell r="B2865" t="str">
            <v>Male</v>
          </cell>
          <cell r="F2865">
            <v>5</v>
          </cell>
          <cell r="G2865">
            <v>20.2</v>
          </cell>
          <cell r="H2865">
            <v>6.6</v>
          </cell>
          <cell r="I2865">
            <v>68.400000000000006</v>
          </cell>
          <cell r="K2865">
            <v>6</v>
          </cell>
          <cell r="L2865">
            <v>197.94</v>
          </cell>
          <cell r="N2865">
            <v>32.9</v>
          </cell>
          <cell r="O2865">
            <v>6.2</v>
          </cell>
          <cell r="P2865">
            <v>13.8</v>
          </cell>
          <cell r="T2865">
            <v>16.7</v>
          </cell>
          <cell r="U2865">
            <v>2</v>
          </cell>
        </row>
        <row r="2866">
          <cell r="B2866" t="str">
            <v>Female</v>
          </cell>
          <cell r="F2866">
            <v>19</v>
          </cell>
          <cell r="G2866">
            <v>29.4</v>
          </cell>
          <cell r="H2866">
            <v>8.8000000000000007</v>
          </cell>
          <cell r="I2866">
            <v>47.3</v>
          </cell>
          <cell r="J2866">
            <v>8</v>
          </cell>
          <cell r="K2866">
            <v>18</v>
          </cell>
          <cell r="L2866">
            <v>223.54</v>
          </cell>
          <cell r="M2866">
            <v>5</v>
          </cell>
          <cell r="N2866">
            <v>9.1999999999999993</v>
          </cell>
          <cell r="O2866">
            <v>2</v>
          </cell>
          <cell r="P2866">
            <v>26.5</v>
          </cell>
          <cell r="S2866">
            <v>80</v>
          </cell>
          <cell r="U2866">
            <v>1</v>
          </cell>
        </row>
        <row r="2867">
          <cell r="B2867" t="str">
            <v>Male</v>
          </cell>
          <cell r="F2867">
            <v>10</v>
          </cell>
          <cell r="G2867">
            <v>34.5</v>
          </cell>
          <cell r="I2867">
            <v>45.3</v>
          </cell>
          <cell r="J2867">
            <v>8</v>
          </cell>
          <cell r="K2867">
            <v>12</v>
          </cell>
          <cell r="L2867">
            <v>88.31</v>
          </cell>
          <cell r="M2867">
            <v>8</v>
          </cell>
          <cell r="N2867">
            <v>44.2</v>
          </cell>
          <cell r="O2867">
            <v>3.6</v>
          </cell>
          <cell r="P2867">
            <v>28.1</v>
          </cell>
          <cell r="S2867">
            <v>27</v>
          </cell>
          <cell r="T2867">
            <v>27.1</v>
          </cell>
          <cell r="U2867">
            <v>3</v>
          </cell>
        </row>
        <row r="2868">
          <cell r="B2868" t="str">
            <v>Male</v>
          </cell>
          <cell r="F2868">
            <v>13</v>
          </cell>
          <cell r="G2868">
            <v>25.5</v>
          </cell>
          <cell r="H2868">
            <v>9.1</v>
          </cell>
          <cell r="I2868">
            <v>56.2</v>
          </cell>
          <cell r="J2868">
            <v>2</v>
          </cell>
          <cell r="K2868">
            <v>12</v>
          </cell>
          <cell r="L2868">
            <v>164.34</v>
          </cell>
          <cell r="M2868">
            <v>49</v>
          </cell>
          <cell r="N2868">
            <v>58</v>
          </cell>
          <cell r="O2868">
            <v>9.1</v>
          </cell>
          <cell r="P2868">
            <v>15</v>
          </cell>
          <cell r="S2868">
            <v>0</v>
          </cell>
          <cell r="T2868">
            <v>18.3</v>
          </cell>
          <cell r="U2868">
            <v>3</v>
          </cell>
        </row>
        <row r="2869">
          <cell r="B2869" t="str">
            <v>Male</v>
          </cell>
          <cell r="F2869">
            <v>22</v>
          </cell>
          <cell r="G2869">
            <v>53.3</v>
          </cell>
          <cell r="H2869">
            <v>20.6</v>
          </cell>
          <cell r="I2869">
            <v>7</v>
          </cell>
          <cell r="J2869">
            <v>16</v>
          </cell>
          <cell r="K2869">
            <v>25</v>
          </cell>
          <cell r="L2869">
            <v>102.85</v>
          </cell>
          <cell r="M2869">
            <v>0</v>
          </cell>
          <cell r="N2869">
            <v>40.200000000000003</v>
          </cell>
          <cell r="O2869">
            <v>17.8</v>
          </cell>
          <cell r="P2869">
            <v>59.4</v>
          </cell>
          <cell r="S2869">
            <v>57.9</v>
          </cell>
          <cell r="T2869">
            <v>51.5</v>
          </cell>
          <cell r="U2869">
            <v>3</v>
          </cell>
        </row>
        <row r="2870">
          <cell r="B2870" t="str">
            <v>Male</v>
          </cell>
          <cell r="F2870">
            <v>27</v>
          </cell>
          <cell r="G2870">
            <v>36.299999999999997</v>
          </cell>
          <cell r="H2870">
            <v>13.8</v>
          </cell>
          <cell r="I2870">
            <v>23.1</v>
          </cell>
          <cell r="J2870">
            <v>4</v>
          </cell>
          <cell r="K2870">
            <v>17</v>
          </cell>
          <cell r="L2870">
            <v>113.32</v>
          </cell>
          <cell r="M2870">
            <v>24</v>
          </cell>
          <cell r="N2870">
            <v>25.9</v>
          </cell>
          <cell r="O2870">
            <v>8.1</v>
          </cell>
          <cell r="P2870">
            <v>25</v>
          </cell>
          <cell r="S2870">
            <v>63.2</v>
          </cell>
          <cell r="T2870">
            <v>28.3</v>
          </cell>
          <cell r="U2870">
            <v>2</v>
          </cell>
        </row>
        <row r="2871">
          <cell r="B2871" t="str">
            <v>Female</v>
          </cell>
          <cell r="F2871">
            <v>0</v>
          </cell>
          <cell r="G2871">
            <v>28.3</v>
          </cell>
          <cell r="H2871">
            <v>3.9</v>
          </cell>
          <cell r="I2871">
            <v>56.6</v>
          </cell>
          <cell r="J2871">
            <v>4</v>
          </cell>
          <cell r="K2871">
            <v>9</v>
          </cell>
          <cell r="L2871">
            <v>112.41</v>
          </cell>
          <cell r="M2871">
            <v>12</v>
          </cell>
          <cell r="N2871">
            <v>69.400000000000006</v>
          </cell>
          <cell r="O2871">
            <v>1.6</v>
          </cell>
          <cell r="P2871">
            <v>17</v>
          </cell>
          <cell r="S2871">
            <v>34.200000000000003</v>
          </cell>
          <cell r="T2871">
            <v>25.9</v>
          </cell>
          <cell r="U2871">
            <v>4</v>
          </cell>
        </row>
        <row r="2872">
          <cell r="B2872" t="str">
            <v>Male</v>
          </cell>
          <cell r="F2872">
            <v>15</v>
          </cell>
          <cell r="H2872">
            <v>9.6</v>
          </cell>
          <cell r="I2872">
            <v>66.900000000000006</v>
          </cell>
          <cell r="J2872">
            <v>2</v>
          </cell>
          <cell r="K2872">
            <v>11</v>
          </cell>
          <cell r="L2872">
            <v>76.569999999999993</v>
          </cell>
          <cell r="N2872">
            <v>30.1</v>
          </cell>
          <cell r="O2872">
            <v>1.5</v>
          </cell>
          <cell r="P2872">
            <v>18.3</v>
          </cell>
          <cell r="S2872">
            <v>60.2</v>
          </cell>
          <cell r="T2872">
            <v>17.899999999999999</v>
          </cell>
          <cell r="U2872">
            <v>2</v>
          </cell>
        </row>
        <row r="2873">
          <cell r="B2873" t="str">
            <v>Female</v>
          </cell>
          <cell r="F2873">
            <v>3</v>
          </cell>
          <cell r="G2873">
            <v>12.1</v>
          </cell>
          <cell r="H2873">
            <v>5</v>
          </cell>
          <cell r="I2873">
            <v>62.6</v>
          </cell>
          <cell r="J2873">
            <v>4</v>
          </cell>
          <cell r="K2873">
            <v>3</v>
          </cell>
          <cell r="L2873">
            <v>135.94999999999999</v>
          </cell>
          <cell r="M2873">
            <v>0</v>
          </cell>
          <cell r="N2873">
            <v>27.3</v>
          </cell>
          <cell r="O2873">
            <v>0.4</v>
          </cell>
          <cell r="P2873">
            <v>0</v>
          </cell>
          <cell r="S2873">
            <v>9.1999999999999993</v>
          </cell>
          <cell r="T2873">
            <v>12.8</v>
          </cell>
          <cell r="U2873">
            <v>2</v>
          </cell>
        </row>
        <row r="2874">
          <cell r="B2874" t="str">
            <v>Female</v>
          </cell>
          <cell r="F2874">
            <v>0</v>
          </cell>
          <cell r="G2874">
            <v>10.5</v>
          </cell>
          <cell r="H2874">
            <v>3.5</v>
          </cell>
          <cell r="I2874">
            <v>71.400000000000006</v>
          </cell>
          <cell r="J2874">
            <v>2</v>
          </cell>
          <cell r="K2874">
            <v>5</v>
          </cell>
          <cell r="L2874">
            <v>76.08</v>
          </cell>
          <cell r="M2874">
            <v>51</v>
          </cell>
          <cell r="N2874">
            <v>49.9</v>
          </cell>
          <cell r="O2874">
            <v>10.8</v>
          </cell>
          <cell r="P2874">
            <v>0.3</v>
          </cell>
          <cell r="S2874">
            <v>5.2</v>
          </cell>
          <cell r="T2874">
            <v>3.1</v>
          </cell>
          <cell r="U2874">
            <v>2</v>
          </cell>
        </row>
        <row r="2875">
          <cell r="B2875" t="str">
            <v>Male</v>
          </cell>
          <cell r="F2875">
            <v>2</v>
          </cell>
          <cell r="G2875">
            <v>21.5</v>
          </cell>
          <cell r="H2875">
            <v>7.3</v>
          </cell>
          <cell r="I2875">
            <v>58.3</v>
          </cell>
          <cell r="J2875">
            <v>0</v>
          </cell>
          <cell r="K2875">
            <v>5</v>
          </cell>
          <cell r="L2875">
            <v>160.44</v>
          </cell>
          <cell r="M2875">
            <v>44</v>
          </cell>
          <cell r="N2875">
            <v>48.9</v>
          </cell>
          <cell r="O2875">
            <v>9.8000000000000007</v>
          </cell>
          <cell r="P2875">
            <v>9.3000000000000007</v>
          </cell>
          <cell r="S2875">
            <v>0</v>
          </cell>
          <cell r="T2875">
            <v>6.9</v>
          </cell>
          <cell r="U2875">
            <v>3</v>
          </cell>
        </row>
        <row r="2876">
          <cell r="B2876" t="str">
            <v>Female</v>
          </cell>
          <cell r="F2876">
            <v>22</v>
          </cell>
          <cell r="H2876">
            <v>15.4</v>
          </cell>
          <cell r="I2876">
            <v>63.4</v>
          </cell>
          <cell r="J2876">
            <v>12</v>
          </cell>
          <cell r="K2876">
            <v>20</v>
          </cell>
          <cell r="L2876">
            <v>114.78</v>
          </cell>
          <cell r="M2876">
            <v>31</v>
          </cell>
          <cell r="N2876">
            <v>29.1</v>
          </cell>
          <cell r="O2876">
            <v>2.6</v>
          </cell>
          <cell r="P2876">
            <v>58.1</v>
          </cell>
          <cell r="T2876">
            <v>30.5</v>
          </cell>
        </row>
        <row r="2877">
          <cell r="B2877" t="str">
            <v>Male</v>
          </cell>
          <cell r="F2877">
            <v>6</v>
          </cell>
          <cell r="G2877">
            <v>18.100000000000001</v>
          </cell>
          <cell r="H2877">
            <v>7.6</v>
          </cell>
          <cell r="I2877">
            <v>66.900000000000006</v>
          </cell>
          <cell r="J2877">
            <v>5</v>
          </cell>
          <cell r="K2877">
            <v>11</v>
          </cell>
          <cell r="L2877">
            <v>89.89</v>
          </cell>
          <cell r="M2877">
            <v>12</v>
          </cell>
          <cell r="N2877">
            <v>56.4</v>
          </cell>
          <cell r="O2877">
            <v>5.6</v>
          </cell>
          <cell r="P2877">
            <v>18.3</v>
          </cell>
          <cell r="S2877">
            <v>16.600000000000001</v>
          </cell>
          <cell r="T2877">
            <v>12.3</v>
          </cell>
          <cell r="U2877">
            <v>2</v>
          </cell>
        </row>
        <row r="2878">
          <cell r="B2878" t="str">
            <v>Female</v>
          </cell>
          <cell r="F2878">
            <v>15</v>
          </cell>
          <cell r="G2878">
            <v>28.6</v>
          </cell>
          <cell r="H2878">
            <v>9.1</v>
          </cell>
          <cell r="I2878">
            <v>50.3</v>
          </cell>
          <cell r="J2878">
            <v>11</v>
          </cell>
          <cell r="K2878">
            <v>23</v>
          </cell>
          <cell r="L2878">
            <v>190.04</v>
          </cell>
          <cell r="M2878">
            <v>1</v>
          </cell>
          <cell r="O2878">
            <v>4.4000000000000004</v>
          </cell>
          <cell r="P2878">
            <v>18</v>
          </cell>
          <cell r="S2878">
            <v>41.9</v>
          </cell>
          <cell r="U2878">
            <v>2</v>
          </cell>
        </row>
        <row r="2879">
          <cell r="B2879" t="str">
            <v>Male</v>
          </cell>
          <cell r="F2879">
            <v>6</v>
          </cell>
          <cell r="G2879">
            <v>19.7</v>
          </cell>
          <cell r="H2879">
            <v>7.8</v>
          </cell>
          <cell r="I2879">
            <v>68.3</v>
          </cell>
          <cell r="J2879">
            <v>3</v>
          </cell>
          <cell r="K2879">
            <v>7</v>
          </cell>
          <cell r="L2879">
            <v>164.64</v>
          </cell>
          <cell r="M2879">
            <v>4</v>
          </cell>
          <cell r="N2879">
            <v>69.099999999999994</v>
          </cell>
          <cell r="O2879">
            <v>10.1</v>
          </cell>
          <cell r="P2879">
            <v>25.8</v>
          </cell>
          <cell r="S2879">
            <v>22.1</v>
          </cell>
          <cell r="T2879">
            <v>25.8</v>
          </cell>
          <cell r="U2879">
            <v>4</v>
          </cell>
        </row>
        <row r="2880">
          <cell r="B2880" t="str">
            <v>Female</v>
          </cell>
          <cell r="F2880">
            <v>9</v>
          </cell>
          <cell r="G2880">
            <v>34.6</v>
          </cell>
          <cell r="I2880">
            <v>61.9</v>
          </cell>
          <cell r="J2880">
            <v>4</v>
          </cell>
          <cell r="K2880">
            <v>14</v>
          </cell>
          <cell r="L2880">
            <v>273.76</v>
          </cell>
          <cell r="M2880">
            <v>12</v>
          </cell>
          <cell r="N2880">
            <v>18.100000000000001</v>
          </cell>
          <cell r="O2880">
            <v>15</v>
          </cell>
          <cell r="P2880">
            <v>10.199999999999999</v>
          </cell>
          <cell r="S2880">
            <v>49.3</v>
          </cell>
          <cell r="T2880">
            <v>18.7</v>
          </cell>
        </row>
        <row r="2881">
          <cell r="B2881" t="str">
            <v>Female</v>
          </cell>
          <cell r="F2881">
            <v>6</v>
          </cell>
          <cell r="H2881">
            <v>12</v>
          </cell>
          <cell r="I2881">
            <v>71.8</v>
          </cell>
          <cell r="J2881">
            <v>2</v>
          </cell>
          <cell r="K2881">
            <v>10</v>
          </cell>
          <cell r="L2881">
            <v>183.54</v>
          </cell>
          <cell r="M2881">
            <v>14</v>
          </cell>
          <cell r="N2881">
            <v>72.5</v>
          </cell>
          <cell r="O2881">
            <v>1.8</v>
          </cell>
          <cell r="P2881">
            <v>22</v>
          </cell>
          <cell r="S2881">
            <v>56.5</v>
          </cell>
          <cell r="T2881">
            <v>24.8</v>
          </cell>
          <cell r="U2881">
            <v>2</v>
          </cell>
        </row>
        <row r="2882">
          <cell r="B2882" t="str">
            <v>Female</v>
          </cell>
          <cell r="F2882">
            <v>15</v>
          </cell>
          <cell r="G2882">
            <v>32.200000000000003</v>
          </cell>
          <cell r="H2882">
            <v>9.8000000000000007</v>
          </cell>
          <cell r="I2882">
            <v>46.6</v>
          </cell>
          <cell r="J2882">
            <v>3</v>
          </cell>
          <cell r="K2882" t="str">
            <v>15.600000000000001</v>
          </cell>
          <cell r="L2882">
            <v>125.16</v>
          </cell>
          <cell r="N2882">
            <v>45.24</v>
          </cell>
          <cell r="O2882">
            <v>10.7</v>
          </cell>
          <cell r="P2882">
            <v>23.6</v>
          </cell>
          <cell r="S2882">
            <v>55.9</v>
          </cell>
          <cell r="T2882">
            <v>24</v>
          </cell>
          <cell r="U2882">
            <v>1</v>
          </cell>
        </row>
        <row r="2883">
          <cell r="B2883" t="str">
            <v>Female</v>
          </cell>
          <cell r="F2883">
            <v>11</v>
          </cell>
          <cell r="G2883">
            <v>25.5</v>
          </cell>
          <cell r="H2883">
            <v>10.4</v>
          </cell>
          <cell r="I2883">
            <v>51.5</v>
          </cell>
          <cell r="J2883">
            <v>7</v>
          </cell>
          <cell r="K2883">
            <v>13</v>
          </cell>
          <cell r="L2883">
            <v>67.56</v>
          </cell>
          <cell r="M2883">
            <v>2</v>
          </cell>
          <cell r="N2883">
            <v>46</v>
          </cell>
          <cell r="P2883">
            <v>37.9</v>
          </cell>
          <cell r="S2883">
            <v>86.2</v>
          </cell>
          <cell r="T2883">
            <v>32.200000000000003</v>
          </cell>
          <cell r="U2883">
            <v>4</v>
          </cell>
        </row>
        <row r="2884">
          <cell r="B2884" t="str">
            <v>Female</v>
          </cell>
          <cell r="F2884">
            <v>9</v>
          </cell>
          <cell r="G2884">
            <v>25.5</v>
          </cell>
          <cell r="I2884">
            <v>43.5</v>
          </cell>
          <cell r="J2884">
            <v>5</v>
          </cell>
          <cell r="K2884">
            <v>13</v>
          </cell>
          <cell r="L2884">
            <v>129.12</v>
          </cell>
          <cell r="M2884">
            <v>7</v>
          </cell>
          <cell r="O2884">
            <v>0.1</v>
          </cell>
          <cell r="S2884">
            <v>61.8</v>
          </cell>
          <cell r="T2884">
            <v>18.7</v>
          </cell>
          <cell r="U2884">
            <v>3</v>
          </cell>
        </row>
        <row r="2885">
          <cell r="B2885" t="str">
            <v>Male</v>
          </cell>
          <cell r="F2885">
            <v>7</v>
          </cell>
          <cell r="H2885">
            <v>6.7</v>
          </cell>
          <cell r="I2885">
            <v>71.5</v>
          </cell>
          <cell r="J2885">
            <v>3</v>
          </cell>
          <cell r="K2885">
            <v>13</v>
          </cell>
          <cell r="L2885">
            <v>129.35</v>
          </cell>
          <cell r="M2885">
            <v>67</v>
          </cell>
          <cell r="N2885">
            <v>41.3</v>
          </cell>
          <cell r="O2885">
            <v>6.8</v>
          </cell>
          <cell r="P2885">
            <v>6.3</v>
          </cell>
        </row>
        <row r="2886">
          <cell r="B2886" t="str">
            <v>Female</v>
          </cell>
          <cell r="F2886">
            <v>15</v>
          </cell>
          <cell r="G2886">
            <v>27.1</v>
          </cell>
          <cell r="H2886">
            <v>11.1</v>
          </cell>
          <cell r="I2886">
            <v>56</v>
          </cell>
          <cell r="J2886">
            <v>8</v>
          </cell>
          <cell r="K2886">
            <v>14</v>
          </cell>
          <cell r="L2886">
            <v>146.16999999999999</v>
          </cell>
          <cell r="M2886">
            <v>0</v>
          </cell>
          <cell r="N2886">
            <v>81.3</v>
          </cell>
          <cell r="O2886">
            <v>15.4</v>
          </cell>
          <cell r="P2886">
            <v>26.6</v>
          </cell>
          <cell r="S2886">
            <v>48.6</v>
          </cell>
          <cell r="T2886">
            <v>15.8</v>
          </cell>
          <cell r="U2886">
            <v>3</v>
          </cell>
        </row>
        <row r="2887">
          <cell r="B2887" t="str">
            <v>Female</v>
          </cell>
          <cell r="F2887">
            <v>11</v>
          </cell>
          <cell r="G2887">
            <v>34.200000000000003</v>
          </cell>
          <cell r="H2887">
            <v>12.8</v>
          </cell>
          <cell r="I2887">
            <v>54.6</v>
          </cell>
          <cell r="K2887">
            <v>16</v>
          </cell>
          <cell r="L2887">
            <v>63.67</v>
          </cell>
          <cell r="M2887">
            <v>36</v>
          </cell>
          <cell r="N2887">
            <v>26.4</v>
          </cell>
          <cell r="O2887">
            <v>2.8</v>
          </cell>
          <cell r="P2887">
            <v>26.3</v>
          </cell>
          <cell r="S2887">
            <v>36.5</v>
          </cell>
          <cell r="U2887">
            <v>2</v>
          </cell>
        </row>
        <row r="2888">
          <cell r="B2888" t="str">
            <v>Female</v>
          </cell>
          <cell r="F2888">
            <v>0</v>
          </cell>
          <cell r="G2888">
            <v>16.8</v>
          </cell>
          <cell r="H2888">
            <v>5.5</v>
          </cell>
          <cell r="I2888">
            <v>86.4</v>
          </cell>
          <cell r="J2888">
            <v>0</v>
          </cell>
          <cell r="K2888">
            <v>9.1</v>
          </cell>
          <cell r="L2888">
            <v>203.81</v>
          </cell>
          <cell r="M2888">
            <v>51</v>
          </cell>
          <cell r="N2888">
            <v>18.72</v>
          </cell>
          <cell r="O2888">
            <v>9.4</v>
          </cell>
          <cell r="P2888">
            <v>16.5</v>
          </cell>
          <cell r="S2888">
            <v>26.6</v>
          </cell>
          <cell r="T2888">
            <v>2.7</v>
          </cell>
          <cell r="U2888">
            <v>2</v>
          </cell>
        </row>
        <row r="2889">
          <cell r="B2889" t="str">
            <v>Female</v>
          </cell>
          <cell r="F2889">
            <v>13</v>
          </cell>
          <cell r="H2889">
            <v>7.8</v>
          </cell>
          <cell r="I2889">
            <v>66.400000000000006</v>
          </cell>
          <cell r="K2889">
            <v>9</v>
          </cell>
          <cell r="L2889">
            <v>135.19999999999999</v>
          </cell>
          <cell r="M2889">
            <v>96</v>
          </cell>
          <cell r="N2889">
            <v>24.8</v>
          </cell>
          <cell r="O2889">
            <v>15.8</v>
          </cell>
          <cell r="P2889">
            <v>8.8000000000000007</v>
          </cell>
          <cell r="S2889">
            <v>0</v>
          </cell>
          <cell r="T2889">
            <v>12.8</v>
          </cell>
          <cell r="U2889">
            <v>5</v>
          </cell>
        </row>
        <row r="2890">
          <cell r="B2890" t="str">
            <v>Female</v>
          </cell>
          <cell r="F2890">
            <v>0</v>
          </cell>
          <cell r="G2890">
            <v>18.600000000000001</v>
          </cell>
          <cell r="H2890">
            <v>1</v>
          </cell>
          <cell r="I2890">
            <v>76.099999999999994</v>
          </cell>
          <cell r="J2890">
            <v>2</v>
          </cell>
          <cell r="K2890">
            <v>9.1</v>
          </cell>
          <cell r="L2890">
            <v>96.23</v>
          </cell>
          <cell r="M2890">
            <v>15</v>
          </cell>
          <cell r="N2890">
            <v>84.36</v>
          </cell>
          <cell r="P2890">
            <v>13.1</v>
          </cell>
          <cell r="S2890">
            <v>17.2</v>
          </cell>
          <cell r="T2890">
            <v>7.1</v>
          </cell>
          <cell r="U2890">
            <v>2</v>
          </cell>
        </row>
        <row r="2891">
          <cell r="B2891" t="str">
            <v>Male</v>
          </cell>
          <cell r="F2891">
            <v>12</v>
          </cell>
          <cell r="G2891">
            <v>27.8</v>
          </cell>
          <cell r="I2891">
            <v>49.4</v>
          </cell>
          <cell r="J2891">
            <v>2</v>
          </cell>
          <cell r="K2891">
            <v>12</v>
          </cell>
          <cell r="L2891">
            <v>84.7</v>
          </cell>
          <cell r="M2891">
            <v>27</v>
          </cell>
          <cell r="N2891">
            <v>36</v>
          </cell>
          <cell r="O2891">
            <v>4.5</v>
          </cell>
          <cell r="P2891">
            <v>10.4</v>
          </cell>
          <cell r="S2891">
            <v>0</v>
          </cell>
          <cell r="T2891">
            <v>17.8</v>
          </cell>
          <cell r="U2891">
            <v>1</v>
          </cell>
        </row>
        <row r="2892">
          <cell r="B2892" t="str">
            <v>Male</v>
          </cell>
          <cell r="F2892">
            <v>3</v>
          </cell>
          <cell r="G2892">
            <v>7.5</v>
          </cell>
          <cell r="H2892">
            <v>1.6</v>
          </cell>
          <cell r="I2892">
            <v>82.1</v>
          </cell>
          <cell r="J2892">
            <v>1</v>
          </cell>
          <cell r="K2892">
            <v>4</v>
          </cell>
          <cell r="L2892">
            <v>133.53</v>
          </cell>
          <cell r="M2892">
            <v>23</v>
          </cell>
          <cell r="N2892">
            <v>63.4</v>
          </cell>
          <cell r="O2892">
            <v>5.5</v>
          </cell>
          <cell r="P2892">
            <v>7.8</v>
          </cell>
          <cell r="S2892">
            <v>6.1</v>
          </cell>
          <cell r="T2892">
            <v>2.7</v>
          </cell>
          <cell r="U2892">
            <v>2</v>
          </cell>
        </row>
        <row r="2893">
          <cell r="B2893" t="str">
            <v>Female</v>
          </cell>
          <cell r="F2893">
            <v>7</v>
          </cell>
          <cell r="G2893">
            <v>28.8</v>
          </cell>
          <cell r="H2893">
            <v>12.2</v>
          </cell>
          <cell r="I2893">
            <v>64.7</v>
          </cell>
          <cell r="J2893">
            <v>2</v>
          </cell>
          <cell r="K2893">
            <v>11</v>
          </cell>
          <cell r="L2893">
            <v>51.59</v>
          </cell>
          <cell r="M2893">
            <v>65</v>
          </cell>
          <cell r="O2893">
            <v>5.4</v>
          </cell>
          <cell r="P2893">
            <v>15.3</v>
          </cell>
          <cell r="T2893">
            <v>21.5</v>
          </cell>
        </row>
        <row r="2894">
          <cell r="B2894" t="str">
            <v>Female</v>
          </cell>
          <cell r="F2894">
            <v>25</v>
          </cell>
          <cell r="G2894">
            <v>27.8</v>
          </cell>
          <cell r="H2894">
            <v>10.5</v>
          </cell>
          <cell r="I2894">
            <v>56.5</v>
          </cell>
          <cell r="J2894">
            <v>3</v>
          </cell>
          <cell r="K2894" t="str">
            <v>16.900000000000002</v>
          </cell>
          <cell r="L2894">
            <v>71.33</v>
          </cell>
          <cell r="M2894">
            <v>33</v>
          </cell>
          <cell r="N2894">
            <v>10.08</v>
          </cell>
          <cell r="O2894">
            <v>12.9</v>
          </cell>
          <cell r="P2894">
            <v>32.4</v>
          </cell>
          <cell r="S2894">
            <v>18.7</v>
          </cell>
          <cell r="T2894">
            <v>24.3</v>
          </cell>
          <cell r="U2894">
            <v>2</v>
          </cell>
        </row>
        <row r="2895">
          <cell r="B2895" t="str">
            <v>Male</v>
          </cell>
          <cell r="F2895">
            <v>23</v>
          </cell>
          <cell r="G2895">
            <v>50.9</v>
          </cell>
          <cell r="H2895">
            <v>12.9</v>
          </cell>
          <cell r="I2895">
            <v>19</v>
          </cell>
          <cell r="J2895">
            <v>12</v>
          </cell>
          <cell r="K2895">
            <v>20</v>
          </cell>
          <cell r="L2895">
            <v>203.31</v>
          </cell>
          <cell r="M2895">
            <v>2</v>
          </cell>
          <cell r="P2895">
            <v>30</v>
          </cell>
          <cell r="S2895">
            <v>42.8</v>
          </cell>
          <cell r="T2895">
            <v>31.1</v>
          </cell>
          <cell r="U2895">
            <v>1</v>
          </cell>
        </row>
        <row r="2896">
          <cell r="B2896" t="str">
            <v>Female</v>
          </cell>
          <cell r="F2896">
            <v>16</v>
          </cell>
          <cell r="G2896">
            <v>27.6</v>
          </cell>
          <cell r="H2896">
            <v>12.4</v>
          </cell>
          <cell r="I2896">
            <v>45.1</v>
          </cell>
          <cell r="K2896">
            <v>17</v>
          </cell>
          <cell r="L2896">
            <v>232.74</v>
          </cell>
          <cell r="M2896">
            <v>1</v>
          </cell>
          <cell r="N2896">
            <v>20.100000000000001</v>
          </cell>
          <cell r="O2896">
            <v>6.5</v>
          </cell>
          <cell r="P2896">
            <v>40.299999999999997</v>
          </cell>
          <cell r="S2896">
            <v>25.4</v>
          </cell>
          <cell r="T2896">
            <v>29</v>
          </cell>
          <cell r="U2896">
            <v>3</v>
          </cell>
        </row>
        <row r="2897">
          <cell r="B2897" t="str">
            <v>Female</v>
          </cell>
          <cell r="F2897">
            <v>9</v>
          </cell>
          <cell r="G2897">
            <v>6.9</v>
          </cell>
          <cell r="H2897">
            <v>4</v>
          </cell>
          <cell r="I2897">
            <v>68.3</v>
          </cell>
          <cell r="J2897">
            <v>0</v>
          </cell>
          <cell r="K2897">
            <v>5</v>
          </cell>
          <cell r="L2897">
            <v>229.8</v>
          </cell>
          <cell r="M2897">
            <v>12</v>
          </cell>
          <cell r="N2897">
            <v>51.3</v>
          </cell>
          <cell r="O2897">
            <v>13.5</v>
          </cell>
          <cell r="P2897">
            <v>14.5</v>
          </cell>
          <cell r="S2897">
            <v>6.4</v>
          </cell>
          <cell r="U2897">
            <v>3</v>
          </cell>
        </row>
        <row r="2898">
          <cell r="B2898" t="str">
            <v>Male</v>
          </cell>
          <cell r="F2898">
            <v>12</v>
          </cell>
          <cell r="G2898">
            <v>17.3</v>
          </cell>
          <cell r="H2898">
            <v>5.6</v>
          </cell>
          <cell r="I2898">
            <v>85</v>
          </cell>
          <cell r="J2898">
            <v>0</v>
          </cell>
          <cell r="K2898">
            <v>12</v>
          </cell>
          <cell r="L2898">
            <v>94.26</v>
          </cell>
          <cell r="N2898">
            <v>39.700000000000003</v>
          </cell>
          <cell r="O2898">
            <v>13.3</v>
          </cell>
          <cell r="P2898">
            <v>16</v>
          </cell>
          <cell r="S2898">
            <v>41.8</v>
          </cell>
          <cell r="T2898">
            <v>11.7</v>
          </cell>
          <cell r="U2898">
            <v>1</v>
          </cell>
        </row>
        <row r="2899">
          <cell r="B2899" t="str">
            <v>Male</v>
          </cell>
          <cell r="F2899">
            <v>4</v>
          </cell>
          <cell r="G2899">
            <v>20.5</v>
          </cell>
          <cell r="H2899">
            <v>7</v>
          </cell>
          <cell r="I2899">
            <v>63.1</v>
          </cell>
          <cell r="J2899">
            <v>2</v>
          </cell>
          <cell r="K2899">
            <v>12</v>
          </cell>
          <cell r="L2899">
            <v>125.36</v>
          </cell>
          <cell r="M2899">
            <v>3</v>
          </cell>
          <cell r="N2899">
            <v>48.1</v>
          </cell>
          <cell r="O2899">
            <v>8</v>
          </cell>
          <cell r="P2899">
            <v>21.4</v>
          </cell>
          <cell r="T2899">
            <v>3.6</v>
          </cell>
          <cell r="U2899">
            <v>2</v>
          </cell>
        </row>
        <row r="2900">
          <cell r="B2900" t="str">
            <v>Male</v>
          </cell>
          <cell r="F2900">
            <v>14</v>
          </cell>
          <cell r="G2900">
            <v>25.3</v>
          </cell>
          <cell r="H2900">
            <v>11.8</v>
          </cell>
          <cell r="I2900">
            <v>52.4</v>
          </cell>
          <cell r="J2900">
            <v>5</v>
          </cell>
          <cell r="K2900">
            <v>12</v>
          </cell>
          <cell r="L2900">
            <v>78.099999999999994</v>
          </cell>
          <cell r="M2900">
            <v>30</v>
          </cell>
          <cell r="N2900">
            <v>38.6</v>
          </cell>
          <cell r="O2900">
            <v>1</v>
          </cell>
          <cell r="P2900">
            <v>23.8</v>
          </cell>
          <cell r="S2900">
            <v>38.299999999999997</v>
          </cell>
          <cell r="T2900">
            <v>24.6</v>
          </cell>
          <cell r="U2900">
            <v>3</v>
          </cell>
        </row>
        <row r="2901">
          <cell r="B2901" t="str">
            <v>Female</v>
          </cell>
          <cell r="F2901">
            <v>26</v>
          </cell>
          <cell r="G2901">
            <v>43.1</v>
          </cell>
          <cell r="H2901">
            <v>16.7</v>
          </cell>
          <cell r="I2901">
            <v>28.6</v>
          </cell>
          <cell r="J2901">
            <v>8</v>
          </cell>
          <cell r="K2901">
            <v>21</v>
          </cell>
          <cell r="L2901">
            <v>60.97</v>
          </cell>
          <cell r="M2901">
            <v>56</v>
          </cell>
          <cell r="N2901">
            <v>11.9</v>
          </cell>
          <cell r="O2901">
            <v>6.1</v>
          </cell>
          <cell r="P2901">
            <v>42.5</v>
          </cell>
          <cell r="S2901">
            <v>52.3</v>
          </cell>
          <cell r="T2901">
            <v>31.8</v>
          </cell>
          <cell r="U2901">
            <v>2</v>
          </cell>
        </row>
        <row r="2902">
          <cell r="B2902" t="str">
            <v>Male</v>
          </cell>
          <cell r="F2902">
            <v>1</v>
          </cell>
          <cell r="H2902">
            <v>5</v>
          </cell>
          <cell r="I2902">
            <v>69.2</v>
          </cell>
          <cell r="J2902">
            <v>0</v>
          </cell>
          <cell r="K2902">
            <v>8</v>
          </cell>
          <cell r="L2902">
            <v>149.71</v>
          </cell>
          <cell r="M2902">
            <v>31</v>
          </cell>
          <cell r="N2902">
            <v>59.9</v>
          </cell>
          <cell r="O2902">
            <v>2.2999999999999998</v>
          </cell>
          <cell r="P2902">
            <v>11.7</v>
          </cell>
          <cell r="S2902">
            <v>22.5</v>
          </cell>
          <cell r="T2902">
            <v>18.7</v>
          </cell>
          <cell r="U2902">
            <v>1</v>
          </cell>
        </row>
        <row r="2903">
          <cell r="B2903" t="str">
            <v>Female</v>
          </cell>
          <cell r="F2903">
            <v>10</v>
          </cell>
          <cell r="G2903">
            <v>26</v>
          </cell>
          <cell r="H2903">
            <v>8.5</v>
          </cell>
          <cell r="I2903">
            <v>39.299999999999997</v>
          </cell>
          <cell r="J2903">
            <v>7</v>
          </cell>
          <cell r="K2903">
            <v>16</v>
          </cell>
          <cell r="L2903">
            <v>144.94999999999999</v>
          </cell>
          <cell r="M2903">
            <v>79</v>
          </cell>
          <cell r="N2903">
            <v>8.5</v>
          </cell>
          <cell r="O2903">
            <v>1.8</v>
          </cell>
          <cell r="P2903">
            <v>28</v>
          </cell>
          <cell r="S2903">
            <v>62.9</v>
          </cell>
          <cell r="T2903">
            <v>22.9</v>
          </cell>
          <cell r="U2903">
            <v>4</v>
          </cell>
        </row>
        <row r="2904">
          <cell r="B2904" t="str">
            <v>Male</v>
          </cell>
          <cell r="F2904">
            <v>6</v>
          </cell>
          <cell r="G2904">
            <v>7.2</v>
          </cell>
          <cell r="H2904">
            <v>2</v>
          </cell>
          <cell r="I2904">
            <v>78.5</v>
          </cell>
          <cell r="J2904">
            <v>0</v>
          </cell>
          <cell r="K2904">
            <v>4</v>
          </cell>
          <cell r="L2904">
            <v>113.69</v>
          </cell>
          <cell r="M2904">
            <v>21</v>
          </cell>
          <cell r="N2904">
            <v>12.3</v>
          </cell>
          <cell r="O2904">
            <v>8.1999999999999993</v>
          </cell>
          <cell r="P2904">
            <v>21.5</v>
          </cell>
          <cell r="S2904">
            <v>28.5</v>
          </cell>
          <cell r="T2904">
            <v>8</v>
          </cell>
          <cell r="U2904">
            <v>4</v>
          </cell>
        </row>
        <row r="2905">
          <cell r="B2905" t="str">
            <v>Male</v>
          </cell>
          <cell r="F2905">
            <v>26</v>
          </cell>
          <cell r="G2905">
            <v>51</v>
          </cell>
          <cell r="I2905">
            <v>20.3</v>
          </cell>
          <cell r="J2905">
            <v>11</v>
          </cell>
          <cell r="K2905">
            <v>20</v>
          </cell>
          <cell r="L2905">
            <v>186.02</v>
          </cell>
          <cell r="M2905">
            <v>50</v>
          </cell>
          <cell r="N2905">
            <v>81.3</v>
          </cell>
          <cell r="O2905">
            <v>5.2</v>
          </cell>
          <cell r="P2905">
            <v>44.1</v>
          </cell>
          <cell r="S2905">
            <v>58.7</v>
          </cell>
          <cell r="T2905">
            <v>39.299999999999997</v>
          </cell>
          <cell r="U2905">
            <v>1</v>
          </cell>
        </row>
        <row r="2906">
          <cell r="B2906" t="str">
            <v>Female</v>
          </cell>
          <cell r="F2906">
            <v>2</v>
          </cell>
          <cell r="I2906">
            <v>84.2</v>
          </cell>
          <cell r="J2906">
            <v>0</v>
          </cell>
          <cell r="K2906">
            <v>7</v>
          </cell>
          <cell r="L2906">
            <v>108.8</v>
          </cell>
          <cell r="M2906">
            <v>17</v>
          </cell>
          <cell r="N2906">
            <v>26.7</v>
          </cell>
          <cell r="O2906">
            <v>11.4</v>
          </cell>
          <cell r="S2906">
            <v>0.9</v>
          </cell>
          <cell r="T2906">
            <v>6.8</v>
          </cell>
          <cell r="U2906">
            <v>5</v>
          </cell>
        </row>
        <row r="2907">
          <cell r="B2907" t="str">
            <v>Female</v>
          </cell>
          <cell r="F2907">
            <v>13</v>
          </cell>
          <cell r="G2907">
            <v>29.8</v>
          </cell>
          <cell r="H2907">
            <v>10.9</v>
          </cell>
          <cell r="I2907">
            <v>40.4</v>
          </cell>
          <cell r="J2907">
            <v>7</v>
          </cell>
          <cell r="K2907">
            <v>10.4</v>
          </cell>
          <cell r="L2907">
            <v>144.43</v>
          </cell>
          <cell r="M2907">
            <v>7</v>
          </cell>
          <cell r="N2907">
            <v>43.68</v>
          </cell>
          <cell r="O2907">
            <v>1.3</v>
          </cell>
          <cell r="P2907">
            <v>29.4</v>
          </cell>
          <cell r="S2907">
            <v>24.1</v>
          </cell>
          <cell r="T2907">
            <v>27.4</v>
          </cell>
          <cell r="U2907">
            <v>2</v>
          </cell>
        </row>
        <row r="2908">
          <cell r="B2908" t="str">
            <v>Male</v>
          </cell>
          <cell r="F2908">
            <v>8</v>
          </cell>
          <cell r="G2908">
            <v>31.9</v>
          </cell>
          <cell r="H2908">
            <v>10.4</v>
          </cell>
          <cell r="I2908">
            <v>48</v>
          </cell>
          <cell r="J2908">
            <v>1</v>
          </cell>
          <cell r="K2908">
            <v>14</v>
          </cell>
          <cell r="L2908">
            <v>160.52000000000001</v>
          </cell>
          <cell r="M2908">
            <v>23</v>
          </cell>
          <cell r="N2908">
            <v>54.5</v>
          </cell>
          <cell r="O2908">
            <v>11.1</v>
          </cell>
          <cell r="P2908">
            <v>21.6</v>
          </cell>
          <cell r="S2908">
            <v>47.7</v>
          </cell>
          <cell r="T2908">
            <v>25.1</v>
          </cell>
          <cell r="U2908">
            <v>1</v>
          </cell>
        </row>
        <row r="2909">
          <cell r="B2909" t="str">
            <v>Male</v>
          </cell>
          <cell r="F2909">
            <v>0</v>
          </cell>
          <cell r="H2909">
            <v>11</v>
          </cell>
          <cell r="I2909">
            <v>71.900000000000006</v>
          </cell>
          <cell r="J2909">
            <v>1</v>
          </cell>
          <cell r="K2909">
            <v>8</v>
          </cell>
          <cell r="L2909">
            <v>104.17</v>
          </cell>
          <cell r="M2909">
            <v>118</v>
          </cell>
          <cell r="N2909">
            <v>31.4</v>
          </cell>
          <cell r="O2909">
            <v>7.8</v>
          </cell>
          <cell r="S2909">
            <v>15.5</v>
          </cell>
          <cell r="T2909">
            <v>11.1</v>
          </cell>
          <cell r="U2909">
            <v>1</v>
          </cell>
        </row>
        <row r="2910">
          <cell r="B2910" t="str">
            <v>Male</v>
          </cell>
          <cell r="F2910">
            <v>9</v>
          </cell>
          <cell r="G2910">
            <v>19</v>
          </cell>
          <cell r="H2910">
            <v>3.4</v>
          </cell>
          <cell r="I2910">
            <v>74.099999999999994</v>
          </cell>
          <cell r="J2910">
            <v>1</v>
          </cell>
          <cell r="K2910">
            <v>10</v>
          </cell>
          <cell r="L2910">
            <v>112.81</v>
          </cell>
          <cell r="M2910">
            <v>20</v>
          </cell>
          <cell r="N2910">
            <v>53.8</v>
          </cell>
          <cell r="O2910">
            <v>19.600000000000001</v>
          </cell>
          <cell r="S2910">
            <v>24</v>
          </cell>
          <cell r="T2910">
            <v>6.1</v>
          </cell>
          <cell r="U2910">
            <v>1</v>
          </cell>
        </row>
        <row r="2911">
          <cell r="B2911" t="str">
            <v>Female</v>
          </cell>
          <cell r="F2911">
            <v>0</v>
          </cell>
          <cell r="H2911">
            <v>3.3</v>
          </cell>
          <cell r="I2911">
            <v>73.5</v>
          </cell>
          <cell r="J2911">
            <v>0</v>
          </cell>
          <cell r="K2911">
            <v>4</v>
          </cell>
          <cell r="L2911">
            <v>74.239999999999995</v>
          </cell>
          <cell r="M2911">
            <v>22</v>
          </cell>
          <cell r="N2911">
            <v>65.599999999999994</v>
          </cell>
          <cell r="O2911">
            <v>4.9000000000000004</v>
          </cell>
          <cell r="P2911">
            <v>16.899999999999999</v>
          </cell>
          <cell r="S2911">
            <v>9.4</v>
          </cell>
          <cell r="T2911">
            <v>21.4</v>
          </cell>
          <cell r="U2911">
            <v>1</v>
          </cell>
        </row>
        <row r="2912">
          <cell r="B2912" t="str">
            <v>Male</v>
          </cell>
          <cell r="F2912">
            <v>13</v>
          </cell>
          <cell r="G2912">
            <v>17.100000000000001</v>
          </cell>
          <cell r="H2912">
            <v>5.8</v>
          </cell>
          <cell r="I2912">
            <v>77.900000000000006</v>
          </cell>
          <cell r="J2912">
            <v>4</v>
          </cell>
          <cell r="K2912">
            <v>9.1</v>
          </cell>
          <cell r="L2912">
            <v>157.35</v>
          </cell>
          <cell r="M2912">
            <v>23</v>
          </cell>
          <cell r="N2912">
            <v>42.24</v>
          </cell>
          <cell r="O2912">
            <v>5</v>
          </cell>
          <cell r="P2912">
            <v>12.6</v>
          </cell>
          <cell r="S2912">
            <v>20.8</v>
          </cell>
          <cell r="T2912">
            <v>15.2</v>
          </cell>
          <cell r="U2912">
            <v>2</v>
          </cell>
        </row>
        <row r="2913">
          <cell r="B2913" t="str">
            <v>Female</v>
          </cell>
          <cell r="F2913">
            <v>9</v>
          </cell>
          <cell r="G2913">
            <v>19.5</v>
          </cell>
          <cell r="H2913">
            <v>10.4</v>
          </cell>
          <cell r="I2913">
            <v>91.8</v>
          </cell>
          <cell r="J2913">
            <v>5</v>
          </cell>
          <cell r="K2913" t="str">
            <v>15.600000000000001</v>
          </cell>
          <cell r="L2913">
            <v>133.6</v>
          </cell>
          <cell r="M2913">
            <v>39</v>
          </cell>
          <cell r="N2913">
            <v>88.32</v>
          </cell>
          <cell r="O2913">
            <v>15</v>
          </cell>
          <cell r="P2913">
            <v>14.8</v>
          </cell>
          <cell r="S2913">
            <v>0.5</v>
          </cell>
          <cell r="T2913">
            <v>10.3</v>
          </cell>
          <cell r="U2913">
            <v>3</v>
          </cell>
        </row>
        <row r="2914">
          <cell r="B2914" t="str">
            <v>Female</v>
          </cell>
          <cell r="F2914">
            <v>0</v>
          </cell>
          <cell r="G2914">
            <v>24.2</v>
          </cell>
          <cell r="H2914">
            <v>5.6</v>
          </cell>
          <cell r="I2914">
            <v>77.5</v>
          </cell>
          <cell r="J2914">
            <v>2</v>
          </cell>
          <cell r="K2914">
            <v>4</v>
          </cell>
          <cell r="L2914">
            <v>97.63</v>
          </cell>
          <cell r="M2914">
            <v>28</v>
          </cell>
          <cell r="N2914">
            <v>40.200000000000003</v>
          </cell>
          <cell r="P2914">
            <v>20.399999999999999</v>
          </cell>
          <cell r="T2914">
            <v>7.4</v>
          </cell>
          <cell r="U2914">
            <v>2</v>
          </cell>
        </row>
        <row r="2915">
          <cell r="B2915" t="str">
            <v>Male</v>
          </cell>
          <cell r="F2915">
            <v>15</v>
          </cell>
          <cell r="G2915">
            <v>25.9</v>
          </cell>
          <cell r="I2915">
            <v>73.5</v>
          </cell>
          <cell r="J2915">
            <v>4</v>
          </cell>
          <cell r="K2915">
            <v>71</v>
          </cell>
          <cell r="L2915">
            <v>178.27</v>
          </cell>
          <cell r="M2915">
            <v>8</v>
          </cell>
          <cell r="N2915">
            <v>33.4</v>
          </cell>
          <cell r="O2915" t="str">
            <v>85.47694004027935</v>
          </cell>
          <cell r="P2915">
            <v>8.8000000000000007</v>
          </cell>
          <cell r="S2915">
            <v>0</v>
          </cell>
          <cell r="T2915">
            <v>10.6</v>
          </cell>
          <cell r="U2915">
            <v>1</v>
          </cell>
        </row>
        <row r="2916">
          <cell r="B2916" t="str">
            <v>Male</v>
          </cell>
          <cell r="F2916">
            <v>14</v>
          </cell>
          <cell r="G2916">
            <v>32.200000000000003</v>
          </cell>
          <cell r="I2916">
            <v>50.5</v>
          </cell>
          <cell r="J2916">
            <v>3</v>
          </cell>
          <cell r="K2916">
            <v>8</v>
          </cell>
          <cell r="L2916">
            <v>122.81</v>
          </cell>
          <cell r="M2916">
            <v>11</v>
          </cell>
          <cell r="O2916">
            <v>4.9000000000000004</v>
          </cell>
          <cell r="P2916">
            <v>15.1</v>
          </cell>
          <cell r="T2916">
            <v>19.7</v>
          </cell>
          <cell r="U2916">
            <v>1</v>
          </cell>
        </row>
        <row r="2917">
          <cell r="B2917" t="str">
            <v>Female</v>
          </cell>
          <cell r="F2917">
            <v>19</v>
          </cell>
          <cell r="G2917">
            <v>38.9</v>
          </cell>
          <cell r="H2917">
            <v>13.4</v>
          </cell>
          <cell r="I2917">
            <v>54.9</v>
          </cell>
          <cell r="J2917">
            <v>9</v>
          </cell>
          <cell r="K2917">
            <v>15</v>
          </cell>
          <cell r="L2917">
            <v>119.1</v>
          </cell>
          <cell r="M2917">
            <v>46</v>
          </cell>
          <cell r="N2917">
            <v>31.9</v>
          </cell>
          <cell r="P2917">
            <v>15.9</v>
          </cell>
          <cell r="S2917">
            <v>70.2</v>
          </cell>
          <cell r="T2917">
            <v>33.299999999999997</v>
          </cell>
          <cell r="U2917">
            <v>1</v>
          </cell>
        </row>
        <row r="2918">
          <cell r="B2918" t="str">
            <v>Male</v>
          </cell>
          <cell r="F2918">
            <v>16</v>
          </cell>
          <cell r="G2918">
            <v>22.4</v>
          </cell>
          <cell r="H2918">
            <v>6.2</v>
          </cell>
          <cell r="I2918">
            <v>81.400000000000006</v>
          </cell>
          <cell r="J2918">
            <v>1</v>
          </cell>
          <cell r="K2918">
            <v>10.4</v>
          </cell>
          <cell r="L2918">
            <v>93.83</v>
          </cell>
          <cell r="M2918">
            <v>34</v>
          </cell>
          <cell r="N2918">
            <v>19.559999999999999</v>
          </cell>
          <cell r="O2918">
            <v>3.5</v>
          </cell>
          <cell r="P2918">
            <v>17.2</v>
          </cell>
          <cell r="S2918">
            <v>19.8</v>
          </cell>
          <cell r="T2918">
            <v>21.3</v>
          </cell>
          <cell r="U2918">
            <v>2</v>
          </cell>
        </row>
        <row r="2919">
          <cell r="B2919" t="str">
            <v>Male</v>
          </cell>
          <cell r="F2919">
            <v>7</v>
          </cell>
          <cell r="G2919">
            <v>24.5</v>
          </cell>
          <cell r="H2919">
            <v>6.7</v>
          </cell>
          <cell r="I2919">
            <v>46.5</v>
          </cell>
          <cell r="K2919">
            <v>15</v>
          </cell>
          <cell r="L2919">
            <v>189.08</v>
          </cell>
          <cell r="M2919">
            <v>45</v>
          </cell>
          <cell r="N2919">
            <v>70</v>
          </cell>
          <cell r="O2919">
            <v>7.4</v>
          </cell>
          <cell r="P2919">
            <v>18.600000000000001</v>
          </cell>
          <cell r="S2919">
            <v>24.9</v>
          </cell>
          <cell r="T2919">
            <v>14.9</v>
          </cell>
          <cell r="U2919">
            <v>1</v>
          </cell>
        </row>
        <row r="2920">
          <cell r="B2920" t="str">
            <v>Female</v>
          </cell>
          <cell r="F2920">
            <v>26</v>
          </cell>
          <cell r="G2920">
            <v>43.2</v>
          </cell>
          <cell r="H2920">
            <v>11.9</v>
          </cell>
          <cell r="I2920">
            <v>24.4</v>
          </cell>
          <cell r="K2920" t="str">
            <v>23.400000000000002</v>
          </cell>
          <cell r="L2920">
            <v>71.12</v>
          </cell>
          <cell r="N2920">
            <v>34.68</v>
          </cell>
          <cell r="O2920">
            <v>6.4</v>
          </cell>
          <cell r="P2920">
            <v>31.8</v>
          </cell>
          <cell r="S2920">
            <v>84.6</v>
          </cell>
          <cell r="T2920">
            <v>28.6</v>
          </cell>
          <cell r="U2920">
            <v>3</v>
          </cell>
        </row>
        <row r="2921">
          <cell r="B2921" t="str">
            <v>Male</v>
          </cell>
          <cell r="F2921">
            <v>12</v>
          </cell>
          <cell r="G2921">
            <v>50.2</v>
          </cell>
          <cell r="H2921">
            <v>12.3</v>
          </cell>
          <cell r="I2921">
            <v>40.799999999999997</v>
          </cell>
          <cell r="J2921">
            <v>9</v>
          </cell>
          <cell r="K2921">
            <v>20</v>
          </cell>
          <cell r="L2921">
            <v>71.38</v>
          </cell>
          <cell r="M2921">
            <v>30</v>
          </cell>
          <cell r="N2921">
            <v>45.9</v>
          </cell>
          <cell r="O2921">
            <v>13.9</v>
          </cell>
          <cell r="P2921">
            <v>34.9</v>
          </cell>
          <cell r="S2921">
            <v>47.1</v>
          </cell>
          <cell r="T2921">
            <v>28.3</v>
          </cell>
          <cell r="U2921">
            <v>1</v>
          </cell>
        </row>
        <row r="2922">
          <cell r="B2922" t="str">
            <v>Male</v>
          </cell>
          <cell r="F2922">
            <v>23</v>
          </cell>
          <cell r="G2922">
            <v>53.3</v>
          </cell>
          <cell r="H2922">
            <v>13.4</v>
          </cell>
          <cell r="I2922">
            <v>35.6</v>
          </cell>
          <cell r="J2922">
            <v>8</v>
          </cell>
          <cell r="K2922">
            <v>20</v>
          </cell>
          <cell r="L2922">
            <v>147.62</v>
          </cell>
          <cell r="M2922">
            <v>6</v>
          </cell>
          <cell r="N2922">
            <v>56.2</v>
          </cell>
          <cell r="O2922">
            <v>12.6</v>
          </cell>
          <cell r="P2922">
            <v>25.7</v>
          </cell>
          <cell r="S2922">
            <v>59.8</v>
          </cell>
          <cell r="U2922">
            <v>2</v>
          </cell>
        </row>
        <row r="2923">
          <cell r="B2923" t="str">
            <v>Male</v>
          </cell>
          <cell r="F2923">
            <v>17</v>
          </cell>
          <cell r="G2923">
            <v>35.9</v>
          </cell>
          <cell r="H2923">
            <v>11.8</v>
          </cell>
          <cell r="I2923">
            <v>42.2</v>
          </cell>
          <cell r="J2923">
            <v>4</v>
          </cell>
          <cell r="K2923">
            <v>19</v>
          </cell>
          <cell r="L2923">
            <v>131.93</v>
          </cell>
          <cell r="M2923">
            <v>31</v>
          </cell>
          <cell r="N2923">
            <v>78.099999999999994</v>
          </cell>
          <cell r="O2923">
            <v>12.7</v>
          </cell>
          <cell r="P2923">
            <v>35.200000000000003</v>
          </cell>
          <cell r="S2923">
            <v>51</v>
          </cell>
          <cell r="T2923">
            <v>27.1</v>
          </cell>
          <cell r="U2923">
            <v>3</v>
          </cell>
        </row>
        <row r="2924">
          <cell r="B2924" t="str">
            <v>Female</v>
          </cell>
          <cell r="F2924">
            <v>12</v>
          </cell>
          <cell r="G2924">
            <v>28.7</v>
          </cell>
          <cell r="H2924">
            <v>8.9</v>
          </cell>
          <cell r="I2924">
            <v>53.3</v>
          </cell>
          <cell r="J2924">
            <v>4</v>
          </cell>
          <cell r="K2924">
            <v>13</v>
          </cell>
          <cell r="L2924">
            <v>134.81</v>
          </cell>
          <cell r="M2924">
            <v>29</v>
          </cell>
          <cell r="N2924">
            <v>70</v>
          </cell>
          <cell r="O2924">
            <v>11.7</v>
          </cell>
          <cell r="P2924">
            <v>38.4</v>
          </cell>
          <cell r="S2924">
            <v>69.599999999999994</v>
          </cell>
          <cell r="T2924">
            <v>25.3</v>
          </cell>
          <cell r="U2924">
            <v>2</v>
          </cell>
        </row>
        <row r="2925">
          <cell r="B2925" t="str">
            <v>Male</v>
          </cell>
          <cell r="F2925">
            <v>8</v>
          </cell>
          <cell r="G2925">
            <v>35.9</v>
          </cell>
          <cell r="H2925">
            <v>7.7</v>
          </cell>
          <cell r="I2925">
            <v>39.700000000000003</v>
          </cell>
          <cell r="J2925">
            <v>4</v>
          </cell>
          <cell r="K2925">
            <v>18</v>
          </cell>
          <cell r="L2925">
            <v>73.25</v>
          </cell>
          <cell r="M2925">
            <v>11</v>
          </cell>
          <cell r="N2925">
            <v>79.2</v>
          </cell>
          <cell r="O2925">
            <v>2.6</v>
          </cell>
          <cell r="S2925">
            <v>62.5</v>
          </cell>
          <cell r="T2925">
            <v>24.4</v>
          </cell>
          <cell r="U2925">
            <v>2</v>
          </cell>
        </row>
        <row r="2926">
          <cell r="B2926" t="str">
            <v>Female</v>
          </cell>
          <cell r="F2926">
            <v>12</v>
          </cell>
          <cell r="G2926">
            <v>28.7</v>
          </cell>
          <cell r="H2926">
            <v>13.5</v>
          </cell>
          <cell r="I2926">
            <v>35</v>
          </cell>
          <cell r="K2926">
            <v>16</v>
          </cell>
          <cell r="L2926">
            <v>123.09</v>
          </cell>
          <cell r="M2926">
            <v>27</v>
          </cell>
          <cell r="N2926">
            <v>47.9</v>
          </cell>
          <cell r="O2926">
            <v>8</v>
          </cell>
          <cell r="P2926">
            <v>44.6</v>
          </cell>
          <cell r="T2926">
            <v>32.299999999999997</v>
          </cell>
          <cell r="U2926">
            <v>3</v>
          </cell>
        </row>
        <row r="2927">
          <cell r="B2927" t="str">
            <v>Female</v>
          </cell>
          <cell r="F2927">
            <v>21</v>
          </cell>
          <cell r="G2927">
            <v>41.6</v>
          </cell>
          <cell r="H2927">
            <v>14.5</v>
          </cell>
          <cell r="I2927">
            <v>44.8</v>
          </cell>
          <cell r="J2927">
            <v>8</v>
          </cell>
          <cell r="K2927">
            <v>18</v>
          </cell>
          <cell r="L2927">
            <v>72.33</v>
          </cell>
          <cell r="M2927">
            <v>9</v>
          </cell>
          <cell r="N2927">
            <v>38.200000000000003</v>
          </cell>
          <cell r="O2927">
            <v>6.9</v>
          </cell>
          <cell r="P2927">
            <v>45.9</v>
          </cell>
          <cell r="S2927">
            <v>71.3</v>
          </cell>
          <cell r="T2927">
            <v>31.1</v>
          </cell>
          <cell r="U2927">
            <v>2</v>
          </cell>
        </row>
        <row r="2928">
          <cell r="B2928" t="str">
            <v>Male</v>
          </cell>
          <cell r="F2928">
            <v>28</v>
          </cell>
          <cell r="G2928">
            <v>48</v>
          </cell>
          <cell r="H2928">
            <v>14.8</v>
          </cell>
          <cell r="I2928">
            <v>59.5</v>
          </cell>
          <cell r="J2928">
            <v>16</v>
          </cell>
          <cell r="K2928">
            <v>36.4</v>
          </cell>
          <cell r="L2928">
            <v>204.45</v>
          </cell>
          <cell r="N2928">
            <v>69.12</v>
          </cell>
          <cell r="O2928">
            <v>0.3</v>
          </cell>
          <cell r="P2928">
            <v>33.9</v>
          </cell>
          <cell r="S2928">
            <v>44.7</v>
          </cell>
          <cell r="T2928">
            <v>27.1</v>
          </cell>
          <cell r="U2928">
            <v>4</v>
          </cell>
        </row>
        <row r="2929">
          <cell r="B2929" t="str">
            <v>Male</v>
          </cell>
          <cell r="F2929">
            <v>6</v>
          </cell>
          <cell r="H2929">
            <v>1.2</v>
          </cell>
          <cell r="I2929">
            <v>83.9</v>
          </cell>
          <cell r="J2929">
            <v>1</v>
          </cell>
          <cell r="K2929">
            <v>4</v>
          </cell>
          <cell r="L2929">
            <v>162.61000000000001</v>
          </cell>
          <cell r="M2929">
            <v>37</v>
          </cell>
          <cell r="N2929">
            <v>63.6</v>
          </cell>
          <cell r="O2929">
            <v>13.3</v>
          </cell>
          <cell r="P2929">
            <v>5</v>
          </cell>
          <cell r="S2929">
            <v>23.9</v>
          </cell>
          <cell r="T2929">
            <v>18.2</v>
          </cell>
          <cell r="U2929">
            <v>3</v>
          </cell>
        </row>
        <row r="2930">
          <cell r="B2930" t="str">
            <v>Male</v>
          </cell>
          <cell r="F2930">
            <v>9</v>
          </cell>
          <cell r="G2930">
            <v>12</v>
          </cell>
          <cell r="H2930">
            <v>5.5</v>
          </cell>
          <cell r="I2930">
            <v>69.2</v>
          </cell>
          <cell r="J2930">
            <v>1</v>
          </cell>
          <cell r="K2930">
            <v>7</v>
          </cell>
          <cell r="L2930">
            <v>113</v>
          </cell>
          <cell r="M2930">
            <v>30</v>
          </cell>
          <cell r="N2930">
            <v>87.2</v>
          </cell>
          <cell r="P2930">
            <v>0</v>
          </cell>
          <cell r="T2930">
            <v>16.2</v>
          </cell>
          <cell r="U2930">
            <v>1</v>
          </cell>
        </row>
        <row r="2931">
          <cell r="B2931" t="str">
            <v>Female</v>
          </cell>
          <cell r="F2931">
            <v>31</v>
          </cell>
          <cell r="G2931">
            <v>50.8</v>
          </cell>
          <cell r="H2931">
            <v>14.2</v>
          </cell>
          <cell r="I2931">
            <v>36</v>
          </cell>
          <cell r="J2931">
            <v>10</v>
          </cell>
          <cell r="K2931">
            <v>26</v>
          </cell>
          <cell r="L2931">
            <v>134.9</v>
          </cell>
          <cell r="M2931">
            <v>19</v>
          </cell>
          <cell r="P2931">
            <v>59.7</v>
          </cell>
          <cell r="S2931">
            <v>63.7</v>
          </cell>
          <cell r="T2931">
            <v>35.1</v>
          </cell>
          <cell r="U2931">
            <v>1</v>
          </cell>
        </row>
        <row r="2932">
          <cell r="B2932" t="str">
            <v>Female</v>
          </cell>
          <cell r="F2932">
            <v>11</v>
          </cell>
          <cell r="G2932">
            <v>29.3</v>
          </cell>
          <cell r="H2932">
            <v>7.8</v>
          </cell>
          <cell r="I2932">
            <v>57.5</v>
          </cell>
          <cell r="J2932">
            <v>9</v>
          </cell>
          <cell r="K2932">
            <v>22</v>
          </cell>
          <cell r="L2932">
            <v>153.1</v>
          </cell>
          <cell r="M2932">
            <v>15</v>
          </cell>
          <cell r="N2932">
            <v>70.5</v>
          </cell>
          <cell r="O2932">
            <v>8.8000000000000007</v>
          </cell>
          <cell r="P2932">
            <v>6.9</v>
          </cell>
          <cell r="S2932">
            <v>59.4</v>
          </cell>
          <cell r="T2932">
            <v>19.7</v>
          </cell>
          <cell r="U2932">
            <v>2</v>
          </cell>
        </row>
        <row r="2933">
          <cell r="B2933" t="str">
            <v>Female</v>
          </cell>
          <cell r="F2933">
            <v>14</v>
          </cell>
          <cell r="G2933">
            <v>33.200000000000003</v>
          </cell>
          <cell r="H2933">
            <v>7.4</v>
          </cell>
          <cell r="I2933">
            <v>53.9</v>
          </cell>
          <cell r="J2933">
            <v>5</v>
          </cell>
          <cell r="K2933">
            <v>18.2</v>
          </cell>
          <cell r="L2933">
            <v>112.32</v>
          </cell>
          <cell r="M2933">
            <v>91</v>
          </cell>
          <cell r="N2933">
            <v>51.12</v>
          </cell>
          <cell r="O2933">
            <v>8.1999999999999993</v>
          </cell>
          <cell r="P2933">
            <v>42.1</v>
          </cell>
          <cell r="S2933">
            <v>55.1</v>
          </cell>
          <cell r="T2933">
            <v>29.9</v>
          </cell>
          <cell r="U2933">
            <v>3</v>
          </cell>
        </row>
        <row r="2934">
          <cell r="B2934" t="str">
            <v>Male</v>
          </cell>
          <cell r="F2934">
            <v>11</v>
          </cell>
          <cell r="G2934">
            <v>15.7</v>
          </cell>
          <cell r="H2934">
            <v>5.3</v>
          </cell>
          <cell r="I2934">
            <v>53.4</v>
          </cell>
          <cell r="J2934">
            <v>0</v>
          </cell>
          <cell r="K2934">
            <v>14</v>
          </cell>
          <cell r="L2934">
            <v>153.53</v>
          </cell>
          <cell r="M2934">
            <v>9</v>
          </cell>
          <cell r="N2934">
            <v>64.3</v>
          </cell>
          <cell r="O2934">
            <v>4.7</v>
          </cell>
          <cell r="P2934">
            <v>0</v>
          </cell>
          <cell r="S2934">
            <v>4.0999999999999996</v>
          </cell>
          <cell r="T2934">
            <v>16.399999999999999</v>
          </cell>
          <cell r="U2934">
            <v>2</v>
          </cell>
        </row>
        <row r="2935">
          <cell r="B2935" t="str">
            <v>Female</v>
          </cell>
          <cell r="F2935">
            <v>13</v>
          </cell>
          <cell r="G2935">
            <v>27.3</v>
          </cell>
          <cell r="H2935">
            <v>9.1</v>
          </cell>
          <cell r="I2935">
            <v>53.8</v>
          </cell>
          <cell r="J2935">
            <v>4</v>
          </cell>
          <cell r="K2935">
            <v>18</v>
          </cell>
          <cell r="L2935">
            <v>137.62</v>
          </cell>
          <cell r="M2935">
            <v>28</v>
          </cell>
          <cell r="N2935">
            <v>42.3</v>
          </cell>
          <cell r="O2935">
            <v>2.9</v>
          </cell>
          <cell r="P2935">
            <v>19.2</v>
          </cell>
          <cell r="S2935">
            <v>9.6</v>
          </cell>
          <cell r="T2935">
            <v>14.2</v>
          </cell>
          <cell r="U2935">
            <v>1</v>
          </cell>
        </row>
        <row r="2936">
          <cell r="B2936" t="str">
            <v>Other</v>
          </cell>
          <cell r="F2936">
            <v>25</v>
          </cell>
          <cell r="G2936">
            <v>59</v>
          </cell>
          <cell r="H2936">
            <v>16.7</v>
          </cell>
          <cell r="I2936">
            <v>22.2</v>
          </cell>
          <cell r="K2936" t="str">
            <v>31.200000000000003</v>
          </cell>
          <cell r="L2936">
            <v>73.14</v>
          </cell>
          <cell r="M2936">
            <v>62</v>
          </cell>
          <cell r="N2936">
            <v>34.56</v>
          </cell>
          <cell r="O2936">
            <v>7.1</v>
          </cell>
          <cell r="P2936">
            <v>58.2</v>
          </cell>
          <cell r="S2936">
            <v>64.5</v>
          </cell>
          <cell r="T2936">
            <v>25.4</v>
          </cell>
          <cell r="U2936">
            <v>1</v>
          </cell>
        </row>
        <row r="2937">
          <cell r="B2937" t="str">
            <v>Female</v>
          </cell>
          <cell r="F2937">
            <v>22</v>
          </cell>
          <cell r="G2937">
            <v>44.6</v>
          </cell>
          <cell r="H2937">
            <v>13.3</v>
          </cell>
          <cell r="I2937">
            <v>32.799999999999997</v>
          </cell>
          <cell r="K2937" t="str">
            <v>33.800000000000004</v>
          </cell>
          <cell r="L2937">
            <v>169.13</v>
          </cell>
          <cell r="M2937">
            <v>6</v>
          </cell>
          <cell r="N2937">
            <v>54.12</v>
          </cell>
          <cell r="O2937">
            <v>1.1000000000000001</v>
          </cell>
          <cell r="P2937">
            <v>32.6</v>
          </cell>
          <cell r="S2937">
            <v>47.8</v>
          </cell>
          <cell r="T2937">
            <v>47.4</v>
          </cell>
          <cell r="U2937">
            <v>3</v>
          </cell>
        </row>
        <row r="2938">
          <cell r="B2938" t="str">
            <v>Female</v>
          </cell>
          <cell r="F2938">
            <v>5</v>
          </cell>
          <cell r="G2938">
            <v>19.5</v>
          </cell>
          <cell r="H2938">
            <v>6.8</v>
          </cell>
          <cell r="I2938">
            <v>65</v>
          </cell>
          <cell r="J2938">
            <v>4</v>
          </cell>
          <cell r="K2938">
            <v>10.4</v>
          </cell>
          <cell r="L2938">
            <v>90.86</v>
          </cell>
          <cell r="M2938">
            <v>14</v>
          </cell>
          <cell r="N2938">
            <v>22.56</v>
          </cell>
          <cell r="O2938">
            <v>12</v>
          </cell>
          <cell r="P2938">
            <v>25.7</v>
          </cell>
          <cell r="S2938">
            <v>24.9</v>
          </cell>
          <cell r="U2938">
            <v>1</v>
          </cell>
        </row>
        <row r="2939">
          <cell r="B2939" t="str">
            <v>Female</v>
          </cell>
          <cell r="F2939">
            <v>10</v>
          </cell>
          <cell r="G2939">
            <v>40.4</v>
          </cell>
          <cell r="H2939">
            <v>14.4</v>
          </cell>
          <cell r="I2939">
            <v>32</v>
          </cell>
          <cell r="J2939">
            <v>7</v>
          </cell>
          <cell r="K2939">
            <v>13</v>
          </cell>
          <cell r="L2939">
            <v>116.54</v>
          </cell>
          <cell r="M2939">
            <v>50</v>
          </cell>
          <cell r="N2939">
            <v>36.6</v>
          </cell>
          <cell r="O2939">
            <v>4</v>
          </cell>
          <cell r="P2939">
            <v>15.2</v>
          </cell>
          <cell r="S2939">
            <v>25.1</v>
          </cell>
          <cell r="T2939">
            <v>34.299999999999997</v>
          </cell>
          <cell r="U2939">
            <v>2</v>
          </cell>
        </row>
        <row r="2940">
          <cell r="B2940" t="str">
            <v>Other</v>
          </cell>
          <cell r="F2940">
            <v>6</v>
          </cell>
          <cell r="G2940">
            <v>21.5</v>
          </cell>
          <cell r="H2940">
            <v>10.8</v>
          </cell>
          <cell r="I2940">
            <v>66.5</v>
          </cell>
          <cell r="J2940">
            <v>3</v>
          </cell>
          <cell r="K2940">
            <v>12</v>
          </cell>
          <cell r="L2940">
            <v>97.13</v>
          </cell>
          <cell r="M2940">
            <v>22</v>
          </cell>
          <cell r="N2940">
            <v>47.1</v>
          </cell>
          <cell r="O2940">
            <v>6.6</v>
          </cell>
          <cell r="P2940">
            <v>17.100000000000001</v>
          </cell>
          <cell r="T2940">
            <v>20.2</v>
          </cell>
          <cell r="U2940">
            <v>4</v>
          </cell>
        </row>
        <row r="2941">
          <cell r="B2941" t="str">
            <v>Male</v>
          </cell>
          <cell r="F2941">
            <v>9</v>
          </cell>
          <cell r="G2941">
            <v>23.1</v>
          </cell>
          <cell r="H2941">
            <v>6</v>
          </cell>
          <cell r="I2941">
            <v>56.3</v>
          </cell>
          <cell r="J2941">
            <v>2</v>
          </cell>
          <cell r="K2941">
            <v>5</v>
          </cell>
          <cell r="L2941">
            <v>153.62</v>
          </cell>
          <cell r="M2941">
            <v>16</v>
          </cell>
          <cell r="N2941">
            <v>42.8</v>
          </cell>
          <cell r="O2941">
            <v>6</v>
          </cell>
          <cell r="P2941">
            <v>20.399999999999999</v>
          </cell>
          <cell r="S2941">
            <v>29.5</v>
          </cell>
          <cell r="T2941">
            <v>20.9</v>
          </cell>
          <cell r="U2941">
            <v>1</v>
          </cell>
        </row>
        <row r="2942">
          <cell r="B2942" t="str">
            <v>Male</v>
          </cell>
          <cell r="F2942">
            <v>18</v>
          </cell>
          <cell r="G2942">
            <v>33</v>
          </cell>
          <cell r="H2942">
            <v>7.9</v>
          </cell>
          <cell r="I2942">
            <v>46.7</v>
          </cell>
          <cell r="K2942">
            <v>13</v>
          </cell>
          <cell r="L2942">
            <v>53.68</v>
          </cell>
          <cell r="M2942">
            <v>20</v>
          </cell>
          <cell r="N2942">
            <v>19</v>
          </cell>
          <cell r="O2942">
            <v>7.2</v>
          </cell>
          <cell r="P2942">
            <v>39.299999999999997</v>
          </cell>
          <cell r="S2942">
            <v>64.2</v>
          </cell>
          <cell r="T2942">
            <v>16.100000000000001</v>
          </cell>
          <cell r="U2942">
            <v>1</v>
          </cell>
        </row>
        <row r="2943">
          <cell r="B2943" t="str">
            <v>Male</v>
          </cell>
          <cell r="F2943">
            <v>22</v>
          </cell>
          <cell r="G2943">
            <v>39.4</v>
          </cell>
          <cell r="H2943">
            <v>10.1</v>
          </cell>
          <cell r="I2943">
            <v>37.700000000000003</v>
          </cell>
          <cell r="J2943">
            <v>3</v>
          </cell>
          <cell r="K2943">
            <v>13</v>
          </cell>
          <cell r="L2943">
            <v>94.65</v>
          </cell>
          <cell r="M2943">
            <v>16</v>
          </cell>
          <cell r="N2943">
            <v>30</v>
          </cell>
          <cell r="O2943">
            <v>6.5</v>
          </cell>
          <cell r="P2943">
            <v>21.1</v>
          </cell>
          <cell r="S2943">
            <v>39.9</v>
          </cell>
          <cell r="T2943">
            <v>34.299999999999997</v>
          </cell>
          <cell r="U2943">
            <v>2</v>
          </cell>
        </row>
        <row r="2944">
          <cell r="B2944" t="str">
            <v>Female</v>
          </cell>
          <cell r="F2944">
            <v>7</v>
          </cell>
          <cell r="G2944">
            <v>14.1</v>
          </cell>
          <cell r="H2944">
            <v>5.0999999999999996</v>
          </cell>
          <cell r="I2944">
            <v>91.3</v>
          </cell>
          <cell r="J2944">
            <v>1</v>
          </cell>
          <cell r="K2944">
            <v>6</v>
          </cell>
          <cell r="L2944">
            <v>119.25</v>
          </cell>
          <cell r="M2944">
            <v>87</v>
          </cell>
          <cell r="N2944">
            <v>45</v>
          </cell>
          <cell r="O2944">
            <v>7.4</v>
          </cell>
          <cell r="P2944">
            <v>2.5</v>
          </cell>
          <cell r="S2944">
            <v>17.3</v>
          </cell>
          <cell r="T2944">
            <v>6.4</v>
          </cell>
          <cell r="U2944">
            <v>1</v>
          </cell>
        </row>
        <row r="2945">
          <cell r="B2945" t="str">
            <v>Male</v>
          </cell>
          <cell r="F2945">
            <v>14</v>
          </cell>
          <cell r="G2945">
            <v>42.9</v>
          </cell>
          <cell r="H2945">
            <v>12.6</v>
          </cell>
          <cell r="I2945">
            <v>37.799999999999997</v>
          </cell>
          <cell r="J2945">
            <v>8</v>
          </cell>
          <cell r="K2945">
            <v>19.5</v>
          </cell>
          <cell r="L2945">
            <v>79.05</v>
          </cell>
          <cell r="M2945">
            <v>8</v>
          </cell>
          <cell r="O2945">
            <v>4.3</v>
          </cell>
          <cell r="P2945">
            <v>28.6</v>
          </cell>
          <cell r="S2945">
            <v>42.4</v>
          </cell>
          <cell r="T2945">
            <v>32.4</v>
          </cell>
          <cell r="U2945">
            <v>2</v>
          </cell>
        </row>
        <row r="2946">
          <cell r="B2946" t="str">
            <v>Female</v>
          </cell>
          <cell r="F2946">
            <v>21</v>
          </cell>
          <cell r="G2946">
            <v>49</v>
          </cell>
          <cell r="H2946">
            <v>14.2</v>
          </cell>
          <cell r="I2946">
            <v>38.6</v>
          </cell>
          <cell r="J2946">
            <v>7</v>
          </cell>
          <cell r="K2946">
            <v>20</v>
          </cell>
          <cell r="L2946">
            <v>117.24</v>
          </cell>
          <cell r="M2946">
            <v>3</v>
          </cell>
          <cell r="N2946">
            <v>22.3</v>
          </cell>
          <cell r="O2946">
            <v>7.4</v>
          </cell>
          <cell r="P2946">
            <v>45.8</v>
          </cell>
          <cell r="S2946">
            <v>67.2</v>
          </cell>
          <cell r="T2946">
            <v>25.4</v>
          </cell>
          <cell r="U2946">
            <v>2</v>
          </cell>
        </row>
        <row r="2947">
          <cell r="B2947" t="str">
            <v>Male</v>
          </cell>
          <cell r="F2947">
            <v>12</v>
          </cell>
          <cell r="G2947">
            <v>38.200000000000003</v>
          </cell>
          <cell r="H2947">
            <v>11.7</v>
          </cell>
          <cell r="I2947">
            <v>27.9</v>
          </cell>
          <cell r="J2947">
            <v>13</v>
          </cell>
          <cell r="K2947">
            <v>37.700000000000003</v>
          </cell>
          <cell r="L2947">
            <v>84.54</v>
          </cell>
          <cell r="M2947">
            <v>14</v>
          </cell>
          <cell r="N2947">
            <v>91.08</v>
          </cell>
          <cell r="O2947">
            <v>1</v>
          </cell>
          <cell r="P2947">
            <v>55.1</v>
          </cell>
          <cell r="S2947">
            <v>54.9</v>
          </cell>
          <cell r="T2947">
            <v>35.4</v>
          </cell>
        </row>
        <row r="2948">
          <cell r="B2948" t="str">
            <v>Male</v>
          </cell>
          <cell r="F2948">
            <v>10</v>
          </cell>
          <cell r="G2948">
            <v>42</v>
          </cell>
          <cell r="H2948">
            <v>11.2</v>
          </cell>
          <cell r="I2948">
            <v>34.4</v>
          </cell>
          <cell r="J2948">
            <v>6</v>
          </cell>
          <cell r="K2948">
            <v>17</v>
          </cell>
          <cell r="L2948">
            <v>131.91999999999999</v>
          </cell>
          <cell r="M2948">
            <v>3</v>
          </cell>
          <cell r="N2948">
            <v>18.899999999999999</v>
          </cell>
          <cell r="O2948">
            <v>13.6</v>
          </cell>
          <cell r="P2948">
            <v>33.5</v>
          </cell>
          <cell r="S2948">
            <v>4.9000000000000004</v>
          </cell>
          <cell r="U2948">
            <v>1</v>
          </cell>
        </row>
        <row r="2949">
          <cell r="B2949" t="str">
            <v>Female</v>
          </cell>
          <cell r="F2949">
            <v>16</v>
          </cell>
          <cell r="G2949">
            <v>22.3</v>
          </cell>
          <cell r="H2949">
            <v>6</v>
          </cell>
          <cell r="I2949">
            <v>36.4</v>
          </cell>
          <cell r="J2949">
            <v>0</v>
          </cell>
          <cell r="K2949">
            <v>7</v>
          </cell>
          <cell r="L2949">
            <v>46.55</v>
          </cell>
          <cell r="M2949">
            <v>37</v>
          </cell>
          <cell r="O2949">
            <v>13.3</v>
          </cell>
          <cell r="P2949">
            <v>27.5</v>
          </cell>
          <cell r="S2949">
            <v>17.5</v>
          </cell>
          <cell r="T2949">
            <v>13.5</v>
          </cell>
          <cell r="U2949">
            <v>3</v>
          </cell>
        </row>
        <row r="2950">
          <cell r="B2950" t="str">
            <v>Female</v>
          </cell>
          <cell r="F2950">
            <v>10</v>
          </cell>
          <cell r="G2950">
            <v>24.4</v>
          </cell>
          <cell r="H2950">
            <v>6.7</v>
          </cell>
          <cell r="I2950">
            <v>68.900000000000006</v>
          </cell>
          <cell r="J2950">
            <v>2</v>
          </cell>
          <cell r="K2950">
            <v>14</v>
          </cell>
          <cell r="L2950">
            <v>85.16</v>
          </cell>
          <cell r="O2950">
            <v>1</v>
          </cell>
          <cell r="P2950">
            <v>29.6</v>
          </cell>
          <cell r="S2950">
            <v>14.3</v>
          </cell>
          <cell r="T2950">
            <v>16.2</v>
          </cell>
          <cell r="U2950">
            <v>3</v>
          </cell>
        </row>
        <row r="2951">
          <cell r="B2951" t="str">
            <v>Male</v>
          </cell>
          <cell r="F2951">
            <v>14</v>
          </cell>
          <cell r="G2951">
            <v>30.4</v>
          </cell>
          <cell r="I2951">
            <v>43.3</v>
          </cell>
          <cell r="J2951">
            <v>3</v>
          </cell>
          <cell r="K2951">
            <v>13</v>
          </cell>
          <cell r="L2951">
            <v>88.36</v>
          </cell>
          <cell r="M2951">
            <v>27</v>
          </cell>
          <cell r="N2951">
            <v>21.4</v>
          </cell>
          <cell r="O2951">
            <v>2.6</v>
          </cell>
          <cell r="P2951">
            <v>37.1</v>
          </cell>
          <cell r="S2951">
            <v>51.2</v>
          </cell>
          <cell r="U2951">
            <v>3</v>
          </cell>
        </row>
        <row r="2952">
          <cell r="B2952" t="str">
            <v>Male</v>
          </cell>
          <cell r="F2952">
            <v>1</v>
          </cell>
          <cell r="G2952">
            <v>13.3</v>
          </cell>
          <cell r="H2952">
            <v>7.9</v>
          </cell>
          <cell r="I2952">
            <v>79.7</v>
          </cell>
          <cell r="J2952">
            <v>0</v>
          </cell>
          <cell r="K2952">
            <v>2</v>
          </cell>
          <cell r="L2952">
            <v>171.06</v>
          </cell>
          <cell r="M2952">
            <v>34</v>
          </cell>
          <cell r="N2952">
            <v>23</v>
          </cell>
          <cell r="O2952">
            <v>8.4</v>
          </cell>
          <cell r="P2952">
            <v>21</v>
          </cell>
          <cell r="S2952">
            <v>0</v>
          </cell>
          <cell r="T2952">
            <v>11.8</v>
          </cell>
          <cell r="U2952">
            <v>3</v>
          </cell>
        </row>
        <row r="2953">
          <cell r="B2953" t="str">
            <v>Female</v>
          </cell>
          <cell r="F2953">
            <v>13</v>
          </cell>
          <cell r="G2953">
            <v>23.7</v>
          </cell>
          <cell r="H2953">
            <v>7</v>
          </cell>
          <cell r="I2953">
            <v>71.099999999999994</v>
          </cell>
          <cell r="J2953">
            <v>0</v>
          </cell>
          <cell r="K2953">
            <v>9</v>
          </cell>
          <cell r="L2953">
            <v>100.63</v>
          </cell>
          <cell r="M2953">
            <v>20</v>
          </cell>
          <cell r="N2953">
            <v>52.3</v>
          </cell>
          <cell r="O2953">
            <v>2.4</v>
          </cell>
          <cell r="P2953">
            <v>0</v>
          </cell>
          <cell r="S2953">
            <v>13.5</v>
          </cell>
          <cell r="U2953">
            <v>3</v>
          </cell>
        </row>
        <row r="2954">
          <cell r="B2954" t="str">
            <v>Male</v>
          </cell>
          <cell r="F2954">
            <v>7</v>
          </cell>
          <cell r="G2954">
            <v>25</v>
          </cell>
          <cell r="H2954">
            <v>6.3</v>
          </cell>
          <cell r="I2954">
            <v>60.9</v>
          </cell>
          <cell r="J2954">
            <v>1</v>
          </cell>
          <cell r="K2954">
            <v>4</v>
          </cell>
          <cell r="L2954">
            <v>115.35</v>
          </cell>
          <cell r="M2954">
            <v>41</v>
          </cell>
          <cell r="O2954">
            <v>1.9</v>
          </cell>
          <cell r="S2954">
            <v>18.8</v>
          </cell>
          <cell r="T2954">
            <v>6.5</v>
          </cell>
          <cell r="U2954">
            <v>2</v>
          </cell>
        </row>
        <row r="2955">
          <cell r="B2955" t="str">
            <v>Female</v>
          </cell>
          <cell r="F2955">
            <v>3</v>
          </cell>
          <cell r="G2955">
            <v>18.8</v>
          </cell>
          <cell r="H2955">
            <v>2.7</v>
          </cell>
          <cell r="I2955">
            <v>77.8</v>
          </cell>
          <cell r="J2955">
            <v>1</v>
          </cell>
          <cell r="K2955" t="str">
            <v>3.9000000000000004</v>
          </cell>
          <cell r="L2955">
            <v>38.9</v>
          </cell>
          <cell r="N2955">
            <v>21.36</v>
          </cell>
          <cell r="P2955">
            <v>0</v>
          </cell>
          <cell r="S2955">
            <v>15.9</v>
          </cell>
          <cell r="T2955">
            <v>4.2</v>
          </cell>
          <cell r="U2955">
            <v>4</v>
          </cell>
        </row>
        <row r="2956">
          <cell r="B2956" t="str">
            <v>Female</v>
          </cell>
          <cell r="F2956">
            <v>22</v>
          </cell>
          <cell r="G2956">
            <v>30.9</v>
          </cell>
          <cell r="H2956">
            <v>10</v>
          </cell>
          <cell r="I2956">
            <v>71.3</v>
          </cell>
          <cell r="J2956">
            <v>4</v>
          </cell>
          <cell r="K2956">
            <v>10.4</v>
          </cell>
          <cell r="L2956">
            <v>57.18</v>
          </cell>
          <cell r="N2956" t="str">
            <v>44.879999999999995</v>
          </cell>
          <cell r="O2956">
            <v>6</v>
          </cell>
          <cell r="P2956">
            <v>31.9</v>
          </cell>
          <cell r="T2956">
            <v>16.600000000000001</v>
          </cell>
          <cell r="U2956">
            <v>2</v>
          </cell>
        </row>
        <row r="2957">
          <cell r="B2957" t="str">
            <v>Other</v>
          </cell>
          <cell r="F2957">
            <v>2</v>
          </cell>
          <cell r="G2957">
            <v>22.9</v>
          </cell>
          <cell r="H2957">
            <v>8.6999999999999993</v>
          </cell>
          <cell r="I2957">
            <v>69.599999999999994</v>
          </cell>
          <cell r="J2957">
            <v>1</v>
          </cell>
          <cell r="K2957">
            <v>6</v>
          </cell>
          <cell r="L2957">
            <v>119.33</v>
          </cell>
          <cell r="M2957">
            <v>12</v>
          </cell>
          <cell r="N2957">
            <v>42.4</v>
          </cell>
          <cell r="O2957">
            <v>9.6999999999999993</v>
          </cell>
          <cell r="P2957">
            <v>0</v>
          </cell>
          <cell r="S2957">
            <v>0</v>
          </cell>
          <cell r="T2957">
            <v>23</v>
          </cell>
          <cell r="U2957">
            <v>2</v>
          </cell>
        </row>
        <row r="2958">
          <cell r="B2958" t="str">
            <v>Male</v>
          </cell>
          <cell r="F2958">
            <v>8</v>
          </cell>
          <cell r="G2958">
            <v>30.3</v>
          </cell>
          <cell r="H2958">
            <v>12.3</v>
          </cell>
          <cell r="I2958">
            <v>47.7</v>
          </cell>
          <cell r="J2958">
            <v>2</v>
          </cell>
          <cell r="K2958">
            <v>13</v>
          </cell>
          <cell r="L2958">
            <v>126.31</v>
          </cell>
          <cell r="M2958">
            <v>60</v>
          </cell>
          <cell r="N2958">
            <v>17.899999999999999</v>
          </cell>
          <cell r="O2958">
            <v>6.8</v>
          </cell>
          <cell r="P2958">
            <v>27.4</v>
          </cell>
          <cell r="S2958">
            <v>29.5</v>
          </cell>
          <cell r="U2958">
            <v>3</v>
          </cell>
        </row>
        <row r="2959">
          <cell r="B2959" t="str">
            <v>Male</v>
          </cell>
          <cell r="F2959">
            <v>30</v>
          </cell>
          <cell r="G2959">
            <v>46.7</v>
          </cell>
          <cell r="H2959">
            <v>13</v>
          </cell>
          <cell r="I2959">
            <v>49.3</v>
          </cell>
          <cell r="J2959">
            <v>1</v>
          </cell>
          <cell r="K2959">
            <v>35.1</v>
          </cell>
          <cell r="L2959">
            <v>78.540000000000006</v>
          </cell>
          <cell r="M2959">
            <v>2</v>
          </cell>
          <cell r="N2959">
            <v>22.8</v>
          </cell>
          <cell r="P2959">
            <v>35.1</v>
          </cell>
          <cell r="S2959">
            <v>50.1</v>
          </cell>
          <cell r="T2959">
            <v>29.9</v>
          </cell>
          <cell r="U2959">
            <v>3</v>
          </cell>
        </row>
        <row r="2960">
          <cell r="B2960" t="str">
            <v>Female</v>
          </cell>
          <cell r="F2960">
            <v>14</v>
          </cell>
          <cell r="G2960">
            <v>32</v>
          </cell>
          <cell r="H2960">
            <v>7.8</v>
          </cell>
          <cell r="I2960">
            <v>46.6</v>
          </cell>
          <cell r="J2960">
            <v>3</v>
          </cell>
          <cell r="K2960">
            <v>12</v>
          </cell>
          <cell r="L2960">
            <v>75.3</v>
          </cell>
          <cell r="M2960">
            <v>40</v>
          </cell>
          <cell r="N2960">
            <v>4.5999999999999996</v>
          </cell>
          <cell r="O2960">
            <v>10.199999999999999</v>
          </cell>
          <cell r="P2960">
            <v>28.7</v>
          </cell>
          <cell r="S2960">
            <v>52.3</v>
          </cell>
          <cell r="T2960">
            <v>32.299999999999997</v>
          </cell>
          <cell r="U2960">
            <v>3</v>
          </cell>
        </row>
        <row r="2961">
          <cell r="B2961" t="str">
            <v>Male</v>
          </cell>
          <cell r="F2961">
            <v>19</v>
          </cell>
          <cell r="G2961">
            <v>37.1</v>
          </cell>
          <cell r="H2961">
            <v>14.6</v>
          </cell>
          <cell r="I2961">
            <v>38.5</v>
          </cell>
          <cell r="J2961">
            <v>9</v>
          </cell>
          <cell r="K2961">
            <v>15</v>
          </cell>
          <cell r="L2961">
            <v>108.08</v>
          </cell>
          <cell r="M2961">
            <v>49</v>
          </cell>
          <cell r="N2961">
            <v>46</v>
          </cell>
          <cell r="O2961">
            <v>3.7</v>
          </cell>
          <cell r="P2961">
            <v>22.3</v>
          </cell>
          <cell r="S2961">
            <v>51.1</v>
          </cell>
          <cell r="T2961">
            <v>30.5</v>
          </cell>
          <cell r="U2961">
            <v>1</v>
          </cell>
        </row>
        <row r="2962">
          <cell r="B2962" t="str">
            <v>Male</v>
          </cell>
          <cell r="F2962">
            <v>6</v>
          </cell>
          <cell r="G2962">
            <v>26.3</v>
          </cell>
          <cell r="H2962">
            <v>9.1</v>
          </cell>
          <cell r="I2962">
            <v>60.2</v>
          </cell>
          <cell r="J2962">
            <v>1</v>
          </cell>
          <cell r="K2962">
            <v>5</v>
          </cell>
          <cell r="L2962">
            <v>159.46</v>
          </cell>
          <cell r="M2962">
            <v>51</v>
          </cell>
          <cell r="N2962">
            <v>50.1</v>
          </cell>
          <cell r="O2962">
            <v>1.3</v>
          </cell>
          <cell r="P2962">
            <v>10.199999999999999</v>
          </cell>
          <cell r="S2962">
            <v>25.5</v>
          </cell>
          <cell r="T2962">
            <v>15.1</v>
          </cell>
          <cell r="U2962">
            <v>3</v>
          </cell>
        </row>
        <row r="2963">
          <cell r="B2963" t="str">
            <v>Female</v>
          </cell>
          <cell r="F2963">
            <v>16</v>
          </cell>
          <cell r="G2963">
            <v>19.5</v>
          </cell>
          <cell r="H2963">
            <v>13.5</v>
          </cell>
          <cell r="I2963">
            <v>50.9</v>
          </cell>
          <cell r="J2963">
            <v>6</v>
          </cell>
          <cell r="K2963">
            <v>12</v>
          </cell>
          <cell r="L2963">
            <v>146.02000000000001</v>
          </cell>
          <cell r="N2963">
            <v>44.8</v>
          </cell>
          <cell r="O2963">
            <v>7</v>
          </cell>
          <cell r="P2963">
            <v>15.9</v>
          </cell>
          <cell r="S2963">
            <v>34.700000000000003</v>
          </cell>
          <cell r="T2963">
            <v>24.7</v>
          </cell>
          <cell r="U2963">
            <v>2</v>
          </cell>
        </row>
        <row r="2964">
          <cell r="B2964" t="str">
            <v>Female</v>
          </cell>
          <cell r="F2964">
            <v>9</v>
          </cell>
          <cell r="H2964">
            <v>8</v>
          </cell>
          <cell r="I2964">
            <v>82.8</v>
          </cell>
          <cell r="J2964">
            <v>1</v>
          </cell>
          <cell r="K2964">
            <v>22.1</v>
          </cell>
          <cell r="L2964">
            <v>93.85</v>
          </cell>
          <cell r="M2964">
            <v>1</v>
          </cell>
          <cell r="N2964">
            <v>40.32</v>
          </cell>
          <cell r="O2964">
            <v>3.7</v>
          </cell>
          <cell r="P2964">
            <v>19.399999999999999</v>
          </cell>
          <cell r="S2964">
            <v>13</v>
          </cell>
          <cell r="T2964">
            <v>28.6</v>
          </cell>
          <cell r="U2964">
            <v>2</v>
          </cell>
        </row>
        <row r="2965">
          <cell r="B2965" t="str">
            <v>Male</v>
          </cell>
          <cell r="F2965">
            <v>5</v>
          </cell>
          <cell r="G2965">
            <v>30</v>
          </cell>
          <cell r="H2965">
            <v>5.5</v>
          </cell>
          <cell r="I2965">
            <v>45.4</v>
          </cell>
          <cell r="J2965">
            <v>4</v>
          </cell>
          <cell r="K2965">
            <v>7</v>
          </cell>
          <cell r="L2965">
            <v>145.27000000000001</v>
          </cell>
          <cell r="M2965">
            <v>8</v>
          </cell>
          <cell r="N2965">
            <v>22.7</v>
          </cell>
          <cell r="O2965">
            <v>21.8</v>
          </cell>
          <cell r="S2965">
            <v>20.7</v>
          </cell>
          <cell r="T2965">
            <v>14.7</v>
          </cell>
          <cell r="U2965">
            <v>2</v>
          </cell>
        </row>
        <row r="2966">
          <cell r="B2966" t="str">
            <v>Male</v>
          </cell>
          <cell r="F2966">
            <v>1</v>
          </cell>
          <cell r="G2966">
            <v>28.7</v>
          </cell>
          <cell r="H2966">
            <v>8.6</v>
          </cell>
          <cell r="I2966">
            <v>50</v>
          </cell>
          <cell r="J2966">
            <v>2</v>
          </cell>
          <cell r="K2966">
            <v>9</v>
          </cell>
          <cell r="L2966">
            <v>92.76</v>
          </cell>
          <cell r="M2966">
            <v>16</v>
          </cell>
          <cell r="O2966">
            <v>3.3</v>
          </cell>
          <cell r="P2966">
            <v>26.8</v>
          </cell>
          <cell r="T2966">
            <v>18.3</v>
          </cell>
          <cell r="U2966">
            <v>2</v>
          </cell>
        </row>
        <row r="2967">
          <cell r="B2967" t="str">
            <v>Male</v>
          </cell>
          <cell r="F2967">
            <v>3</v>
          </cell>
          <cell r="H2967">
            <v>6.6</v>
          </cell>
          <cell r="I2967">
            <v>87.3</v>
          </cell>
          <cell r="K2967">
            <v>11</v>
          </cell>
          <cell r="L2967">
            <v>169.67</v>
          </cell>
          <cell r="M2967">
            <v>10</v>
          </cell>
          <cell r="O2967">
            <v>12.4</v>
          </cell>
          <cell r="P2967">
            <v>3.1</v>
          </cell>
          <cell r="S2967">
            <v>20.7</v>
          </cell>
          <cell r="T2967">
            <v>12.2</v>
          </cell>
          <cell r="U2967">
            <v>2</v>
          </cell>
        </row>
        <row r="2968">
          <cell r="B2968" t="str">
            <v>Male</v>
          </cell>
          <cell r="F2968">
            <v>24</v>
          </cell>
          <cell r="G2968">
            <v>39.9</v>
          </cell>
          <cell r="H2968">
            <v>12.1</v>
          </cell>
          <cell r="I2968">
            <v>14.4</v>
          </cell>
          <cell r="J2968">
            <v>10</v>
          </cell>
          <cell r="K2968">
            <v>26</v>
          </cell>
          <cell r="L2968">
            <v>72.84</v>
          </cell>
          <cell r="M2968">
            <v>43</v>
          </cell>
          <cell r="N2968" t="str">
            <v>56.279999999999994</v>
          </cell>
          <cell r="O2968">
            <v>2.1</v>
          </cell>
          <cell r="P2968">
            <v>39</v>
          </cell>
          <cell r="S2968">
            <v>36.700000000000003</v>
          </cell>
          <cell r="T2968">
            <v>35.5</v>
          </cell>
          <cell r="U2968">
            <v>1</v>
          </cell>
        </row>
        <row r="2969">
          <cell r="B2969" t="str">
            <v>Female</v>
          </cell>
          <cell r="F2969">
            <v>19</v>
          </cell>
          <cell r="G2969">
            <v>42</v>
          </cell>
          <cell r="H2969">
            <v>14.7</v>
          </cell>
          <cell r="I2969">
            <v>37.799999999999997</v>
          </cell>
          <cell r="J2969">
            <v>6</v>
          </cell>
          <cell r="K2969">
            <v>22.1</v>
          </cell>
          <cell r="L2969">
            <v>123.06</v>
          </cell>
          <cell r="M2969">
            <v>13</v>
          </cell>
          <cell r="N2969">
            <v>70.8</v>
          </cell>
          <cell r="O2969">
            <v>3.9</v>
          </cell>
          <cell r="P2969">
            <v>34.200000000000003</v>
          </cell>
          <cell r="S2969">
            <v>51.2</v>
          </cell>
          <cell r="T2969">
            <v>33.200000000000003</v>
          </cell>
          <cell r="U2969">
            <v>5</v>
          </cell>
        </row>
        <row r="2970">
          <cell r="B2970" t="str">
            <v>Male</v>
          </cell>
          <cell r="F2970">
            <v>11</v>
          </cell>
          <cell r="G2970">
            <v>27.1</v>
          </cell>
          <cell r="H2970">
            <v>7</v>
          </cell>
          <cell r="I2970">
            <v>42.8</v>
          </cell>
          <cell r="J2970">
            <v>3</v>
          </cell>
          <cell r="K2970">
            <v>13</v>
          </cell>
          <cell r="L2970">
            <v>111.08</v>
          </cell>
          <cell r="M2970">
            <v>15</v>
          </cell>
          <cell r="N2970">
            <v>24</v>
          </cell>
          <cell r="O2970">
            <v>14.6</v>
          </cell>
          <cell r="P2970">
            <v>49.2</v>
          </cell>
          <cell r="U2970">
            <v>3</v>
          </cell>
        </row>
        <row r="2971">
          <cell r="B2971" t="str">
            <v>Female</v>
          </cell>
          <cell r="F2971">
            <v>20</v>
          </cell>
          <cell r="G2971">
            <v>45</v>
          </cell>
          <cell r="H2971">
            <v>17</v>
          </cell>
          <cell r="I2971">
            <v>37.799999999999997</v>
          </cell>
          <cell r="J2971">
            <v>6</v>
          </cell>
          <cell r="K2971">
            <v>26</v>
          </cell>
          <cell r="L2971">
            <v>217.84</v>
          </cell>
          <cell r="M2971">
            <v>59</v>
          </cell>
          <cell r="N2971">
            <v>32.520000000000003</v>
          </cell>
          <cell r="O2971">
            <v>3.1</v>
          </cell>
          <cell r="P2971">
            <v>48.3</v>
          </cell>
          <cell r="T2971">
            <v>40.4</v>
          </cell>
          <cell r="U2971">
            <v>1</v>
          </cell>
        </row>
        <row r="2972">
          <cell r="B2972" t="str">
            <v>Female</v>
          </cell>
          <cell r="F2972">
            <v>10</v>
          </cell>
          <cell r="G2972">
            <v>21.4</v>
          </cell>
          <cell r="H2972">
            <v>9.8000000000000007</v>
          </cell>
          <cell r="I2972">
            <v>49</v>
          </cell>
          <cell r="J2972">
            <v>1</v>
          </cell>
          <cell r="K2972">
            <v>10</v>
          </cell>
          <cell r="L2972">
            <v>111.38</v>
          </cell>
          <cell r="M2972">
            <v>50</v>
          </cell>
          <cell r="N2972">
            <v>77.099999999999994</v>
          </cell>
          <cell r="O2972">
            <v>7.2</v>
          </cell>
          <cell r="P2972">
            <v>27.7</v>
          </cell>
          <cell r="S2972">
            <v>34.5</v>
          </cell>
          <cell r="T2972">
            <v>15.9</v>
          </cell>
        </row>
        <row r="2973">
          <cell r="B2973" t="str">
            <v>Male</v>
          </cell>
          <cell r="F2973">
            <v>5</v>
          </cell>
          <cell r="G2973">
            <v>15.1</v>
          </cell>
          <cell r="H2973">
            <v>5.0999999999999996</v>
          </cell>
          <cell r="I2973">
            <v>64</v>
          </cell>
          <cell r="J2973">
            <v>0</v>
          </cell>
          <cell r="K2973">
            <v>5.2</v>
          </cell>
          <cell r="L2973">
            <v>69.209999999999994</v>
          </cell>
          <cell r="M2973">
            <v>7</v>
          </cell>
          <cell r="N2973">
            <v>30.72</v>
          </cell>
          <cell r="O2973">
            <v>5.5</v>
          </cell>
          <cell r="P2973">
            <v>0</v>
          </cell>
          <cell r="T2973">
            <v>12.1</v>
          </cell>
          <cell r="U2973">
            <v>5</v>
          </cell>
        </row>
        <row r="2974">
          <cell r="B2974" t="str">
            <v>Male</v>
          </cell>
          <cell r="F2974">
            <v>16</v>
          </cell>
          <cell r="G2974">
            <v>22.3</v>
          </cell>
          <cell r="H2974">
            <v>8.4</v>
          </cell>
          <cell r="I2974">
            <v>66.599999999999994</v>
          </cell>
          <cell r="J2974">
            <v>10</v>
          </cell>
          <cell r="K2974">
            <v>11</v>
          </cell>
          <cell r="L2974">
            <v>117.24</v>
          </cell>
          <cell r="M2974">
            <v>18</v>
          </cell>
          <cell r="N2974">
            <v>31.1</v>
          </cell>
          <cell r="O2974">
            <v>4.3</v>
          </cell>
          <cell r="P2974">
            <v>23</v>
          </cell>
          <cell r="S2974">
            <v>47.7</v>
          </cell>
          <cell r="T2974">
            <v>24.3</v>
          </cell>
          <cell r="U2974">
            <v>3</v>
          </cell>
        </row>
        <row r="2975">
          <cell r="B2975" t="str">
            <v>Male</v>
          </cell>
          <cell r="F2975">
            <v>7</v>
          </cell>
          <cell r="G2975">
            <v>32</v>
          </cell>
          <cell r="H2975">
            <v>9.6999999999999993</v>
          </cell>
          <cell r="I2975">
            <v>68.900000000000006</v>
          </cell>
          <cell r="J2975">
            <v>2</v>
          </cell>
          <cell r="K2975" t="str">
            <v>11.700000000000001</v>
          </cell>
          <cell r="L2975">
            <v>184.57</v>
          </cell>
          <cell r="N2975">
            <v>10.08</v>
          </cell>
          <cell r="O2975">
            <v>16.2</v>
          </cell>
          <cell r="P2975">
            <v>21.4</v>
          </cell>
          <cell r="S2975">
            <v>49.2</v>
          </cell>
          <cell r="T2975">
            <v>19.2</v>
          </cell>
          <cell r="U2975">
            <v>4</v>
          </cell>
        </row>
        <row r="2976">
          <cell r="B2976" t="str">
            <v>Female</v>
          </cell>
          <cell r="F2976">
            <v>16</v>
          </cell>
          <cell r="G2976">
            <v>28.4</v>
          </cell>
          <cell r="H2976">
            <v>9.1</v>
          </cell>
          <cell r="I2976">
            <v>52.2</v>
          </cell>
          <cell r="J2976">
            <v>7</v>
          </cell>
          <cell r="K2976">
            <v>21</v>
          </cell>
          <cell r="L2976">
            <v>116.34</v>
          </cell>
          <cell r="M2976">
            <v>14</v>
          </cell>
          <cell r="N2976">
            <v>63.1</v>
          </cell>
          <cell r="O2976">
            <v>10.4</v>
          </cell>
          <cell r="P2976">
            <v>22</v>
          </cell>
          <cell r="S2976">
            <v>29.4</v>
          </cell>
          <cell r="T2976">
            <v>23.8</v>
          </cell>
          <cell r="U2976">
            <v>2</v>
          </cell>
        </row>
        <row r="2977">
          <cell r="B2977" t="str">
            <v>Female</v>
          </cell>
          <cell r="F2977">
            <v>23</v>
          </cell>
          <cell r="G2977">
            <v>25.8</v>
          </cell>
          <cell r="H2977">
            <v>4.4000000000000004</v>
          </cell>
          <cell r="I2977">
            <v>45.8</v>
          </cell>
          <cell r="J2977">
            <v>2</v>
          </cell>
          <cell r="K2977">
            <v>8</v>
          </cell>
          <cell r="L2977">
            <v>126.67</v>
          </cell>
          <cell r="M2977">
            <v>46</v>
          </cell>
          <cell r="N2977">
            <v>64.8</v>
          </cell>
          <cell r="O2977">
            <v>1.4</v>
          </cell>
          <cell r="P2977">
            <v>28</v>
          </cell>
          <cell r="S2977">
            <v>0</v>
          </cell>
          <cell r="T2977">
            <v>21</v>
          </cell>
          <cell r="U2977">
            <v>4</v>
          </cell>
        </row>
        <row r="2978">
          <cell r="B2978" t="str">
            <v>Male</v>
          </cell>
          <cell r="F2978">
            <v>18</v>
          </cell>
          <cell r="G2978">
            <v>43.1</v>
          </cell>
          <cell r="H2978">
            <v>13.9</v>
          </cell>
          <cell r="I2978">
            <v>22</v>
          </cell>
          <cell r="J2978">
            <v>8</v>
          </cell>
          <cell r="K2978">
            <v>20</v>
          </cell>
          <cell r="L2978">
            <v>103.59</v>
          </cell>
          <cell r="M2978">
            <v>10</v>
          </cell>
          <cell r="N2978">
            <v>57.5</v>
          </cell>
          <cell r="O2978">
            <v>9.1</v>
          </cell>
          <cell r="P2978">
            <v>54.4</v>
          </cell>
          <cell r="S2978">
            <v>63.2</v>
          </cell>
          <cell r="T2978">
            <v>35.200000000000003</v>
          </cell>
        </row>
        <row r="2979">
          <cell r="B2979" t="str">
            <v>Male</v>
          </cell>
          <cell r="F2979">
            <v>19</v>
          </cell>
          <cell r="G2979">
            <v>31.9</v>
          </cell>
          <cell r="H2979">
            <v>10.4</v>
          </cell>
          <cell r="I2979">
            <v>72.3</v>
          </cell>
          <cell r="J2979">
            <v>7</v>
          </cell>
          <cell r="K2979">
            <v>17</v>
          </cell>
          <cell r="L2979">
            <v>77.37</v>
          </cell>
          <cell r="M2979">
            <v>3</v>
          </cell>
          <cell r="N2979">
            <v>36.6</v>
          </cell>
          <cell r="O2979">
            <v>17.3</v>
          </cell>
          <cell r="P2979">
            <v>16</v>
          </cell>
          <cell r="S2979">
            <v>47</v>
          </cell>
          <cell r="U2979">
            <v>3</v>
          </cell>
        </row>
        <row r="2980">
          <cell r="B2980" t="str">
            <v>Female</v>
          </cell>
          <cell r="F2980">
            <v>15</v>
          </cell>
          <cell r="G2980">
            <v>34.700000000000003</v>
          </cell>
          <cell r="H2980">
            <v>12.1</v>
          </cell>
          <cell r="I2980">
            <v>52.4</v>
          </cell>
          <cell r="J2980">
            <v>6</v>
          </cell>
          <cell r="K2980">
            <v>13</v>
          </cell>
          <cell r="L2980">
            <v>79.7</v>
          </cell>
          <cell r="M2980">
            <v>108</v>
          </cell>
          <cell r="N2980">
            <v>34.5</v>
          </cell>
          <cell r="O2980">
            <v>3.5</v>
          </cell>
          <cell r="P2980">
            <v>50.6</v>
          </cell>
          <cell r="S2980">
            <v>47.7</v>
          </cell>
          <cell r="U2980">
            <v>2</v>
          </cell>
        </row>
        <row r="2981">
          <cell r="B2981" t="str">
            <v>Female</v>
          </cell>
          <cell r="F2981">
            <v>15</v>
          </cell>
          <cell r="G2981">
            <v>18.5</v>
          </cell>
          <cell r="H2981">
            <v>4</v>
          </cell>
          <cell r="I2981">
            <v>54.6</v>
          </cell>
          <cell r="J2981">
            <v>3</v>
          </cell>
          <cell r="K2981">
            <v>9</v>
          </cell>
          <cell r="L2981">
            <v>83.84</v>
          </cell>
          <cell r="M2981">
            <v>28</v>
          </cell>
          <cell r="N2981">
            <v>45.3</v>
          </cell>
          <cell r="O2981">
            <v>1.9</v>
          </cell>
          <cell r="P2981">
            <v>34.4</v>
          </cell>
          <cell r="S2981">
            <v>11.9</v>
          </cell>
          <cell r="T2981">
            <v>20.6</v>
          </cell>
          <cell r="U2981">
            <v>2</v>
          </cell>
        </row>
        <row r="2982">
          <cell r="B2982" t="str">
            <v>Female</v>
          </cell>
          <cell r="F2982">
            <v>16</v>
          </cell>
          <cell r="G2982">
            <v>26</v>
          </cell>
          <cell r="H2982">
            <v>10.6</v>
          </cell>
          <cell r="I2982">
            <v>60.9</v>
          </cell>
          <cell r="J2982">
            <v>4</v>
          </cell>
          <cell r="K2982">
            <v>20</v>
          </cell>
          <cell r="L2982">
            <v>82.68</v>
          </cell>
          <cell r="M2982">
            <v>41</v>
          </cell>
          <cell r="N2982">
            <v>55.5</v>
          </cell>
          <cell r="P2982">
            <v>10</v>
          </cell>
          <cell r="S2982">
            <v>42</v>
          </cell>
          <cell r="T2982">
            <v>16.3</v>
          </cell>
          <cell r="U2982">
            <v>2</v>
          </cell>
        </row>
        <row r="2983">
          <cell r="B2983" t="str">
            <v>Male</v>
          </cell>
          <cell r="F2983">
            <v>4</v>
          </cell>
          <cell r="H2983">
            <v>4.7</v>
          </cell>
          <cell r="I2983">
            <v>74.3</v>
          </cell>
          <cell r="J2983">
            <v>3</v>
          </cell>
          <cell r="K2983">
            <v>10.4</v>
          </cell>
          <cell r="L2983">
            <v>105.94</v>
          </cell>
          <cell r="M2983">
            <v>12</v>
          </cell>
          <cell r="O2983">
            <v>2.4</v>
          </cell>
          <cell r="P2983">
            <v>13</v>
          </cell>
          <cell r="S2983">
            <v>0</v>
          </cell>
          <cell r="U2983">
            <v>3</v>
          </cell>
        </row>
        <row r="2984">
          <cell r="B2984" t="str">
            <v>Other</v>
          </cell>
          <cell r="F2984">
            <v>19</v>
          </cell>
          <cell r="G2984">
            <v>39.9</v>
          </cell>
          <cell r="H2984">
            <v>13.2</v>
          </cell>
          <cell r="I2984">
            <v>32.6</v>
          </cell>
          <cell r="K2984">
            <v>23</v>
          </cell>
          <cell r="L2984">
            <v>112.54</v>
          </cell>
          <cell r="M2984">
            <v>3</v>
          </cell>
          <cell r="N2984">
            <v>67.2</v>
          </cell>
          <cell r="O2984">
            <v>6.4</v>
          </cell>
          <cell r="P2984">
            <v>50.7</v>
          </cell>
          <cell r="S2984">
            <v>34.1</v>
          </cell>
          <cell r="T2984">
            <v>31.5</v>
          </cell>
          <cell r="U2984">
            <v>4</v>
          </cell>
        </row>
        <row r="2985">
          <cell r="B2985" t="str">
            <v>Female</v>
          </cell>
          <cell r="F2985">
            <v>7</v>
          </cell>
          <cell r="G2985">
            <v>22.6</v>
          </cell>
          <cell r="H2985">
            <v>3.7</v>
          </cell>
          <cell r="I2985">
            <v>73.5</v>
          </cell>
          <cell r="J2985">
            <v>2</v>
          </cell>
          <cell r="K2985">
            <v>8</v>
          </cell>
          <cell r="L2985">
            <v>70.87</v>
          </cell>
          <cell r="M2985">
            <v>63</v>
          </cell>
          <cell r="N2985">
            <v>24.4</v>
          </cell>
          <cell r="O2985">
            <v>2.4</v>
          </cell>
          <cell r="P2985">
            <v>5.0999999999999996</v>
          </cell>
          <cell r="S2985">
            <v>13.2</v>
          </cell>
          <cell r="T2985">
            <v>18.8</v>
          </cell>
          <cell r="U2985">
            <v>2</v>
          </cell>
        </row>
        <row r="2986">
          <cell r="B2986" t="str">
            <v>Female</v>
          </cell>
          <cell r="F2986">
            <v>18</v>
          </cell>
          <cell r="G2986">
            <v>30.6</v>
          </cell>
          <cell r="H2986">
            <v>14.6</v>
          </cell>
          <cell r="I2986">
            <v>41.7</v>
          </cell>
          <cell r="J2986">
            <v>4</v>
          </cell>
          <cell r="K2986">
            <v>15</v>
          </cell>
          <cell r="L2986">
            <v>134.96</v>
          </cell>
          <cell r="M2986">
            <v>28</v>
          </cell>
          <cell r="N2986">
            <v>30.1</v>
          </cell>
          <cell r="O2986">
            <v>1.6</v>
          </cell>
          <cell r="P2986">
            <v>18.3</v>
          </cell>
          <cell r="S2986">
            <v>48</v>
          </cell>
          <cell r="T2986">
            <v>33</v>
          </cell>
          <cell r="U2986">
            <v>3</v>
          </cell>
        </row>
        <row r="2987">
          <cell r="B2987" t="str">
            <v>Female</v>
          </cell>
          <cell r="F2987">
            <v>7</v>
          </cell>
          <cell r="G2987">
            <v>18.100000000000001</v>
          </cell>
          <cell r="H2987">
            <v>2.2000000000000002</v>
          </cell>
          <cell r="I2987">
            <v>70.599999999999994</v>
          </cell>
          <cell r="J2987">
            <v>1</v>
          </cell>
          <cell r="K2987">
            <v>8</v>
          </cell>
          <cell r="L2987">
            <v>85.92</v>
          </cell>
          <cell r="M2987">
            <v>37</v>
          </cell>
          <cell r="N2987">
            <v>2.5</v>
          </cell>
          <cell r="O2987">
            <v>2.8</v>
          </cell>
          <cell r="P2987">
            <v>15.3</v>
          </cell>
          <cell r="S2987">
            <v>7.6</v>
          </cell>
          <cell r="T2987">
            <v>12.7</v>
          </cell>
          <cell r="U2987">
            <v>3</v>
          </cell>
        </row>
        <row r="2988">
          <cell r="B2988" t="str">
            <v>Male</v>
          </cell>
          <cell r="F2988">
            <v>5</v>
          </cell>
          <cell r="G2988">
            <v>23.3</v>
          </cell>
          <cell r="I2988">
            <v>59.9</v>
          </cell>
          <cell r="J2988">
            <v>3</v>
          </cell>
          <cell r="K2988">
            <v>15</v>
          </cell>
          <cell r="L2988">
            <v>162.07</v>
          </cell>
          <cell r="M2988">
            <v>37</v>
          </cell>
          <cell r="N2988">
            <v>31.1</v>
          </cell>
          <cell r="O2988">
            <v>9.1999999999999993</v>
          </cell>
          <cell r="P2988">
            <v>43.5</v>
          </cell>
          <cell r="S2988">
            <v>43.1</v>
          </cell>
          <cell r="T2988">
            <v>19.600000000000001</v>
          </cell>
          <cell r="U2988">
            <v>1</v>
          </cell>
        </row>
        <row r="2989">
          <cell r="B2989" t="str">
            <v>Male</v>
          </cell>
          <cell r="F2989">
            <v>17</v>
          </cell>
          <cell r="H2989">
            <v>8.4</v>
          </cell>
          <cell r="I2989">
            <v>68.099999999999994</v>
          </cell>
          <cell r="K2989">
            <v>15</v>
          </cell>
          <cell r="L2989">
            <v>95.19</v>
          </cell>
          <cell r="M2989">
            <v>5</v>
          </cell>
          <cell r="N2989">
            <v>47.8</v>
          </cell>
          <cell r="O2989">
            <v>5.7</v>
          </cell>
          <cell r="P2989">
            <v>21.7</v>
          </cell>
          <cell r="S2989">
            <v>15</v>
          </cell>
          <cell r="T2989">
            <v>19.8</v>
          </cell>
          <cell r="U2989">
            <v>1</v>
          </cell>
        </row>
        <row r="2990">
          <cell r="B2990" t="str">
            <v>Female</v>
          </cell>
          <cell r="F2990">
            <v>16</v>
          </cell>
          <cell r="G2990">
            <v>27.4</v>
          </cell>
          <cell r="H2990">
            <v>7.4</v>
          </cell>
          <cell r="I2990">
            <v>45.7</v>
          </cell>
          <cell r="J2990">
            <v>7</v>
          </cell>
          <cell r="K2990">
            <v>13</v>
          </cell>
          <cell r="L2990">
            <v>72.09</v>
          </cell>
          <cell r="M2990">
            <v>38</v>
          </cell>
          <cell r="N2990">
            <v>44.16</v>
          </cell>
          <cell r="O2990">
            <v>7.8</v>
          </cell>
          <cell r="P2990">
            <v>36.9</v>
          </cell>
          <cell r="U2990">
            <v>3</v>
          </cell>
        </row>
        <row r="2991">
          <cell r="B2991" t="str">
            <v>Male</v>
          </cell>
          <cell r="F2991">
            <v>0</v>
          </cell>
          <cell r="H2991">
            <v>2.2999999999999998</v>
          </cell>
          <cell r="I2991">
            <v>85.1</v>
          </cell>
          <cell r="J2991">
            <v>0</v>
          </cell>
          <cell r="K2991">
            <v>2.6</v>
          </cell>
          <cell r="L2991">
            <v>124.64</v>
          </cell>
          <cell r="M2991">
            <v>36</v>
          </cell>
          <cell r="N2991">
            <v>50.76</v>
          </cell>
          <cell r="O2991">
            <v>3.9</v>
          </cell>
          <cell r="P2991">
            <v>0</v>
          </cell>
          <cell r="S2991">
            <v>0</v>
          </cell>
        </row>
        <row r="2992">
          <cell r="B2992" t="str">
            <v>Male</v>
          </cell>
          <cell r="F2992">
            <v>16</v>
          </cell>
          <cell r="G2992">
            <v>25</v>
          </cell>
          <cell r="H2992">
            <v>9.5</v>
          </cell>
          <cell r="I2992">
            <v>54.8</v>
          </cell>
          <cell r="K2992">
            <v>12</v>
          </cell>
          <cell r="L2992">
            <v>49.42</v>
          </cell>
          <cell r="M2992">
            <v>70</v>
          </cell>
          <cell r="N2992">
            <v>43.9</v>
          </cell>
          <cell r="O2992">
            <v>8.9</v>
          </cell>
          <cell r="P2992">
            <v>1.1000000000000001</v>
          </cell>
          <cell r="S2992">
            <v>28.5</v>
          </cell>
          <cell r="T2992">
            <v>10.7</v>
          </cell>
        </row>
        <row r="2993">
          <cell r="B2993" t="str">
            <v>Male</v>
          </cell>
          <cell r="F2993">
            <v>8</v>
          </cell>
          <cell r="G2993">
            <v>23.6</v>
          </cell>
          <cell r="I2993">
            <v>51.4</v>
          </cell>
          <cell r="J2993">
            <v>3</v>
          </cell>
          <cell r="K2993">
            <v>11</v>
          </cell>
          <cell r="L2993">
            <v>97.21</v>
          </cell>
          <cell r="M2993">
            <v>64</v>
          </cell>
          <cell r="N2993">
            <v>52.8</v>
          </cell>
          <cell r="O2993">
            <v>5.2</v>
          </cell>
          <cell r="P2993">
            <v>13.2</v>
          </cell>
          <cell r="S2993">
            <v>11</v>
          </cell>
          <cell r="T2993">
            <v>14.4</v>
          </cell>
          <cell r="U2993">
            <v>5</v>
          </cell>
        </row>
        <row r="2994">
          <cell r="B2994" t="str">
            <v>Male</v>
          </cell>
          <cell r="F2994">
            <v>3</v>
          </cell>
          <cell r="G2994">
            <v>20.9</v>
          </cell>
          <cell r="H2994">
            <v>1.9</v>
          </cell>
          <cell r="I2994">
            <v>55.8</v>
          </cell>
          <cell r="J2994">
            <v>3</v>
          </cell>
          <cell r="K2994">
            <v>8</v>
          </cell>
          <cell r="L2994">
            <v>160.22999999999999</v>
          </cell>
          <cell r="M2994">
            <v>24</v>
          </cell>
          <cell r="N2994">
            <v>41.4</v>
          </cell>
          <cell r="O2994">
            <v>8</v>
          </cell>
          <cell r="P2994">
            <v>23.7</v>
          </cell>
          <cell r="S2994">
            <v>0</v>
          </cell>
          <cell r="U2994">
            <v>4</v>
          </cell>
        </row>
        <row r="2995">
          <cell r="B2995" t="str">
            <v>Female</v>
          </cell>
          <cell r="F2995">
            <v>22</v>
          </cell>
          <cell r="G2995">
            <v>54.8</v>
          </cell>
          <cell r="H2995">
            <v>18.5</v>
          </cell>
          <cell r="I2995">
            <v>25.9</v>
          </cell>
          <cell r="J2995">
            <v>6</v>
          </cell>
          <cell r="K2995">
            <v>24</v>
          </cell>
          <cell r="L2995">
            <v>90.33</v>
          </cell>
          <cell r="M2995">
            <v>44</v>
          </cell>
          <cell r="N2995">
            <v>70.099999999999994</v>
          </cell>
          <cell r="O2995">
            <v>3.1</v>
          </cell>
          <cell r="P2995">
            <v>50.2</v>
          </cell>
          <cell r="S2995">
            <v>58.9</v>
          </cell>
          <cell r="T2995">
            <v>39.1</v>
          </cell>
          <cell r="U2995">
            <v>2</v>
          </cell>
        </row>
        <row r="2996">
          <cell r="B2996" t="str">
            <v>Male</v>
          </cell>
          <cell r="F2996">
            <v>8</v>
          </cell>
          <cell r="G2996">
            <v>28.1</v>
          </cell>
          <cell r="H2996">
            <v>4.8</v>
          </cell>
          <cell r="I2996">
            <v>46.4</v>
          </cell>
          <cell r="J2996">
            <v>0</v>
          </cell>
          <cell r="K2996">
            <v>9</v>
          </cell>
          <cell r="L2996">
            <v>96.47</v>
          </cell>
          <cell r="M2996">
            <v>76</v>
          </cell>
          <cell r="N2996">
            <v>40.799999999999997</v>
          </cell>
          <cell r="O2996">
            <v>8.1</v>
          </cell>
          <cell r="P2996">
            <v>12.6</v>
          </cell>
          <cell r="S2996">
            <v>8.6999999999999993</v>
          </cell>
          <cell r="T2996">
            <v>23.5</v>
          </cell>
          <cell r="U2996">
            <v>1</v>
          </cell>
        </row>
        <row r="2997">
          <cell r="B2997" t="str">
            <v>Female</v>
          </cell>
          <cell r="F2997">
            <v>25</v>
          </cell>
          <cell r="G2997">
            <v>41.7</v>
          </cell>
          <cell r="H2997">
            <v>16.2</v>
          </cell>
          <cell r="I2997">
            <v>40.4</v>
          </cell>
          <cell r="J2997">
            <v>6</v>
          </cell>
          <cell r="K2997">
            <v>21</v>
          </cell>
          <cell r="L2997">
            <v>155.68</v>
          </cell>
          <cell r="M2997">
            <v>56</v>
          </cell>
          <cell r="N2997">
            <v>54.3</v>
          </cell>
          <cell r="O2997">
            <v>2</v>
          </cell>
          <cell r="P2997">
            <v>32.799999999999997</v>
          </cell>
          <cell r="S2997">
            <v>64.599999999999994</v>
          </cell>
          <cell r="T2997">
            <v>44.2</v>
          </cell>
          <cell r="U2997">
            <v>2</v>
          </cell>
        </row>
        <row r="2998">
          <cell r="B2998" t="str">
            <v>Female</v>
          </cell>
          <cell r="F2998">
            <v>14</v>
          </cell>
          <cell r="G2998">
            <v>36.700000000000003</v>
          </cell>
          <cell r="H2998">
            <v>9</v>
          </cell>
          <cell r="I2998">
            <v>66.8</v>
          </cell>
          <cell r="J2998">
            <v>3</v>
          </cell>
          <cell r="K2998">
            <v>10</v>
          </cell>
          <cell r="L2998">
            <v>243.04</v>
          </cell>
          <cell r="M2998">
            <v>8</v>
          </cell>
          <cell r="N2998">
            <v>31</v>
          </cell>
          <cell r="P2998">
            <v>27.5</v>
          </cell>
          <cell r="S2998">
            <v>46.5</v>
          </cell>
          <cell r="T2998">
            <v>20.100000000000001</v>
          </cell>
          <cell r="U2998">
            <v>1</v>
          </cell>
        </row>
        <row r="2999">
          <cell r="B2999" t="str">
            <v>Female</v>
          </cell>
          <cell r="F2999">
            <v>0</v>
          </cell>
          <cell r="G2999">
            <v>17.100000000000001</v>
          </cell>
          <cell r="H2999">
            <v>5.4</v>
          </cell>
          <cell r="I2999">
            <v>82.5</v>
          </cell>
          <cell r="J2999">
            <v>0</v>
          </cell>
          <cell r="K2999">
            <v>9</v>
          </cell>
          <cell r="L2999">
            <v>140.5</v>
          </cell>
          <cell r="M2999">
            <v>5</v>
          </cell>
          <cell r="O2999">
            <v>8.9</v>
          </cell>
          <cell r="P2999">
            <v>0</v>
          </cell>
          <cell r="T2999">
            <v>3.7</v>
          </cell>
          <cell r="U2999">
            <v>2</v>
          </cell>
        </row>
        <row r="3000">
          <cell r="B3000" t="str">
            <v>Female</v>
          </cell>
          <cell r="F3000">
            <v>4</v>
          </cell>
          <cell r="G3000">
            <v>12.7</v>
          </cell>
          <cell r="H3000">
            <v>5.3</v>
          </cell>
          <cell r="I3000">
            <v>83.1</v>
          </cell>
          <cell r="J3000">
            <v>0</v>
          </cell>
          <cell r="K3000" t="str">
            <v>7.800000000000001</v>
          </cell>
          <cell r="L3000">
            <v>102.33</v>
          </cell>
          <cell r="M3000">
            <v>5</v>
          </cell>
          <cell r="O3000">
            <v>18.5</v>
          </cell>
          <cell r="P3000">
            <v>4.8</v>
          </cell>
          <cell r="S3000">
            <v>2.6</v>
          </cell>
          <cell r="T3000">
            <v>4.8</v>
          </cell>
          <cell r="U3000">
            <v>3</v>
          </cell>
        </row>
        <row r="3001">
          <cell r="B3001" t="str">
            <v>Male</v>
          </cell>
          <cell r="F3001">
            <v>22</v>
          </cell>
          <cell r="G3001">
            <v>32.1</v>
          </cell>
          <cell r="H3001">
            <v>10.4</v>
          </cell>
          <cell r="I3001">
            <v>53.6</v>
          </cell>
          <cell r="J3001">
            <v>5</v>
          </cell>
          <cell r="K3001">
            <v>13</v>
          </cell>
          <cell r="L3001">
            <v>159.84</v>
          </cell>
          <cell r="M3001">
            <v>8</v>
          </cell>
          <cell r="N3001">
            <v>38.799999999999997</v>
          </cell>
          <cell r="O3001">
            <v>0.2</v>
          </cell>
          <cell r="P3001">
            <v>36</v>
          </cell>
          <cell r="S3001">
            <v>32.6</v>
          </cell>
          <cell r="T3001">
            <v>31</v>
          </cell>
          <cell r="U3001">
            <v>2</v>
          </cell>
        </row>
        <row r="3002">
          <cell r="B3002" t="str">
            <v>Female</v>
          </cell>
          <cell r="F3002">
            <v>3</v>
          </cell>
          <cell r="G3002">
            <v>18.8</v>
          </cell>
          <cell r="H3002">
            <v>6.5</v>
          </cell>
          <cell r="I3002">
            <v>68.3</v>
          </cell>
          <cell r="J3002">
            <v>6</v>
          </cell>
          <cell r="K3002">
            <v>9</v>
          </cell>
          <cell r="L3002">
            <v>111.41</v>
          </cell>
          <cell r="M3002">
            <v>31</v>
          </cell>
          <cell r="N3002">
            <v>33.4</v>
          </cell>
          <cell r="O3002">
            <v>5.9</v>
          </cell>
          <cell r="P3002">
            <v>8.1</v>
          </cell>
          <cell r="S3002">
            <v>21.6</v>
          </cell>
          <cell r="T3002">
            <v>8.8000000000000007</v>
          </cell>
          <cell r="U3002">
            <v>2</v>
          </cell>
        </row>
        <row r="3003">
          <cell r="B3003" t="str">
            <v>Female</v>
          </cell>
          <cell r="F3003">
            <v>23</v>
          </cell>
          <cell r="G3003">
            <v>20.9</v>
          </cell>
          <cell r="H3003">
            <v>4.4000000000000004</v>
          </cell>
          <cell r="I3003">
            <v>65.2</v>
          </cell>
          <cell r="J3003">
            <v>4</v>
          </cell>
          <cell r="K3003" t="str">
            <v>11.700000000000001</v>
          </cell>
          <cell r="L3003">
            <v>127.35</v>
          </cell>
          <cell r="M3003">
            <v>86</v>
          </cell>
          <cell r="N3003">
            <v>106.44</v>
          </cell>
          <cell r="O3003">
            <v>6.7</v>
          </cell>
          <cell r="P3003">
            <v>21.2</v>
          </cell>
          <cell r="S3003">
            <v>0</v>
          </cell>
          <cell r="T3003">
            <v>15.3</v>
          </cell>
          <cell r="U3003">
            <v>1</v>
          </cell>
        </row>
        <row r="3004">
          <cell r="B3004" t="str">
            <v>Female</v>
          </cell>
          <cell r="F3004">
            <v>25</v>
          </cell>
          <cell r="G3004">
            <v>47.6</v>
          </cell>
          <cell r="H3004">
            <v>10.5</v>
          </cell>
          <cell r="I3004">
            <v>65.2</v>
          </cell>
          <cell r="J3004">
            <v>6</v>
          </cell>
          <cell r="K3004">
            <v>15</v>
          </cell>
          <cell r="L3004">
            <v>147.81</v>
          </cell>
          <cell r="M3004">
            <v>12</v>
          </cell>
          <cell r="N3004">
            <v>61</v>
          </cell>
          <cell r="O3004">
            <v>19.2</v>
          </cell>
          <cell r="P3004">
            <v>24.5</v>
          </cell>
          <cell r="S3004">
            <v>81.3</v>
          </cell>
          <cell r="T3004">
            <v>24.3</v>
          </cell>
          <cell r="U3004">
            <v>2</v>
          </cell>
        </row>
        <row r="3005">
          <cell r="B3005" t="str">
            <v>Male</v>
          </cell>
          <cell r="F3005">
            <v>9</v>
          </cell>
          <cell r="G3005">
            <v>29</v>
          </cell>
          <cell r="H3005">
            <v>8.4</v>
          </cell>
          <cell r="I3005">
            <v>48.5</v>
          </cell>
          <cell r="J3005">
            <v>3</v>
          </cell>
          <cell r="K3005">
            <v>13</v>
          </cell>
          <cell r="L3005">
            <v>71.3</v>
          </cell>
          <cell r="M3005">
            <v>3</v>
          </cell>
          <cell r="N3005">
            <v>63.6</v>
          </cell>
          <cell r="P3005">
            <v>28.9</v>
          </cell>
          <cell r="S3005">
            <v>42</v>
          </cell>
          <cell r="T3005">
            <v>23.9</v>
          </cell>
          <cell r="U3005">
            <v>2</v>
          </cell>
        </row>
        <row r="3006">
          <cell r="B3006" t="str">
            <v>Male</v>
          </cell>
          <cell r="F3006">
            <v>9</v>
          </cell>
          <cell r="G3006">
            <v>22.6</v>
          </cell>
          <cell r="H3006">
            <v>6.2</v>
          </cell>
          <cell r="I3006">
            <v>80.8</v>
          </cell>
          <cell r="J3006">
            <v>2</v>
          </cell>
          <cell r="K3006">
            <v>5</v>
          </cell>
          <cell r="L3006">
            <v>44.3</v>
          </cell>
          <cell r="M3006">
            <v>147</v>
          </cell>
          <cell r="N3006">
            <v>26.3</v>
          </cell>
          <cell r="O3006">
            <v>8.6</v>
          </cell>
          <cell r="P3006">
            <v>0</v>
          </cell>
          <cell r="S3006">
            <v>15.2</v>
          </cell>
          <cell r="T3006">
            <v>19.899999999999999</v>
          </cell>
          <cell r="U3006">
            <v>3</v>
          </cell>
        </row>
        <row r="3007">
          <cell r="B3007" t="str">
            <v>Male</v>
          </cell>
          <cell r="F3007">
            <v>0</v>
          </cell>
          <cell r="G3007">
            <v>22.8</v>
          </cell>
          <cell r="H3007">
            <v>3.8</v>
          </cell>
          <cell r="I3007">
            <v>85.1</v>
          </cell>
          <cell r="J3007">
            <v>0</v>
          </cell>
          <cell r="K3007">
            <v>5</v>
          </cell>
          <cell r="L3007">
            <v>122.77</v>
          </cell>
          <cell r="M3007">
            <v>137</v>
          </cell>
          <cell r="N3007">
            <v>42.8</v>
          </cell>
          <cell r="O3007">
            <v>6.5</v>
          </cell>
          <cell r="P3007">
            <v>16.3</v>
          </cell>
          <cell r="S3007">
            <v>1.3</v>
          </cell>
          <cell r="T3007">
            <v>2</v>
          </cell>
          <cell r="U3007">
            <v>5</v>
          </cell>
        </row>
        <row r="3008">
          <cell r="B3008" t="str">
            <v>Female</v>
          </cell>
          <cell r="F3008">
            <v>29</v>
          </cell>
          <cell r="G3008">
            <v>38.6</v>
          </cell>
          <cell r="H3008">
            <v>11.4</v>
          </cell>
          <cell r="I3008">
            <v>34.299999999999997</v>
          </cell>
          <cell r="J3008">
            <v>4</v>
          </cell>
          <cell r="K3008">
            <v>19</v>
          </cell>
          <cell r="L3008">
            <v>60.2</v>
          </cell>
          <cell r="M3008">
            <v>86</v>
          </cell>
          <cell r="N3008">
            <v>83.3</v>
          </cell>
          <cell r="O3008">
            <v>10.5</v>
          </cell>
          <cell r="P3008">
            <v>34.700000000000003</v>
          </cell>
          <cell r="S3008">
            <v>42.7</v>
          </cell>
          <cell r="U3008">
            <v>1</v>
          </cell>
        </row>
        <row r="3009">
          <cell r="B3009" t="str">
            <v>Male</v>
          </cell>
          <cell r="F3009">
            <v>4</v>
          </cell>
          <cell r="G3009">
            <v>1</v>
          </cell>
          <cell r="H3009">
            <v>4.4000000000000004</v>
          </cell>
          <cell r="I3009">
            <v>97.9</v>
          </cell>
          <cell r="J3009">
            <v>0</v>
          </cell>
          <cell r="K3009">
            <v>6</v>
          </cell>
          <cell r="L3009">
            <v>95.2</v>
          </cell>
          <cell r="M3009">
            <v>2</v>
          </cell>
          <cell r="N3009">
            <v>34.6</v>
          </cell>
          <cell r="O3009">
            <v>8</v>
          </cell>
          <cell r="P3009">
            <v>0</v>
          </cell>
          <cell r="S3009">
            <v>39.9</v>
          </cell>
          <cell r="T3009">
            <v>8.8000000000000007</v>
          </cell>
          <cell r="U3009">
            <v>3</v>
          </cell>
        </row>
        <row r="3010">
          <cell r="B3010" t="str">
            <v>Male</v>
          </cell>
          <cell r="F3010">
            <v>12</v>
          </cell>
          <cell r="G3010">
            <v>27.2</v>
          </cell>
          <cell r="H3010">
            <v>8</v>
          </cell>
          <cell r="I3010">
            <v>51</v>
          </cell>
          <cell r="J3010">
            <v>7</v>
          </cell>
          <cell r="K3010">
            <v>24.7</v>
          </cell>
          <cell r="L3010">
            <v>99.88</v>
          </cell>
          <cell r="M3010">
            <v>27</v>
          </cell>
          <cell r="N3010">
            <v>87</v>
          </cell>
          <cell r="O3010">
            <v>10.5</v>
          </cell>
          <cell r="P3010">
            <v>41.4</v>
          </cell>
          <cell r="S3010">
            <v>71.2</v>
          </cell>
          <cell r="T3010">
            <v>30.2</v>
          </cell>
          <cell r="U3010">
            <v>3</v>
          </cell>
        </row>
        <row r="3011">
          <cell r="B3011" t="str">
            <v>Male</v>
          </cell>
          <cell r="F3011">
            <v>10</v>
          </cell>
          <cell r="H3011">
            <v>10.9</v>
          </cell>
          <cell r="I3011">
            <v>68.099999999999994</v>
          </cell>
          <cell r="J3011">
            <v>5</v>
          </cell>
          <cell r="K3011">
            <v>13</v>
          </cell>
          <cell r="L3011">
            <v>174.25</v>
          </cell>
          <cell r="M3011">
            <v>62</v>
          </cell>
          <cell r="N3011">
            <v>47.2</v>
          </cell>
          <cell r="O3011">
            <v>13.2</v>
          </cell>
          <cell r="P3011">
            <v>35.700000000000003</v>
          </cell>
          <cell r="S3011">
            <v>6.4</v>
          </cell>
          <cell r="T3011">
            <v>21.1</v>
          </cell>
          <cell r="U3011">
            <v>2</v>
          </cell>
        </row>
        <row r="3012">
          <cell r="B3012" t="str">
            <v>Female</v>
          </cell>
          <cell r="F3012">
            <v>14</v>
          </cell>
          <cell r="G3012">
            <v>15.8</v>
          </cell>
          <cell r="H3012">
            <v>11</v>
          </cell>
          <cell r="I3012">
            <v>58.2</v>
          </cell>
          <cell r="J3012">
            <v>3</v>
          </cell>
          <cell r="K3012">
            <v>9.1</v>
          </cell>
          <cell r="L3012">
            <v>140.61000000000001</v>
          </cell>
          <cell r="M3012">
            <v>45</v>
          </cell>
          <cell r="N3012" t="str">
            <v>104.39999999999999</v>
          </cell>
          <cell r="O3012">
            <v>19.3</v>
          </cell>
          <cell r="P3012">
            <v>23.7</v>
          </cell>
          <cell r="T3012">
            <v>20.7</v>
          </cell>
        </row>
        <row r="3013">
          <cell r="B3013" t="str">
            <v>Female</v>
          </cell>
          <cell r="F3013">
            <v>39</v>
          </cell>
          <cell r="G3013">
            <v>54.1</v>
          </cell>
          <cell r="H3013">
            <v>19.3</v>
          </cell>
          <cell r="I3013">
            <v>31.6</v>
          </cell>
          <cell r="J3013">
            <v>13</v>
          </cell>
          <cell r="K3013">
            <v>24</v>
          </cell>
          <cell r="L3013">
            <v>136.51</v>
          </cell>
          <cell r="M3013">
            <v>11</v>
          </cell>
          <cell r="N3013">
            <v>58.2</v>
          </cell>
          <cell r="O3013">
            <v>3.6</v>
          </cell>
          <cell r="P3013">
            <v>59.2</v>
          </cell>
          <cell r="S3013">
            <v>59.4</v>
          </cell>
          <cell r="U3013">
            <v>3</v>
          </cell>
        </row>
        <row r="3014">
          <cell r="B3014" t="str">
            <v>Male</v>
          </cell>
          <cell r="F3014">
            <v>14</v>
          </cell>
          <cell r="G3014">
            <v>8.6999999999999993</v>
          </cell>
          <cell r="H3014">
            <v>9.8000000000000007</v>
          </cell>
          <cell r="I3014">
            <v>89</v>
          </cell>
          <cell r="K3014">
            <v>7</v>
          </cell>
          <cell r="L3014">
            <v>123.48</v>
          </cell>
          <cell r="M3014">
            <v>1</v>
          </cell>
          <cell r="O3014">
            <v>12.2</v>
          </cell>
          <cell r="P3014">
            <v>15.4</v>
          </cell>
          <cell r="S3014">
            <v>6.4</v>
          </cell>
          <cell r="T3014">
            <v>12</v>
          </cell>
          <cell r="U3014">
            <v>1</v>
          </cell>
        </row>
        <row r="3015">
          <cell r="B3015" t="str">
            <v>Female</v>
          </cell>
          <cell r="F3015">
            <v>23</v>
          </cell>
          <cell r="G3015">
            <v>37.299999999999997</v>
          </cell>
          <cell r="H3015">
            <v>11.3</v>
          </cell>
          <cell r="I3015">
            <v>43.4</v>
          </cell>
          <cell r="J3015">
            <v>6</v>
          </cell>
          <cell r="K3015">
            <v>18.2</v>
          </cell>
          <cell r="L3015">
            <v>115.59</v>
          </cell>
          <cell r="M3015">
            <v>67</v>
          </cell>
          <cell r="N3015">
            <v>35.04</v>
          </cell>
          <cell r="O3015">
            <v>3.3</v>
          </cell>
          <cell r="P3015">
            <v>15.1</v>
          </cell>
          <cell r="S3015">
            <v>49.8</v>
          </cell>
          <cell r="T3015">
            <v>35.299999999999997</v>
          </cell>
        </row>
        <row r="3016">
          <cell r="B3016" t="str">
            <v>Female</v>
          </cell>
          <cell r="F3016">
            <v>35</v>
          </cell>
          <cell r="G3016">
            <v>44.8</v>
          </cell>
          <cell r="H3016">
            <v>19</v>
          </cell>
          <cell r="I3016">
            <v>26.2</v>
          </cell>
          <cell r="J3016">
            <v>16</v>
          </cell>
          <cell r="K3016">
            <v>23</v>
          </cell>
          <cell r="L3016">
            <v>115.85</v>
          </cell>
          <cell r="M3016">
            <v>4</v>
          </cell>
          <cell r="N3016">
            <v>44.7</v>
          </cell>
          <cell r="O3016">
            <v>6.7</v>
          </cell>
          <cell r="P3016">
            <v>40.299999999999997</v>
          </cell>
          <cell r="S3016">
            <v>98.2</v>
          </cell>
          <cell r="T3016">
            <v>37.299999999999997</v>
          </cell>
          <cell r="U3016">
            <v>1</v>
          </cell>
        </row>
        <row r="3017">
          <cell r="B3017" t="str">
            <v>Male</v>
          </cell>
          <cell r="F3017">
            <v>18</v>
          </cell>
          <cell r="G3017">
            <v>36.6</v>
          </cell>
          <cell r="H3017">
            <v>12.3</v>
          </cell>
          <cell r="I3017">
            <v>55.8</v>
          </cell>
          <cell r="J3017">
            <v>8</v>
          </cell>
          <cell r="K3017">
            <v>16</v>
          </cell>
          <cell r="L3017">
            <v>113.91</v>
          </cell>
          <cell r="M3017">
            <v>33</v>
          </cell>
          <cell r="N3017">
            <v>12.4</v>
          </cell>
          <cell r="O3017">
            <v>2.4</v>
          </cell>
          <cell r="P3017">
            <v>22.6</v>
          </cell>
          <cell r="T3017">
            <v>29.2</v>
          </cell>
          <cell r="U3017">
            <v>2</v>
          </cell>
        </row>
        <row r="3018">
          <cell r="B3018" t="str">
            <v>Male</v>
          </cell>
          <cell r="F3018">
            <v>0</v>
          </cell>
          <cell r="G3018">
            <v>10.9</v>
          </cell>
          <cell r="H3018">
            <v>2</v>
          </cell>
          <cell r="I3018">
            <v>79.2</v>
          </cell>
          <cell r="J3018">
            <v>1</v>
          </cell>
          <cell r="K3018">
            <v>8</v>
          </cell>
          <cell r="L3018">
            <v>146.5</v>
          </cell>
          <cell r="M3018">
            <v>30</v>
          </cell>
          <cell r="N3018">
            <v>28</v>
          </cell>
          <cell r="O3018">
            <v>4.0999999999999996</v>
          </cell>
          <cell r="P3018">
            <v>14.2</v>
          </cell>
          <cell r="S3018">
            <v>8</v>
          </cell>
          <cell r="T3018">
            <v>8.1</v>
          </cell>
          <cell r="U3018">
            <v>3</v>
          </cell>
        </row>
        <row r="3019">
          <cell r="B3019" t="str">
            <v>Female</v>
          </cell>
          <cell r="F3019">
            <v>27</v>
          </cell>
          <cell r="G3019">
            <v>36.700000000000003</v>
          </cell>
          <cell r="H3019">
            <v>11.6</v>
          </cell>
          <cell r="I3019">
            <v>43.4</v>
          </cell>
          <cell r="J3019">
            <v>11</v>
          </cell>
          <cell r="K3019">
            <v>22.1</v>
          </cell>
          <cell r="L3019">
            <v>80.040000000000006</v>
          </cell>
          <cell r="M3019">
            <v>5</v>
          </cell>
          <cell r="N3019" t="str">
            <v>43.199999999999996</v>
          </cell>
          <cell r="O3019">
            <v>4.8</v>
          </cell>
          <cell r="P3019">
            <v>28.2</v>
          </cell>
          <cell r="S3019">
            <v>41.6</v>
          </cell>
          <cell r="T3019">
            <v>33.5</v>
          </cell>
          <cell r="U3019">
            <v>2</v>
          </cell>
        </row>
        <row r="3020">
          <cell r="B3020" t="str">
            <v>Female</v>
          </cell>
          <cell r="F3020">
            <v>6</v>
          </cell>
          <cell r="G3020">
            <v>13.2</v>
          </cell>
          <cell r="H3020">
            <v>1.6</v>
          </cell>
          <cell r="I3020">
            <v>57.1</v>
          </cell>
          <cell r="J3020">
            <v>1</v>
          </cell>
          <cell r="K3020">
            <v>7</v>
          </cell>
          <cell r="L3020">
            <v>64.819999999999993</v>
          </cell>
          <cell r="M3020">
            <v>5</v>
          </cell>
          <cell r="N3020">
            <v>50.7</v>
          </cell>
          <cell r="P3020">
            <v>13.5</v>
          </cell>
          <cell r="S3020">
            <v>11.4</v>
          </cell>
          <cell r="T3020">
            <v>9.1999999999999993</v>
          </cell>
          <cell r="U3020">
            <v>1</v>
          </cell>
        </row>
        <row r="3021">
          <cell r="B3021" t="str">
            <v>Other</v>
          </cell>
          <cell r="F3021">
            <v>17</v>
          </cell>
          <cell r="I3021">
            <v>60.6</v>
          </cell>
          <cell r="K3021">
            <v>17</v>
          </cell>
          <cell r="L3021">
            <v>79.17</v>
          </cell>
          <cell r="M3021">
            <v>12</v>
          </cell>
          <cell r="N3021">
            <v>22.9</v>
          </cell>
          <cell r="O3021">
            <v>0.7</v>
          </cell>
          <cell r="P3021">
            <v>25.6</v>
          </cell>
          <cell r="S3021">
            <v>35.200000000000003</v>
          </cell>
          <cell r="T3021">
            <v>24.6</v>
          </cell>
          <cell r="U3021">
            <v>2</v>
          </cell>
        </row>
        <row r="3022">
          <cell r="B3022" t="str">
            <v>Male</v>
          </cell>
          <cell r="F3022">
            <v>15</v>
          </cell>
          <cell r="G3022">
            <v>19.600000000000001</v>
          </cell>
          <cell r="H3022">
            <v>8.8000000000000007</v>
          </cell>
          <cell r="I3022">
            <v>60.2</v>
          </cell>
          <cell r="J3022">
            <v>5</v>
          </cell>
          <cell r="K3022">
            <v>13</v>
          </cell>
          <cell r="L3022">
            <v>99.67</v>
          </cell>
          <cell r="M3022">
            <v>47</v>
          </cell>
          <cell r="N3022">
            <v>65.8</v>
          </cell>
          <cell r="O3022">
            <v>6.9</v>
          </cell>
          <cell r="P3022">
            <v>18.2</v>
          </cell>
          <cell r="S3022">
            <v>62.4</v>
          </cell>
          <cell r="T3022">
            <v>18.8</v>
          </cell>
          <cell r="U3022">
            <v>2</v>
          </cell>
        </row>
        <row r="3023">
          <cell r="B3023" t="str">
            <v>Female</v>
          </cell>
          <cell r="F3023">
            <v>6</v>
          </cell>
          <cell r="G3023">
            <v>20.3</v>
          </cell>
          <cell r="H3023">
            <v>3.1</v>
          </cell>
          <cell r="I3023">
            <v>78</v>
          </cell>
          <cell r="J3023">
            <v>1</v>
          </cell>
          <cell r="K3023">
            <v>6</v>
          </cell>
          <cell r="L3023">
            <v>141.41</v>
          </cell>
          <cell r="M3023">
            <v>11</v>
          </cell>
          <cell r="N3023">
            <v>51.6</v>
          </cell>
          <cell r="O3023">
            <v>5.4</v>
          </cell>
          <cell r="P3023">
            <v>0</v>
          </cell>
          <cell r="T3023">
            <v>15</v>
          </cell>
          <cell r="U3023">
            <v>1</v>
          </cell>
        </row>
        <row r="3024">
          <cell r="B3024" t="str">
            <v>Male</v>
          </cell>
          <cell r="F3024">
            <v>21</v>
          </cell>
          <cell r="G3024">
            <v>22.3</v>
          </cell>
          <cell r="H3024">
            <v>6.2</v>
          </cell>
          <cell r="I3024">
            <v>62.7</v>
          </cell>
          <cell r="J3024">
            <v>3</v>
          </cell>
          <cell r="K3024">
            <v>10</v>
          </cell>
          <cell r="L3024">
            <v>177.16</v>
          </cell>
          <cell r="M3024">
            <v>26</v>
          </cell>
          <cell r="N3024">
            <v>71</v>
          </cell>
          <cell r="O3024">
            <v>10.1</v>
          </cell>
          <cell r="P3024">
            <v>0</v>
          </cell>
          <cell r="S3024">
            <v>47.1</v>
          </cell>
          <cell r="T3024">
            <v>25.9</v>
          </cell>
          <cell r="U3024">
            <v>2</v>
          </cell>
        </row>
        <row r="3025">
          <cell r="B3025" t="str">
            <v>Female</v>
          </cell>
          <cell r="F3025">
            <v>18</v>
          </cell>
          <cell r="G3025">
            <v>23.2</v>
          </cell>
          <cell r="H3025">
            <v>7.5</v>
          </cell>
          <cell r="I3025">
            <v>63.6</v>
          </cell>
          <cell r="J3025">
            <v>3</v>
          </cell>
          <cell r="K3025">
            <v>11</v>
          </cell>
          <cell r="L3025">
            <v>81.02</v>
          </cell>
          <cell r="M3025">
            <v>24</v>
          </cell>
          <cell r="N3025">
            <v>47</v>
          </cell>
          <cell r="O3025">
            <v>8.1</v>
          </cell>
          <cell r="P3025">
            <v>21.2</v>
          </cell>
          <cell r="S3025">
            <v>0</v>
          </cell>
          <cell r="T3025">
            <v>17.3</v>
          </cell>
          <cell r="U3025">
            <v>3</v>
          </cell>
        </row>
        <row r="3026">
          <cell r="B3026" t="str">
            <v>Male</v>
          </cell>
          <cell r="F3026">
            <v>3</v>
          </cell>
          <cell r="H3026">
            <v>1</v>
          </cell>
          <cell r="I3026">
            <v>71.3</v>
          </cell>
          <cell r="J3026">
            <v>2</v>
          </cell>
          <cell r="K3026">
            <v>5</v>
          </cell>
          <cell r="L3026">
            <v>102.56</v>
          </cell>
          <cell r="M3026">
            <v>21</v>
          </cell>
          <cell r="N3026">
            <v>60</v>
          </cell>
          <cell r="O3026">
            <v>14.4</v>
          </cell>
          <cell r="P3026">
            <v>3.9</v>
          </cell>
          <cell r="S3026">
            <v>17.399999999999999</v>
          </cell>
          <cell r="T3026">
            <v>5.8</v>
          </cell>
          <cell r="U3026">
            <v>1</v>
          </cell>
        </row>
        <row r="3027">
          <cell r="B3027" t="str">
            <v>Female</v>
          </cell>
          <cell r="F3027">
            <v>19</v>
          </cell>
          <cell r="G3027">
            <v>31.7</v>
          </cell>
          <cell r="H3027">
            <v>11.1</v>
          </cell>
          <cell r="I3027">
            <v>51.6</v>
          </cell>
          <cell r="J3027">
            <v>7</v>
          </cell>
          <cell r="K3027">
            <v>14</v>
          </cell>
          <cell r="L3027">
            <v>104.59</v>
          </cell>
          <cell r="M3027">
            <v>19</v>
          </cell>
          <cell r="N3027">
            <v>40.1</v>
          </cell>
          <cell r="O3027">
            <v>12.2</v>
          </cell>
          <cell r="P3027">
            <v>23.8</v>
          </cell>
          <cell r="S3027">
            <v>52.9</v>
          </cell>
          <cell r="T3027">
            <v>25.4</v>
          </cell>
          <cell r="U3027">
            <v>5</v>
          </cell>
        </row>
        <row r="3028">
          <cell r="B3028" t="str">
            <v>Female</v>
          </cell>
          <cell r="F3028">
            <v>21</v>
          </cell>
          <cell r="G3028">
            <v>42.3</v>
          </cell>
          <cell r="H3028">
            <v>16.100000000000001</v>
          </cell>
          <cell r="I3028">
            <v>36.700000000000003</v>
          </cell>
          <cell r="K3028">
            <v>32.5</v>
          </cell>
          <cell r="L3028">
            <v>158.46</v>
          </cell>
          <cell r="M3028">
            <v>10</v>
          </cell>
          <cell r="O3028">
            <v>8.9</v>
          </cell>
          <cell r="P3028">
            <v>31.6</v>
          </cell>
          <cell r="S3028">
            <v>50.7</v>
          </cell>
          <cell r="T3028">
            <v>30.1</v>
          </cell>
        </row>
        <row r="3029">
          <cell r="B3029" t="str">
            <v>Male</v>
          </cell>
          <cell r="F3029">
            <v>14</v>
          </cell>
          <cell r="G3029">
            <v>35.299999999999997</v>
          </cell>
          <cell r="H3029">
            <v>5.2</v>
          </cell>
          <cell r="I3029">
            <v>51.3</v>
          </cell>
          <cell r="J3029">
            <v>4</v>
          </cell>
          <cell r="K3029">
            <v>11</v>
          </cell>
          <cell r="L3029">
            <v>69.66</v>
          </cell>
          <cell r="M3029">
            <v>19</v>
          </cell>
          <cell r="N3029">
            <v>41.7</v>
          </cell>
          <cell r="O3029">
            <v>4.0999999999999996</v>
          </cell>
          <cell r="P3029">
            <v>38.700000000000003</v>
          </cell>
          <cell r="T3029">
            <v>25</v>
          </cell>
        </row>
        <row r="3030">
          <cell r="B3030" t="str">
            <v>Female</v>
          </cell>
          <cell r="F3030">
            <v>8</v>
          </cell>
          <cell r="G3030">
            <v>20.9</v>
          </cell>
          <cell r="H3030">
            <v>9.1</v>
          </cell>
          <cell r="I3030">
            <v>57.3</v>
          </cell>
          <cell r="K3030" t="str">
            <v>16.900000000000002</v>
          </cell>
          <cell r="L3030">
            <v>170.82</v>
          </cell>
          <cell r="M3030">
            <v>45</v>
          </cell>
          <cell r="N3030">
            <v>39.72</v>
          </cell>
          <cell r="O3030">
            <v>3.7</v>
          </cell>
          <cell r="P3030">
            <v>27.2</v>
          </cell>
          <cell r="S3030">
            <v>46.6</v>
          </cell>
          <cell r="T3030">
            <v>6.6</v>
          </cell>
          <cell r="U3030">
            <v>3</v>
          </cell>
        </row>
        <row r="3031">
          <cell r="B3031" t="str">
            <v>Male</v>
          </cell>
          <cell r="F3031">
            <v>24</v>
          </cell>
          <cell r="G3031">
            <v>37.6</v>
          </cell>
          <cell r="H3031">
            <v>12.7</v>
          </cell>
          <cell r="I3031">
            <v>29.2</v>
          </cell>
          <cell r="J3031">
            <v>10</v>
          </cell>
          <cell r="K3031">
            <v>24.7</v>
          </cell>
          <cell r="L3031">
            <v>124.71</v>
          </cell>
          <cell r="M3031">
            <v>36</v>
          </cell>
          <cell r="N3031" t="str">
            <v>20.639999999999997</v>
          </cell>
          <cell r="O3031">
            <v>1.4</v>
          </cell>
          <cell r="P3031">
            <v>44.1</v>
          </cell>
          <cell r="S3031">
            <v>53.6</v>
          </cell>
          <cell r="T3031">
            <v>36</v>
          </cell>
          <cell r="U3031">
            <v>2</v>
          </cell>
        </row>
        <row r="3032">
          <cell r="B3032" t="str">
            <v>Female</v>
          </cell>
          <cell r="F3032">
            <v>10</v>
          </cell>
          <cell r="G3032">
            <v>29.2</v>
          </cell>
          <cell r="H3032">
            <v>8.1</v>
          </cell>
          <cell r="I3032">
            <v>45.6</v>
          </cell>
          <cell r="J3032">
            <v>5</v>
          </cell>
          <cell r="K3032">
            <v>13</v>
          </cell>
          <cell r="L3032">
            <v>173.81</v>
          </cell>
          <cell r="M3032">
            <v>44</v>
          </cell>
          <cell r="N3032">
            <v>66.900000000000006</v>
          </cell>
          <cell r="O3032">
            <v>6.1</v>
          </cell>
          <cell r="P3032">
            <v>42.8</v>
          </cell>
          <cell r="S3032">
            <v>11.6</v>
          </cell>
          <cell r="U3032">
            <v>1</v>
          </cell>
        </row>
        <row r="3033">
          <cell r="B3033" t="str">
            <v>Male</v>
          </cell>
          <cell r="F3033">
            <v>3</v>
          </cell>
          <cell r="H3033">
            <v>5.8</v>
          </cell>
          <cell r="I3033">
            <v>77.5</v>
          </cell>
          <cell r="J3033">
            <v>4</v>
          </cell>
          <cell r="K3033">
            <v>5</v>
          </cell>
          <cell r="L3033">
            <v>94.3</v>
          </cell>
          <cell r="M3033">
            <v>1</v>
          </cell>
          <cell r="O3033">
            <v>5.4</v>
          </cell>
          <cell r="P3033">
            <v>0</v>
          </cell>
          <cell r="S3033">
            <v>18.100000000000001</v>
          </cell>
          <cell r="T3033">
            <v>13.7</v>
          </cell>
          <cell r="U3033">
            <v>3</v>
          </cell>
        </row>
        <row r="3034">
          <cell r="B3034" t="str">
            <v>Female</v>
          </cell>
          <cell r="F3034">
            <v>9</v>
          </cell>
          <cell r="G3034">
            <v>33.1</v>
          </cell>
          <cell r="H3034">
            <v>9.6</v>
          </cell>
          <cell r="I3034">
            <v>52.4</v>
          </cell>
          <cell r="J3034">
            <v>3</v>
          </cell>
          <cell r="K3034">
            <v>28.6</v>
          </cell>
          <cell r="L3034">
            <v>40.78</v>
          </cell>
          <cell r="M3034">
            <v>43</v>
          </cell>
          <cell r="N3034">
            <v>30.36</v>
          </cell>
          <cell r="O3034">
            <v>18.7</v>
          </cell>
          <cell r="P3034">
            <v>28.3</v>
          </cell>
          <cell r="T3034">
            <v>23.1</v>
          </cell>
          <cell r="U3034">
            <v>4</v>
          </cell>
        </row>
        <row r="3035">
          <cell r="B3035" t="str">
            <v>Male</v>
          </cell>
          <cell r="F3035">
            <v>12</v>
          </cell>
          <cell r="G3035">
            <v>30.4</v>
          </cell>
          <cell r="H3035">
            <v>9.5</v>
          </cell>
          <cell r="I3035">
            <v>63.8</v>
          </cell>
          <cell r="J3035">
            <v>7</v>
          </cell>
          <cell r="K3035">
            <v>12</v>
          </cell>
          <cell r="L3035">
            <v>76.930000000000007</v>
          </cell>
          <cell r="M3035">
            <v>3</v>
          </cell>
          <cell r="N3035">
            <v>36.6</v>
          </cell>
          <cell r="O3035">
            <v>1.1000000000000001</v>
          </cell>
          <cell r="P3035">
            <v>24.5</v>
          </cell>
          <cell r="S3035">
            <v>41.6</v>
          </cell>
          <cell r="T3035">
            <v>14.2</v>
          </cell>
          <cell r="U3035">
            <v>2</v>
          </cell>
        </row>
        <row r="3036">
          <cell r="B3036" t="str">
            <v>Female</v>
          </cell>
          <cell r="F3036">
            <v>12</v>
          </cell>
          <cell r="G3036">
            <v>40.299999999999997</v>
          </cell>
          <cell r="I3036">
            <v>47.7</v>
          </cell>
          <cell r="J3036">
            <v>5</v>
          </cell>
          <cell r="K3036">
            <v>24.7</v>
          </cell>
          <cell r="L3036">
            <v>151.93</v>
          </cell>
          <cell r="M3036">
            <v>47</v>
          </cell>
          <cell r="N3036">
            <v>26.76</v>
          </cell>
          <cell r="O3036">
            <v>9.5</v>
          </cell>
          <cell r="P3036">
            <v>29.3</v>
          </cell>
          <cell r="T3036">
            <v>23.6</v>
          </cell>
          <cell r="U3036">
            <v>3</v>
          </cell>
        </row>
        <row r="3037">
          <cell r="B3037" t="str">
            <v>Male</v>
          </cell>
          <cell r="F3037">
            <v>6</v>
          </cell>
          <cell r="G3037">
            <v>14.6</v>
          </cell>
          <cell r="H3037">
            <v>5.7</v>
          </cell>
          <cell r="I3037">
            <v>67.7</v>
          </cell>
          <cell r="J3037">
            <v>4</v>
          </cell>
          <cell r="K3037">
            <v>6</v>
          </cell>
          <cell r="L3037">
            <v>140.63999999999999</v>
          </cell>
          <cell r="M3037">
            <v>28</v>
          </cell>
          <cell r="N3037">
            <v>3.8</v>
          </cell>
          <cell r="O3037">
            <v>18.100000000000001</v>
          </cell>
          <cell r="P3037">
            <v>1.6</v>
          </cell>
          <cell r="S3037">
            <v>28.6</v>
          </cell>
          <cell r="T3037">
            <v>0.2</v>
          </cell>
        </row>
        <row r="3038">
          <cell r="B3038" t="str">
            <v>Female</v>
          </cell>
          <cell r="F3038">
            <v>14</v>
          </cell>
          <cell r="G3038">
            <v>39.299999999999997</v>
          </cell>
          <cell r="H3038">
            <v>12.5</v>
          </cell>
          <cell r="I3038">
            <v>38.9</v>
          </cell>
          <cell r="J3038">
            <v>8</v>
          </cell>
          <cell r="K3038">
            <v>26</v>
          </cell>
          <cell r="L3038">
            <v>157.72</v>
          </cell>
          <cell r="M3038">
            <v>13</v>
          </cell>
          <cell r="N3038" t="str">
            <v>62.519999999999996</v>
          </cell>
          <cell r="O3038">
            <v>0.6</v>
          </cell>
          <cell r="P3038">
            <v>50</v>
          </cell>
          <cell r="S3038">
            <v>44.8</v>
          </cell>
          <cell r="T3038">
            <v>40.299999999999997</v>
          </cell>
          <cell r="U3038">
            <v>1</v>
          </cell>
        </row>
        <row r="3039">
          <cell r="B3039" t="str">
            <v>Male</v>
          </cell>
          <cell r="F3039">
            <v>13</v>
          </cell>
          <cell r="G3039">
            <v>29</v>
          </cell>
          <cell r="H3039">
            <v>9.5</v>
          </cell>
          <cell r="I3039">
            <v>52.1</v>
          </cell>
          <cell r="J3039">
            <v>10</v>
          </cell>
          <cell r="K3039">
            <v>14</v>
          </cell>
          <cell r="L3039">
            <v>194.77</v>
          </cell>
          <cell r="M3039">
            <v>87</v>
          </cell>
          <cell r="N3039">
            <v>75.7</v>
          </cell>
          <cell r="O3039">
            <v>2.2000000000000002</v>
          </cell>
          <cell r="P3039">
            <v>31</v>
          </cell>
          <cell r="S3039">
            <v>23.1</v>
          </cell>
          <cell r="T3039">
            <v>25.3</v>
          </cell>
          <cell r="U3039">
            <v>1</v>
          </cell>
        </row>
        <row r="3040">
          <cell r="B3040" t="str">
            <v>Female</v>
          </cell>
          <cell r="F3040">
            <v>6</v>
          </cell>
          <cell r="G3040">
            <v>14.8</v>
          </cell>
          <cell r="H3040">
            <v>5.0999999999999996</v>
          </cell>
          <cell r="I3040">
            <v>78.7</v>
          </cell>
          <cell r="J3040">
            <v>0</v>
          </cell>
          <cell r="K3040">
            <v>8</v>
          </cell>
          <cell r="L3040">
            <v>97.35</v>
          </cell>
          <cell r="M3040">
            <v>30</v>
          </cell>
          <cell r="N3040">
            <v>26.9</v>
          </cell>
          <cell r="O3040">
            <v>4.5999999999999996</v>
          </cell>
          <cell r="P3040">
            <v>5.9</v>
          </cell>
          <cell r="S3040">
            <v>16.8</v>
          </cell>
          <cell r="T3040">
            <v>11.3</v>
          </cell>
          <cell r="U3040">
            <v>2</v>
          </cell>
        </row>
        <row r="3041">
          <cell r="B3041" t="str">
            <v>Male</v>
          </cell>
          <cell r="F3041">
            <v>20</v>
          </cell>
          <cell r="G3041">
            <v>34.9</v>
          </cell>
          <cell r="H3041">
            <v>7.7</v>
          </cell>
          <cell r="I3041">
            <v>57.1</v>
          </cell>
          <cell r="J3041">
            <v>6</v>
          </cell>
          <cell r="K3041">
            <v>11</v>
          </cell>
          <cell r="L3041">
            <v>88.95</v>
          </cell>
          <cell r="M3041">
            <v>2</v>
          </cell>
          <cell r="N3041">
            <v>29.7</v>
          </cell>
          <cell r="O3041">
            <v>9.1</v>
          </cell>
          <cell r="P3041">
            <v>15.5</v>
          </cell>
          <cell r="S3041">
            <v>26.6</v>
          </cell>
          <cell r="T3041">
            <v>15.5</v>
          </cell>
          <cell r="U3041">
            <v>2</v>
          </cell>
        </row>
        <row r="3042">
          <cell r="B3042" t="str">
            <v>Female</v>
          </cell>
          <cell r="F3042">
            <v>6</v>
          </cell>
          <cell r="G3042">
            <v>13.3</v>
          </cell>
          <cell r="H3042">
            <v>6.1</v>
          </cell>
          <cell r="I3042">
            <v>63.5</v>
          </cell>
          <cell r="K3042">
            <v>9</v>
          </cell>
          <cell r="L3042">
            <v>177.31</v>
          </cell>
          <cell r="M3042">
            <v>79</v>
          </cell>
          <cell r="N3042">
            <v>60.2</v>
          </cell>
          <cell r="O3042">
            <v>8.8000000000000007</v>
          </cell>
          <cell r="S3042">
            <v>34.5</v>
          </cell>
          <cell r="T3042">
            <v>17.8</v>
          </cell>
          <cell r="U3042">
            <v>2</v>
          </cell>
        </row>
        <row r="3043">
          <cell r="B3043" t="str">
            <v>Female</v>
          </cell>
          <cell r="F3043">
            <v>12</v>
          </cell>
          <cell r="G3043">
            <v>28.8</v>
          </cell>
          <cell r="H3043">
            <v>7.5</v>
          </cell>
          <cell r="I3043">
            <v>44.6</v>
          </cell>
          <cell r="J3043">
            <v>4</v>
          </cell>
          <cell r="K3043">
            <v>11</v>
          </cell>
          <cell r="L3043">
            <v>109.54</v>
          </cell>
          <cell r="M3043">
            <v>9</v>
          </cell>
          <cell r="N3043">
            <v>40.5</v>
          </cell>
          <cell r="O3043">
            <v>12</v>
          </cell>
          <cell r="P3043">
            <v>22.8</v>
          </cell>
          <cell r="S3043">
            <v>42</v>
          </cell>
          <cell r="T3043">
            <v>15.5</v>
          </cell>
          <cell r="U3043">
            <v>1</v>
          </cell>
        </row>
        <row r="3044">
          <cell r="B3044" t="str">
            <v>Male</v>
          </cell>
          <cell r="F3044">
            <v>19</v>
          </cell>
          <cell r="G3044">
            <v>24.3</v>
          </cell>
          <cell r="I3044">
            <v>51.2</v>
          </cell>
          <cell r="J3044">
            <v>4</v>
          </cell>
          <cell r="K3044">
            <v>14</v>
          </cell>
          <cell r="L3044">
            <v>51.49</v>
          </cell>
          <cell r="M3044">
            <v>125</v>
          </cell>
          <cell r="N3044">
            <v>25.9</v>
          </cell>
          <cell r="O3044">
            <v>9.1</v>
          </cell>
          <cell r="P3044">
            <v>13.6</v>
          </cell>
          <cell r="S3044">
            <v>32.6</v>
          </cell>
          <cell r="T3044">
            <v>20</v>
          </cell>
          <cell r="U3044">
            <v>2</v>
          </cell>
        </row>
        <row r="3045">
          <cell r="B3045" t="str">
            <v>Female</v>
          </cell>
          <cell r="F3045">
            <v>0</v>
          </cell>
          <cell r="G3045">
            <v>11.2</v>
          </cell>
          <cell r="H3045">
            <v>6</v>
          </cell>
          <cell r="I3045">
            <v>79.400000000000006</v>
          </cell>
          <cell r="J3045">
            <v>3</v>
          </cell>
          <cell r="K3045">
            <v>5</v>
          </cell>
          <cell r="L3045">
            <v>147.32</v>
          </cell>
          <cell r="M3045">
            <v>34</v>
          </cell>
          <cell r="N3045">
            <v>17.3</v>
          </cell>
          <cell r="O3045">
            <v>2.8</v>
          </cell>
          <cell r="P3045">
            <v>10.4</v>
          </cell>
          <cell r="T3045">
            <v>4</v>
          </cell>
          <cell r="U3045">
            <v>5</v>
          </cell>
        </row>
        <row r="3046">
          <cell r="B3046" t="str">
            <v>Female</v>
          </cell>
          <cell r="F3046">
            <v>26</v>
          </cell>
          <cell r="G3046">
            <v>28.5</v>
          </cell>
          <cell r="H3046">
            <v>10.9</v>
          </cell>
          <cell r="I3046">
            <v>45.3</v>
          </cell>
          <cell r="J3046">
            <v>9</v>
          </cell>
          <cell r="K3046">
            <v>16</v>
          </cell>
          <cell r="L3046">
            <v>80.42</v>
          </cell>
          <cell r="M3046">
            <v>3</v>
          </cell>
          <cell r="N3046">
            <v>75.2</v>
          </cell>
          <cell r="O3046">
            <v>8.1</v>
          </cell>
          <cell r="P3046">
            <v>20.9</v>
          </cell>
          <cell r="T3046">
            <v>19.100000000000001</v>
          </cell>
          <cell r="U3046">
            <v>2</v>
          </cell>
        </row>
        <row r="3047">
          <cell r="B3047" t="str">
            <v>Female</v>
          </cell>
          <cell r="F3047">
            <v>0</v>
          </cell>
          <cell r="G3047">
            <v>18.600000000000001</v>
          </cell>
          <cell r="H3047">
            <v>7</v>
          </cell>
          <cell r="I3047">
            <v>59.7</v>
          </cell>
          <cell r="J3047">
            <v>2</v>
          </cell>
          <cell r="K3047">
            <v>12</v>
          </cell>
          <cell r="L3047">
            <v>129.83000000000001</v>
          </cell>
          <cell r="M3047">
            <v>3</v>
          </cell>
          <cell r="N3047">
            <v>34.200000000000003</v>
          </cell>
          <cell r="O3047">
            <v>6.1</v>
          </cell>
          <cell r="P3047">
            <v>2</v>
          </cell>
          <cell r="S3047">
            <v>23.3</v>
          </cell>
          <cell r="T3047">
            <v>3.7</v>
          </cell>
          <cell r="U3047">
            <v>2</v>
          </cell>
        </row>
        <row r="3048">
          <cell r="B3048" t="str">
            <v>Female</v>
          </cell>
          <cell r="F3048">
            <v>20</v>
          </cell>
          <cell r="G3048">
            <v>36.799999999999997</v>
          </cell>
          <cell r="H3048">
            <v>10.5</v>
          </cell>
          <cell r="I3048">
            <v>53.7</v>
          </cell>
          <cell r="J3048">
            <v>2</v>
          </cell>
          <cell r="K3048">
            <v>11</v>
          </cell>
          <cell r="L3048">
            <v>118.93</v>
          </cell>
          <cell r="M3048">
            <v>16</v>
          </cell>
          <cell r="N3048">
            <v>72.099999999999994</v>
          </cell>
          <cell r="P3048">
            <v>15.3</v>
          </cell>
          <cell r="S3048">
            <v>34.700000000000003</v>
          </cell>
          <cell r="T3048">
            <v>27.4</v>
          </cell>
          <cell r="U3048">
            <v>4</v>
          </cell>
        </row>
        <row r="3049">
          <cell r="B3049" t="str">
            <v>Female</v>
          </cell>
          <cell r="F3049">
            <v>22</v>
          </cell>
          <cell r="G3049">
            <v>43.4</v>
          </cell>
          <cell r="H3049">
            <v>12.4</v>
          </cell>
          <cell r="I3049">
            <v>47.9</v>
          </cell>
          <cell r="J3049">
            <v>7</v>
          </cell>
          <cell r="K3049" t="str">
            <v>23.400000000000002</v>
          </cell>
          <cell r="L3049">
            <v>138.31</v>
          </cell>
          <cell r="M3049">
            <v>12</v>
          </cell>
          <cell r="N3049">
            <v>24.12</v>
          </cell>
          <cell r="O3049">
            <v>1.9</v>
          </cell>
          <cell r="P3049">
            <v>55.6</v>
          </cell>
          <cell r="S3049">
            <v>57.5</v>
          </cell>
          <cell r="T3049">
            <v>28.7</v>
          </cell>
          <cell r="U3049">
            <v>3</v>
          </cell>
        </row>
        <row r="3050">
          <cell r="B3050" t="str">
            <v>Female</v>
          </cell>
          <cell r="F3050">
            <v>5</v>
          </cell>
          <cell r="G3050">
            <v>30.7</v>
          </cell>
          <cell r="H3050">
            <v>6.8</v>
          </cell>
          <cell r="I3050">
            <v>47.8</v>
          </cell>
          <cell r="J3050">
            <v>6</v>
          </cell>
          <cell r="K3050">
            <v>10</v>
          </cell>
          <cell r="L3050">
            <v>95.16</v>
          </cell>
          <cell r="M3050">
            <v>8</v>
          </cell>
          <cell r="N3050">
            <v>43.6</v>
          </cell>
          <cell r="P3050">
            <v>17.899999999999999</v>
          </cell>
          <cell r="S3050">
            <v>49.1</v>
          </cell>
          <cell r="T3050">
            <v>16.3</v>
          </cell>
          <cell r="U3050">
            <v>4</v>
          </cell>
        </row>
        <row r="3051">
          <cell r="B3051" t="str">
            <v>Male</v>
          </cell>
          <cell r="F3051">
            <v>14</v>
          </cell>
          <cell r="G3051">
            <v>5.8</v>
          </cell>
          <cell r="H3051">
            <v>1.5</v>
          </cell>
          <cell r="I3051">
            <v>72.099999999999994</v>
          </cell>
          <cell r="J3051">
            <v>0</v>
          </cell>
          <cell r="K3051">
            <v>7</v>
          </cell>
          <cell r="L3051">
            <v>122.36</v>
          </cell>
          <cell r="M3051">
            <v>2</v>
          </cell>
          <cell r="N3051">
            <v>6</v>
          </cell>
          <cell r="O3051">
            <v>6.8</v>
          </cell>
          <cell r="P3051">
            <v>9.4</v>
          </cell>
          <cell r="S3051">
            <v>2.7</v>
          </cell>
          <cell r="T3051">
            <v>3.8</v>
          </cell>
          <cell r="U3051">
            <v>1</v>
          </cell>
        </row>
        <row r="3052">
          <cell r="B3052" t="str">
            <v>Male</v>
          </cell>
          <cell r="F3052">
            <v>5</v>
          </cell>
          <cell r="G3052">
            <v>11.7</v>
          </cell>
          <cell r="H3052">
            <v>2.5</v>
          </cell>
          <cell r="I3052">
            <v>64.2</v>
          </cell>
          <cell r="J3052">
            <v>0</v>
          </cell>
          <cell r="K3052">
            <v>6</v>
          </cell>
          <cell r="L3052">
            <v>70.97</v>
          </cell>
          <cell r="M3052">
            <v>19</v>
          </cell>
          <cell r="N3052">
            <v>45.8</v>
          </cell>
          <cell r="O3052">
            <v>2.7</v>
          </cell>
          <cell r="P3052">
            <v>27.1</v>
          </cell>
          <cell r="S3052">
            <v>0</v>
          </cell>
          <cell r="T3052">
            <v>11.3</v>
          </cell>
        </row>
        <row r="3053">
          <cell r="B3053" t="str">
            <v>Female</v>
          </cell>
          <cell r="F3053">
            <v>17</v>
          </cell>
          <cell r="G3053">
            <v>23.9</v>
          </cell>
          <cell r="H3053">
            <v>5.6</v>
          </cell>
          <cell r="I3053">
            <v>74.3</v>
          </cell>
          <cell r="J3053">
            <v>3</v>
          </cell>
          <cell r="K3053">
            <v>8</v>
          </cell>
          <cell r="L3053">
            <v>97.59</v>
          </cell>
          <cell r="N3053">
            <v>46.2</v>
          </cell>
          <cell r="O3053">
            <v>11.2</v>
          </cell>
          <cell r="P3053">
            <v>16.7</v>
          </cell>
          <cell r="S3053">
            <v>21.6</v>
          </cell>
          <cell r="T3053">
            <v>20.100000000000001</v>
          </cell>
          <cell r="U3053">
            <v>2</v>
          </cell>
        </row>
        <row r="3054">
          <cell r="B3054" t="str">
            <v>Other</v>
          </cell>
          <cell r="F3054">
            <v>6</v>
          </cell>
          <cell r="G3054">
            <v>22.7</v>
          </cell>
          <cell r="H3054">
            <v>8.5</v>
          </cell>
          <cell r="I3054">
            <v>70.3</v>
          </cell>
          <cell r="J3054">
            <v>4</v>
          </cell>
          <cell r="K3054">
            <v>9.1</v>
          </cell>
          <cell r="L3054">
            <v>102.91</v>
          </cell>
          <cell r="N3054" t="str">
            <v>27.599999999999998</v>
          </cell>
          <cell r="O3054">
            <v>4</v>
          </cell>
          <cell r="P3054">
            <v>7.3</v>
          </cell>
          <cell r="T3054">
            <v>3.6</v>
          </cell>
          <cell r="U3054">
            <v>3</v>
          </cell>
        </row>
        <row r="3055">
          <cell r="B3055" t="str">
            <v>Male</v>
          </cell>
          <cell r="F3055">
            <v>20</v>
          </cell>
          <cell r="G3055">
            <v>43.1</v>
          </cell>
          <cell r="H3055">
            <v>11.7</v>
          </cell>
          <cell r="I3055">
            <v>53.5</v>
          </cell>
          <cell r="J3055">
            <v>11</v>
          </cell>
          <cell r="K3055">
            <v>19</v>
          </cell>
          <cell r="L3055">
            <v>121.37</v>
          </cell>
          <cell r="M3055">
            <v>74</v>
          </cell>
          <cell r="N3055">
            <v>30.8</v>
          </cell>
          <cell r="O3055">
            <v>6.8</v>
          </cell>
          <cell r="P3055">
            <v>30</v>
          </cell>
          <cell r="S3055">
            <v>59.3</v>
          </cell>
          <cell r="T3055">
            <v>39.299999999999997</v>
          </cell>
          <cell r="U3055">
            <v>5</v>
          </cell>
        </row>
        <row r="3056">
          <cell r="B3056" t="str">
            <v>Male</v>
          </cell>
          <cell r="F3056">
            <v>15</v>
          </cell>
          <cell r="G3056">
            <v>19.600000000000001</v>
          </cell>
          <cell r="H3056">
            <v>7.3</v>
          </cell>
          <cell r="I3056">
            <v>86.9</v>
          </cell>
          <cell r="J3056">
            <v>5</v>
          </cell>
          <cell r="K3056">
            <v>7</v>
          </cell>
          <cell r="L3056">
            <v>109.72</v>
          </cell>
          <cell r="M3056">
            <v>17</v>
          </cell>
          <cell r="N3056">
            <v>46.4</v>
          </cell>
          <cell r="O3056">
            <v>2.4</v>
          </cell>
          <cell r="P3056">
            <v>16.100000000000001</v>
          </cell>
          <cell r="S3056">
            <v>22</v>
          </cell>
          <cell r="T3056">
            <v>16.8</v>
          </cell>
          <cell r="U3056">
            <v>3</v>
          </cell>
        </row>
        <row r="3057">
          <cell r="B3057" t="str">
            <v>Male</v>
          </cell>
          <cell r="F3057">
            <v>11</v>
          </cell>
          <cell r="G3057">
            <v>24.5</v>
          </cell>
          <cell r="H3057">
            <v>5.4</v>
          </cell>
          <cell r="I3057">
            <v>66.2</v>
          </cell>
          <cell r="J3057">
            <v>5</v>
          </cell>
          <cell r="K3057">
            <v>6</v>
          </cell>
          <cell r="L3057">
            <v>103.63</v>
          </cell>
          <cell r="M3057">
            <v>56</v>
          </cell>
          <cell r="N3057">
            <v>15.1</v>
          </cell>
          <cell r="O3057">
            <v>12.5</v>
          </cell>
          <cell r="P3057">
            <v>1.6</v>
          </cell>
          <cell r="T3057">
            <v>12.8</v>
          </cell>
          <cell r="U3057">
            <v>5</v>
          </cell>
        </row>
        <row r="3058">
          <cell r="B3058" t="str">
            <v>Female</v>
          </cell>
          <cell r="F3058">
            <v>0</v>
          </cell>
          <cell r="G3058">
            <v>10.5</v>
          </cell>
          <cell r="H3058">
            <v>4.4000000000000004</v>
          </cell>
          <cell r="I3058">
            <v>89.6</v>
          </cell>
          <cell r="J3058">
            <v>2</v>
          </cell>
          <cell r="K3058">
            <v>6.5</v>
          </cell>
          <cell r="L3058">
            <v>66.53</v>
          </cell>
          <cell r="M3058">
            <v>11</v>
          </cell>
          <cell r="N3058" t="str">
            <v>83.88000000000001</v>
          </cell>
          <cell r="S3058">
            <v>0</v>
          </cell>
          <cell r="T3058">
            <v>5.0999999999999996</v>
          </cell>
          <cell r="U3058">
            <v>2</v>
          </cell>
        </row>
        <row r="3059">
          <cell r="B3059" t="str">
            <v>Other</v>
          </cell>
          <cell r="F3059">
            <v>2</v>
          </cell>
          <cell r="G3059">
            <v>13.9</v>
          </cell>
          <cell r="H3059">
            <v>4.4000000000000004</v>
          </cell>
          <cell r="I3059">
            <v>56.4</v>
          </cell>
          <cell r="J3059">
            <v>3</v>
          </cell>
          <cell r="K3059">
            <v>16</v>
          </cell>
          <cell r="L3059">
            <v>169.47</v>
          </cell>
          <cell r="M3059">
            <v>43</v>
          </cell>
          <cell r="P3059">
            <v>17.8</v>
          </cell>
          <cell r="S3059">
            <v>15.2</v>
          </cell>
          <cell r="T3059">
            <v>12.4</v>
          </cell>
        </row>
        <row r="3060">
          <cell r="B3060" t="str">
            <v>Female</v>
          </cell>
          <cell r="F3060">
            <v>7</v>
          </cell>
          <cell r="G3060">
            <v>15.7</v>
          </cell>
          <cell r="H3060">
            <v>3.9</v>
          </cell>
          <cell r="I3060">
            <v>74.099999999999994</v>
          </cell>
          <cell r="J3060">
            <v>1</v>
          </cell>
          <cell r="K3060">
            <v>9.1</v>
          </cell>
          <cell r="L3060">
            <v>106.41</v>
          </cell>
          <cell r="M3060">
            <v>5</v>
          </cell>
          <cell r="N3060">
            <v>70.44</v>
          </cell>
          <cell r="O3060">
            <v>0.5</v>
          </cell>
          <cell r="P3060">
            <v>3.7</v>
          </cell>
          <cell r="S3060">
            <v>6.1</v>
          </cell>
          <cell r="U3060">
            <v>2</v>
          </cell>
        </row>
        <row r="3061">
          <cell r="B3061" t="str">
            <v>Female</v>
          </cell>
          <cell r="F3061">
            <v>15</v>
          </cell>
          <cell r="G3061">
            <v>31.9</v>
          </cell>
          <cell r="H3061">
            <v>13</v>
          </cell>
          <cell r="I3061">
            <v>18.3</v>
          </cell>
          <cell r="J3061">
            <v>10</v>
          </cell>
          <cell r="K3061">
            <v>29</v>
          </cell>
          <cell r="L3061">
            <v>183.81</v>
          </cell>
          <cell r="M3061">
            <v>19</v>
          </cell>
          <cell r="N3061">
            <v>17.600000000000001</v>
          </cell>
          <cell r="O3061">
            <v>1</v>
          </cell>
          <cell r="P3061">
            <v>55</v>
          </cell>
          <cell r="S3061">
            <v>65.2</v>
          </cell>
          <cell r="T3061">
            <v>33.9</v>
          </cell>
          <cell r="U3061">
            <v>3</v>
          </cell>
        </row>
        <row r="3062">
          <cell r="B3062" t="str">
            <v>Female</v>
          </cell>
          <cell r="F3062">
            <v>3</v>
          </cell>
          <cell r="G3062">
            <v>16.100000000000001</v>
          </cell>
          <cell r="H3062">
            <v>6.2</v>
          </cell>
          <cell r="I3062">
            <v>81.7</v>
          </cell>
          <cell r="J3062">
            <v>2</v>
          </cell>
          <cell r="K3062">
            <v>9.1</v>
          </cell>
          <cell r="L3062">
            <v>121.98</v>
          </cell>
          <cell r="M3062">
            <v>16</v>
          </cell>
          <cell r="N3062">
            <v>49.8</v>
          </cell>
          <cell r="O3062">
            <v>18.5</v>
          </cell>
          <cell r="P3062">
            <v>3.4</v>
          </cell>
          <cell r="S3062">
            <v>53.3</v>
          </cell>
          <cell r="T3062">
            <v>3.6</v>
          </cell>
          <cell r="U3062">
            <v>3</v>
          </cell>
        </row>
        <row r="3063">
          <cell r="B3063" t="str">
            <v>Male</v>
          </cell>
          <cell r="F3063">
            <v>7</v>
          </cell>
          <cell r="G3063">
            <v>41.2</v>
          </cell>
          <cell r="H3063">
            <v>7.6</v>
          </cell>
          <cell r="I3063">
            <v>73.2</v>
          </cell>
          <cell r="J3063">
            <v>2</v>
          </cell>
          <cell r="K3063">
            <v>11</v>
          </cell>
          <cell r="L3063">
            <v>97.56</v>
          </cell>
          <cell r="M3063">
            <v>21</v>
          </cell>
          <cell r="N3063">
            <v>60.3</v>
          </cell>
          <cell r="O3063">
            <v>3.8</v>
          </cell>
          <cell r="S3063">
            <v>0</v>
          </cell>
          <cell r="T3063">
            <v>11.1</v>
          </cell>
          <cell r="U3063">
            <v>1</v>
          </cell>
        </row>
        <row r="3064">
          <cell r="B3064" t="str">
            <v>Male</v>
          </cell>
          <cell r="F3064">
            <v>8</v>
          </cell>
          <cell r="G3064">
            <v>14.8</v>
          </cell>
          <cell r="H3064">
            <v>6</v>
          </cell>
          <cell r="I3064">
            <v>68.900000000000006</v>
          </cell>
          <cell r="J3064">
            <v>6</v>
          </cell>
          <cell r="K3064">
            <v>11</v>
          </cell>
          <cell r="L3064">
            <v>85.05</v>
          </cell>
          <cell r="M3064">
            <v>122</v>
          </cell>
          <cell r="N3064">
            <v>28.6</v>
          </cell>
          <cell r="O3064">
            <v>10.1</v>
          </cell>
          <cell r="P3064">
            <v>33.1</v>
          </cell>
          <cell r="S3064">
            <v>7.3</v>
          </cell>
          <cell r="T3064">
            <v>17.7</v>
          </cell>
          <cell r="U3064">
            <v>1</v>
          </cell>
        </row>
        <row r="3065">
          <cell r="B3065" t="str">
            <v>Female</v>
          </cell>
          <cell r="F3065">
            <v>5</v>
          </cell>
          <cell r="G3065">
            <v>22.3</v>
          </cell>
          <cell r="H3065">
            <v>8.1</v>
          </cell>
          <cell r="I3065">
            <v>53.6</v>
          </cell>
          <cell r="J3065">
            <v>1</v>
          </cell>
          <cell r="K3065">
            <v>9</v>
          </cell>
          <cell r="L3065">
            <v>134.12</v>
          </cell>
          <cell r="M3065">
            <v>6</v>
          </cell>
          <cell r="N3065">
            <v>40</v>
          </cell>
          <cell r="O3065">
            <v>1.9</v>
          </cell>
          <cell r="P3065">
            <v>2.8</v>
          </cell>
          <cell r="S3065">
            <v>13.9</v>
          </cell>
          <cell r="T3065">
            <v>19.3</v>
          </cell>
          <cell r="U3065">
            <v>3</v>
          </cell>
        </row>
        <row r="3066">
          <cell r="B3066" t="str">
            <v>Female</v>
          </cell>
          <cell r="F3066">
            <v>8</v>
          </cell>
          <cell r="G3066">
            <v>24.7</v>
          </cell>
          <cell r="H3066">
            <v>6.4</v>
          </cell>
          <cell r="I3066">
            <v>82.4</v>
          </cell>
          <cell r="K3066" t="str">
            <v>7.800000000000001</v>
          </cell>
          <cell r="L3066">
            <v>185.88</v>
          </cell>
          <cell r="M3066">
            <v>39</v>
          </cell>
          <cell r="N3066">
            <v>46.32</v>
          </cell>
          <cell r="O3066">
            <v>4.8</v>
          </cell>
          <cell r="P3066">
            <v>16.7</v>
          </cell>
          <cell r="S3066">
            <v>32.9</v>
          </cell>
          <cell r="T3066">
            <v>11.2</v>
          </cell>
          <cell r="U3066">
            <v>2</v>
          </cell>
        </row>
        <row r="3067">
          <cell r="B3067" t="str">
            <v>Female</v>
          </cell>
          <cell r="F3067">
            <v>9</v>
          </cell>
          <cell r="G3067">
            <v>27.2</v>
          </cell>
          <cell r="H3067">
            <v>7.4</v>
          </cell>
          <cell r="I3067">
            <v>53.2</v>
          </cell>
          <cell r="J3067">
            <v>3</v>
          </cell>
          <cell r="K3067">
            <v>12</v>
          </cell>
          <cell r="L3067">
            <v>69.459999999999994</v>
          </cell>
          <cell r="M3067">
            <v>4</v>
          </cell>
          <cell r="N3067">
            <v>36.9</v>
          </cell>
          <cell r="O3067">
            <v>2.2999999999999998</v>
          </cell>
          <cell r="P3067">
            <v>27.6</v>
          </cell>
          <cell r="S3067">
            <v>0.7</v>
          </cell>
          <cell r="T3067">
            <v>17.5</v>
          </cell>
          <cell r="U3067">
            <v>1</v>
          </cell>
        </row>
        <row r="3068">
          <cell r="B3068" t="str">
            <v>Male</v>
          </cell>
          <cell r="F3068">
            <v>13</v>
          </cell>
          <cell r="G3068">
            <v>33.5</v>
          </cell>
          <cell r="H3068">
            <v>9.3000000000000007</v>
          </cell>
          <cell r="I3068">
            <v>72</v>
          </cell>
          <cell r="J3068">
            <v>3</v>
          </cell>
          <cell r="K3068">
            <v>18</v>
          </cell>
          <cell r="L3068">
            <v>130.38999999999999</v>
          </cell>
          <cell r="M3068">
            <v>12</v>
          </cell>
          <cell r="N3068">
            <v>15</v>
          </cell>
          <cell r="O3068">
            <v>0.5</v>
          </cell>
          <cell r="P3068">
            <v>20.2</v>
          </cell>
          <cell r="S3068">
            <v>16.600000000000001</v>
          </cell>
          <cell r="T3068">
            <v>18.7</v>
          </cell>
          <cell r="U3068">
            <v>2</v>
          </cell>
        </row>
        <row r="3069">
          <cell r="B3069" t="str">
            <v>Male</v>
          </cell>
          <cell r="F3069">
            <v>9</v>
          </cell>
          <cell r="G3069">
            <v>32.700000000000003</v>
          </cell>
          <cell r="H3069">
            <v>6.7</v>
          </cell>
          <cell r="I3069">
            <v>49.4</v>
          </cell>
          <cell r="J3069">
            <v>5</v>
          </cell>
          <cell r="K3069" t="str">
            <v>15.600000000000001</v>
          </cell>
          <cell r="L3069">
            <v>177.6</v>
          </cell>
          <cell r="M3069">
            <v>10</v>
          </cell>
          <cell r="N3069" t="str">
            <v>15.839999999999998</v>
          </cell>
          <cell r="P3069">
            <v>29.9</v>
          </cell>
          <cell r="S3069">
            <v>0</v>
          </cell>
          <cell r="T3069">
            <v>13.7</v>
          </cell>
          <cell r="U3069">
            <v>5</v>
          </cell>
        </row>
        <row r="3070">
          <cell r="B3070" t="str">
            <v>Male</v>
          </cell>
          <cell r="F3070">
            <v>8</v>
          </cell>
          <cell r="G3070">
            <v>32</v>
          </cell>
          <cell r="H3070">
            <v>10.8</v>
          </cell>
          <cell r="I3070">
            <v>52.3</v>
          </cell>
          <cell r="J3070">
            <v>4</v>
          </cell>
          <cell r="K3070">
            <v>18.2</v>
          </cell>
          <cell r="L3070">
            <v>105.76</v>
          </cell>
          <cell r="M3070">
            <v>31</v>
          </cell>
          <cell r="P3070">
            <v>17.5</v>
          </cell>
          <cell r="S3070">
            <v>19.100000000000001</v>
          </cell>
          <cell r="T3070">
            <v>23.8</v>
          </cell>
          <cell r="U3070">
            <v>2</v>
          </cell>
        </row>
        <row r="3071">
          <cell r="B3071" t="str">
            <v>Male</v>
          </cell>
          <cell r="F3071">
            <v>0</v>
          </cell>
          <cell r="G3071">
            <v>20</v>
          </cell>
          <cell r="H3071">
            <v>3.8</v>
          </cell>
          <cell r="I3071">
            <v>69.8</v>
          </cell>
          <cell r="J3071">
            <v>2</v>
          </cell>
          <cell r="K3071">
            <v>8</v>
          </cell>
          <cell r="L3071">
            <v>39.950000000000003</v>
          </cell>
          <cell r="M3071">
            <v>121</v>
          </cell>
          <cell r="N3071">
            <v>68.5</v>
          </cell>
          <cell r="O3071">
            <v>1</v>
          </cell>
          <cell r="P3071">
            <v>6.4</v>
          </cell>
          <cell r="S3071">
            <v>17.7</v>
          </cell>
          <cell r="T3071">
            <v>9.6999999999999993</v>
          </cell>
          <cell r="U3071">
            <v>3</v>
          </cell>
        </row>
        <row r="3072">
          <cell r="B3072" t="str">
            <v>Female</v>
          </cell>
          <cell r="F3072">
            <v>7</v>
          </cell>
          <cell r="G3072">
            <v>16.2</v>
          </cell>
          <cell r="H3072">
            <v>4.0999999999999996</v>
          </cell>
          <cell r="I3072">
            <v>72.3</v>
          </cell>
          <cell r="J3072">
            <v>0</v>
          </cell>
          <cell r="K3072">
            <v>5.2</v>
          </cell>
          <cell r="L3072">
            <v>158.53</v>
          </cell>
          <cell r="M3072">
            <v>45</v>
          </cell>
          <cell r="N3072">
            <v>76.2</v>
          </cell>
          <cell r="O3072">
            <v>14.9</v>
          </cell>
          <cell r="P3072">
            <v>11.9</v>
          </cell>
          <cell r="S3072">
            <v>3.7</v>
          </cell>
          <cell r="T3072">
            <v>12.5</v>
          </cell>
          <cell r="U3072">
            <v>2</v>
          </cell>
        </row>
        <row r="3073">
          <cell r="B3073" t="str">
            <v>Female</v>
          </cell>
          <cell r="F3073">
            <v>9</v>
          </cell>
          <cell r="G3073">
            <v>35.6</v>
          </cell>
          <cell r="H3073">
            <v>11.5</v>
          </cell>
          <cell r="I3073">
            <v>61.3</v>
          </cell>
          <cell r="J3073">
            <v>8</v>
          </cell>
          <cell r="K3073">
            <v>19.5</v>
          </cell>
          <cell r="L3073">
            <v>164.97</v>
          </cell>
          <cell r="M3073">
            <v>72</v>
          </cell>
          <cell r="N3073" t="str">
            <v>16.439999999999998</v>
          </cell>
          <cell r="P3073">
            <v>35.200000000000003</v>
          </cell>
          <cell r="S3073">
            <v>37.299999999999997</v>
          </cell>
          <cell r="T3073">
            <v>25.4</v>
          </cell>
          <cell r="U3073">
            <v>1</v>
          </cell>
        </row>
        <row r="3074">
          <cell r="B3074" t="str">
            <v>Female</v>
          </cell>
          <cell r="F3074">
            <v>0</v>
          </cell>
          <cell r="G3074">
            <v>27</v>
          </cell>
          <cell r="H3074">
            <v>2.8</v>
          </cell>
          <cell r="I3074">
            <v>67.7</v>
          </cell>
          <cell r="J3074">
            <v>2</v>
          </cell>
          <cell r="K3074">
            <v>9.1</v>
          </cell>
          <cell r="L3074">
            <v>114.53</v>
          </cell>
          <cell r="M3074">
            <v>52</v>
          </cell>
          <cell r="N3074">
            <v>51.48</v>
          </cell>
          <cell r="O3074">
            <v>8</v>
          </cell>
          <cell r="P3074">
            <v>12.7</v>
          </cell>
          <cell r="S3074">
            <v>0</v>
          </cell>
          <cell r="T3074">
            <v>11.5</v>
          </cell>
          <cell r="U3074">
            <v>2</v>
          </cell>
        </row>
        <row r="3075">
          <cell r="B3075" t="str">
            <v>Female</v>
          </cell>
          <cell r="F3075">
            <v>0</v>
          </cell>
          <cell r="G3075">
            <v>11</v>
          </cell>
          <cell r="H3075">
            <v>5</v>
          </cell>
          <cell r="I3075">
            <v>98.2</v>
          </cell>
          <cell r="J3075">
            <v>1</v>
          </cell>
          <cell r="K3075">
            <v>4</v>
          </cell>
          <cell r="L3075">
            <v>156.07</v>
          </cell>
          <cell r="M3075">
            <v>38</v>
          </cell>
          <cell r="O3075">
            <v>12.7</v>
          </cell>
          <cell r="P3075">
            <v>0</v>
          </cell>
          <cell r="S3075">
            <v>0</v>
          </cell>
          <cell r="T3075">
            <v>19</v>
          </cell>
          <cell r="U3075">
            <v>2</v>
          </cell>
        </row>
        <row r="3076">
          <cell r="B3076" t="str">
            <v>Male</v>
          </cell>
          <cell r="F3076">
            <v>0</v>
          </cell>
          <cell r="G3076">
            <v>14.3</v>
          </cell>
          <cell r="H3076">
            <v>3.6</v>
          </cell>
          <cell r="I3076">
            <v>71.599999999999994</v>
          </cell>
          <cell r="J3076">
            <v>3</v>
          </cell>
          <cell r="K3076">
            <v>5</v>
          </cell>
          <cell r="L3076">
            <v>61.01</v>
          </cell>
          <cell r="M3076">
            <v>19</v>
          </cell>
          <cell r="N3076">
            <v>33.200000000000003</v>
          </cell>
          <cell r="O3076">
            <v>12.2</v>
          </cell>
          <cell r="P3076">
            <v>16.600000000000001</v>
          </cell>
          <cell r="S3076">
            <v>33.9</v>
          </cell>
          <cell r="T3076">
            <v>7.1</v>
          </cell>
          <cell r="U3076">
            <v>3</v>
          </cell>
        </row>
        <row r="3077">
          <cell r="B3077" t="str">
            <v>Male</v>
          </cell>
          <cell r="F3077">
            <v>22</v>
          </cell>
          <cell r="G3077">
            <v>64.5</v>
          </cell>
          <cell r="H3077">
            <v>19.100000000000001</v>
          </cell>
          <cell r="I3077">
            <v>28.5</v>
          </cell>
          <cell r="J3077">
            <v>12</v>
          </cell>
          <cell r="K3077">
            <v>21</v>
          </cell>
          <cell r="L3077">
            <v>259.58999999999997</v>
          </cell>
          <cell r="M3077">
            <v>16</v>
          </cell>
          <cell r="N3077">
            <v>45.7</v>
          </cell>
          <cell r="O3077">
            <v>5.6</v>
          </cell>
          <cell r="P3077">
            <v>52.3</v>
          </cell>
          <cell r="S3077">
            <v>76.400000000000006</v>
          </cell>
          <cell r="T3077">
            <v>37.4</v>
          </cell>
          <cell r="U3077">
            <v>3</v>
          </cell>
        </row>
        <row r="3078">
          <cell r="B3078" t="str">
            <v>Male</v>
          </cell>
          <cell r="F3078">
            <v>21</v>
          </cell>
          <cell r="G3078">
            <v>34.9</v>
          </cell>
          <cell r="H3078">
            <v>8.8000000000000007</v>
          </cell>
          <cell r="I3078">
            <v>51.7</v>
          </cell>
          <cell r="J3078">
            <v>9</v>
          </cell>
          <cell r="K3078">
            <v>23</v>
          </cell>
          <cell r="L3078">
            <v>136.75</v>
          </cell>
          <cell r="M3078">
            <v>8</v>
          </cell>
          <cell r="N3078">
            <v>44.8</v>
          </cell>
          <cell r="O3078">
            <v>12.2</v>
          </cell>
          <cell r="P3078">
            <v>33.6</v>
          </cell>
          <cell r="S3078">
            <v>67.3</v>
          </cell>
          <cell r="T3078">
            <v>28.5</v>
          </cell>
          <cell r="U3078">
            <v>1</v>
          </cell>
        </row>
        <row r="3079">
          <cell r="B3079" t="str">
            <v>Male</v>
          </cell>
          <cell r="F3079">
            <v>13</v>
          </cell>
          <cell r="G3079">
            <v>44.2</v>
          </cell>
          <cell r="H3079">
            <v>9.4</v>
          </cell>
          <cell r="I3079">
            <v>40.799999999999997</v>
          </cell>
          <cell r="J3079">
            <v>6</v>
          </cell>
          <cell r="K3079">
            <v>18.2</v>
          </cell>
          <cell r="L3079">
            <v>148.81</v>
          </cell>
          <cell r="N3079">
            <v>30.36</v>
          </cell>
          <cell r="O3079">
            <v>0.7</v>
          </cell>
          <cell r="P3079">
            <v>47.9</v>
          </cell>
          <cell r="S3079">
            <v>8.8000000000000007</v>
          </cell>
          <cell r="T3079">
            <v>22.6</v>
          </cell>
          <cell r="U3079">
            <v>2</v>
          </cell>
        </row>
        <row r="3080">
          <cell r="B3080" t="str">
            <v>Male</v>
          </cell>
          <cell r="F3080">
            <v>10</v>
          </cell>
          <cell r="G3080">
            <v>17.2</v>
          </cell>
          <cell r="H3080">
            <v>6.8</v>
          </cell>
          <cell r="I3080">
            <v>50.9</v>
          </cell>
          <cell r="J3080">
            <v>3</v>
          </cell>
          <cell r="K3080">
            <v>14</v>
          </cell>
          <cell r="L3080">
            <v>69.12</v>
          </cell>
          <cell r="M3080">
            <v>13</v>
          </cell>
          <cell r="N3080">
            <v>31.2</v>
          </cell>
          <cell r="O3080">
            <v>3.1</v>
          </cell>
          <cell r="P3080">
            <v>30.2</v>
          </cell>
          <cell r="T3080">
            <v>13.4</v>
          </cell>
          <cell r="U3080">
            <v>3</v>
          </cell>
        </row>
        <row r="3081">
          <cell r="B3081" t="str">
            <v>Female</v>
          </cell>
          <cell r="F3081">
            <v>9</v>
          </cell>
          <cell r="G3081">
            <v>17.600000000000001</v>
          </cell>
          <cell r="H3081">
            <v>6.3</v>
          </cell>
          <cell r="I3081">
            <v>61.9</v>
          </cell>
          <cell r="J3081">
            <v>2</v>
          </cell>
          <cell r="K3081">
            <v>11</v>
          </cell>
          <cell r="L3081">
            <v>98.31</v>
          </cell>
          <cell r="M3081">
            <v>21</v>
          </cell>
          <cell r="N3081">
            <v>60</v>
          </cell>
          <cell r="P3081">
            <v>14</v>
          </cell>
          <cell r="S3081">
            <v>15.9</v>
          </cell>
          <cell r="T3081">
            <v>12.6</v>
          </cell>
          <cell r="U3081">
            <v>2</v>
          </cell>
        </row>
        <row r="3082">
          <cell r="B3082" t="str">
            <v>Other</v>
          </cell>
          <cell r="F3082">
            <v>25</v>
          </cell>
          <cell r="G3082">
            <v>42.3</v>
          </cell>
          <cell r="H3082">
            <v>13.4</v>
          </cell>
          <cell r="I3082">
            <v>39.299999999999997</v>
          </cell>
          <cell r="J3082">
            <v>8</v>
          </cell>
          <cell r="K3082">
            <v>18</v>
          </cell>
          <cell r="L3082">
            <v>70.52</v>
          </cell>
          <cell r="M3082">
            <v>16</v>
          </cell>
          <cell r="N3082">
            <v>52.9</v>
          </cell>
          <cell r="O3082">
            <v>1.5</v>
          </cell>
          <cell r="P3082">
            <v>44.5</v>
          </cell>
          <cell r="S3082">
            <v>57.5</v>
          </cell>
          <cell r="T3082">
            <v>25.7</v>
          </cell>
          <cell r="U3082">
            <v>2</v>
          </cell>
        </row>
        <row r="3083">
          <cell r="B3083" t="str">
            <v>Female</v>
          </cell>
          <cell r="F3083">
            <v>15</v>
          </cell>
          <cell r="G3083">
            <v>40.5</v>
          </cell>
          <cell r="H3083">
            <v>7.9</v>
          </cell>
          <cell r="I3083">
            <v>39.799999999999997</v>
          </cell>
          <cell r="J3083">
            <v>3</v>
          </cell>
          <cell r="K3083">
            <v>14</v>
          </cell>
          <cell r="L3083">
            <v>131.91</v>
          </cell>
          <cell r="M3083">
            <v>11</v>
          </cell>
          <cell r="N3083">
            <v>20.399999999999999</v>
          </cell>
          <cell r="O3083">
            <v>15.6</v>
          </cell>
          <cell r="P3083">
            <v>43.6</v>
          </cell>
          <cell r="S3083">
            <v>45.9</v>
          </cell>
          <cell r="T3083">
            <v>31.2</v>
          </cell>
          <cell r="U3083">
            <v>2</v>
          </cell>
        </row>
        <row r="3084">
          <cell r="B3084" t="str">
            <v>Female</v>
          </cell>
          <cell r="F3084">
            <v>21</v>
          </cell>
          <cell r="G3084">
            <v>42.4</v>
          </cell>
          <cell r="H3084">
            <v>11.9</v>
          </cell>
          <cell r="I3084">
            <v>41</v>
          </cell>
          <cell r="J3084">
            <v>3</v>
          </cell>
          <cell r="K3084">
            <v>18</v>
          </cell>
          <cell r="L3084">
            <v>110.28</v>
          </cell>
          <cell r="M3084">
            <v>46</v>
          </cell>
          <cell r="N3084">
            <v>14.6</v>
          </cell>
          <cell r="O3084">
            <v>15.2</v>
          </cell>
          <cell r="P3084">
            <v>36.700000000000003</v>
          </cell>
          <cell r="S3084">
            <v>48.4</v>
          </cell>
          <cell r="T3084">
            <v>29.3</v>
          </cell>
          <cell r="U3084">
            <v>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verages"/>
      <sheetName val="Sheet3"/>
      <sheetName val="Customer Data with Clusters"/>
      <sheetName val="KPIs"/>
    </sheetNames>
    <sheetDataSet>
      <sheetData sheetId="0">
        <row r="3">
          <cell r="B3" t="str">
            <v>Row Labels</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tabSelected="1" workbookViewId="0">
      <selection activeCell="F1" sqref="F1"/>
    </sheetView>
  </sheetViews>
  <sheetFormatPr defaultRowHeight="14.4"/>
  <cols>
    <col min="18" max="18" width="8.88671875" customWidth="1"/>
  </cols>
  <sheetData>
    <row r="1" spans="1:18" s="3" customFormat="1" ht="57.6">
      <c r="A1" s="2" t="s">
        <v>0</v>
      </c>
      <c r="B1" s="2" t="s">
        <v>1</v>
      </c>
      <c r="C1" s="11" t="s">
        <v>31</v>
      </c>
      <c r="D1" s="2" t="s">
        <v>2</v>
      </c>
      <c r="E1" s="2" t="s">
        <v>3</v>
      </c>
      <c r="F1" s="2" t="s">
        <v>4</v>
      </c>
      <c r="G1" s="2" t="s">
        <v>5</v>
      </c>
      <c r="H1" s="2" t="s">
        <v>6</v>
      </c>
      <c r="I1" s="2" t="s">
        <v>7</v>
      </c>
      <c r="J1" s="2" t="s">
        <v>8</v>
      </c>
      <c r="K1" s="2" t="s">
        <v>9</v>
      </c>
      <c r="L1" s="2" t="s">
        <v>10</v>
      </c>
      <c r="M1" s="2" t="s">
        <v>11</v>
      </c>
      <c r="N1" s="2" t="s">
        <v>12</v>
      </c>
      <c r="O1" s="2" t="s">
        <v>13</v>
      </c>
      <c r="P1" s="2" t="s">
        <v>14</v>
      </c>
      <c r="Q1" s="2" t="s">
        <v>15</v>
      </c>
      <c r="R1" s="7"/>
    </row>
    <row r="2" spans="1:18" ht="15" thickBot="1">
      <c r="A2" s="1">
        <v>1</v>
      </c>
      <c r="B2" s="1">
        <v>185</v>
      </c>
      <c r="C2" s="12">
        <f>B2/$B$7</f>
        <v>6.0006487187804089E-2</v>
      </c>
      <c r="D2" s="1">
        <v>11.237837837837837</v>
      </c>
      <c r="E2" s="1">
        <v>26.049189189189196</v>
      </c>
      <c r="F2" s="1">
        <v>8.5248648648648615</v>
      </c>
      <c r="G2" s="5">
        <v>59.057297297297282</v>
      </c>
      <c r="H2" s="1">
        <v>4.0810810810810807</v>
      </c>
      <c r="I2" s="1">
        <v>12.227567567567567</v>
      </c>
      <c r="J2" s="8">
        <v>152.80713513513504</v>
      </c>
      <c r="K2" s="1">
        <v>23.610810810810811</v>
      </c>
      <c r="L2" s="5">
        <v>47.375243243243226</v>
      </c>
      <c r="M2" s="5">
        <v>6.5859459459459453</v>
      </c>
      <c r="N2" s="1">
        <v>20.321621621621624</v>
      </c>
      <c r="O2" s="1">
        <v>24.929189189189202</v>
      </c>
      <c r="P2" s="6">
        <v>19.567567567567568</v>
      </c>
      <c r="Q2" s="6">
        <v>2.3135135135135134</v>
      </c>
    </row>
    <row r="3" spans="1:18" s="4" customFormat="1" ht="15" thickBot="1">
      <c r="A3" s="43">
        <v>2</v>
      </c>
      <c r="B3" s="44">
        <v>159</v>
      </c>
      <c r="C3" s="45">
        <f t="shared" ref="C3:C6" si="0">B3/$B$7</f>
        <v>5.1573143042491082E-2</v>
      </c>
      <c r="D3" s="46">
        <v>12.50314465408805</v>
      </c>
      <c r="E3" s="44">
        <v>27.601257861635212</v>
      </c>
      <c r="F3" s="46">
        <v>9.0226415094339583</v>
      </c>
      <c r="G3" s="44">
        <v>55.699999999999974</v>
      </c>
      <c r="H3" s="44">
        <v>4.1194968553459121</v>
      </c>
      <c r="I3" s="46">
        <v>13.563522012578616</v>
      </c>
      <c r="J3" s="47">
        <v>204.47314465408812</v>
      </c>
      <c r="K3" s="44">
        <v>29.314465408805031</v>
      </c>
      <c r="L3" s="44">
        <v>40.253207547169829</v>
      </c>
      <c r="M3" s="44">
        <v>6.4056603773584904</v>
      </c>
      <c r="N3" s="46">
        <v>22.001886792452826</v>
      </c>
      <c r="O3" s="46">
        <v>30.460377358490589</v>
      </c>
      <c r="P3" s="46">
        <v>19.805660377358496</v>
      </c>
      <c r="Q3" s="48">
        <v>2.3710691823899372</v>
      </c>
    </row>
    <row r="4" spans="1:18" ht="15" thickBot="1">
      <c r="A4" s="1">
        <v>3</v>
      </c>
      <c r="B4" s="1">
        <v>480</v>
      </c>
      <c r="C4" s="12">
        <f t="shared" si="0"/>
        <v>0.15569250729808629</v>
      </c>
      <c r="D4" s="1">
        <v>8.8333333333333339</v>
      </c>
      <c r="E4" s="1">
        <v>22.315416666666682</v>
      </c>
      <c r="F4" s="1">
        <v>7.1158333333333337</v>
      </c>
      <c r="G4" s="5">
        <v>64.198832604275822</v>
      </c>
      <c r="H4" s="5">
        <v>3.1812499999999999</v>
      </c>
      <c r="I4" s="1">
        <v>10.417916666666667</v>
      </c>
      <c r="J4" s="1">
        <v>94.54537500000005</v>
      </c>
      <c r="K4" s="1">
        <v>19.383333333333333</v>
      </c>
      <c r="L4" s="1">
        <v>37.369625000000035</v>
      </c>
      <c r="M4" s="1">
        <v>6.4760416666666769</v>
      </c>
      <c r="N4" s="1">
        <v>14.570625000000007</v>
      </c>
      <c r="O4" s="1">
        <v>20.345416666666654</v>
      </c>
      <c r="P4" s="1">
        <v>15.373750000000003</v>
      </c>
      <c r="Q4" s="5">
        <v>2.3416666666666668</v>
      </c>
    </row>
    <row r="5" spans="1:18" s="4" customFormat="1" ht="15" thickBot="1">
      <c r="A5" s="43">
        <v>4</v>
      </c>
      <c r="B5" s="44">
        <v>358</v>
      </c>
      <c r="C5" s="45">
        <f t="shared" si="0"/>
        <v>0.11612066169315602</v>
      </c>
      <c r="D5" s="47">
        <v>18.24581005586592</v>
      </c>
      <c r="E5" s="47">
        <v>37.816480446927365</v>
      </c>
      <c r="F5" s="47">
        <v>12.148882681564251</v>
      </c>
      <c r="G5" s="44">
        <v>41.010893854748616</v>
      </c>
      <c r="H5" s="47">
        <v>6.977653631284916</v>
      </c>
      <c r="I5" s="47">
        <v>18.572067039106145</v>
      </c>
      <c r="J5" s="44">
        <v>99.134581005586611</v>
      </c>
      <c r="K5" s="44">
        <v>23.379888268156424</v>
      </c>
      <c r="L5" s="46">
        <v>44.202793296089403</v>
      </c>
      <c r="M5" s="44">
        <v>6.2586592178770895</v>
      </c>
      <c r="N5" s="47">
        <v>32.690223463687133</v>
      </c>
      <c r="O5" s="47">
        <v>50.113128491620131</v>
      </c>
      <c r="P5" s="47">
        <v>28.297206703910597</v>
      </c>
      <c r="Q5" s="48">
        <v>2.3575418994413408</v>
      </c>
    </row>
    <row r="6" spans="1:18">
      <c r="A6" s="1">
        <v>5</v>
      </c>
      <c r="B6" s="1">
        <v>144</v>
      </c>
      <c r="C6" s="12">
        <f t="shared" si="0"/>
        <v>4.6707752189425883E-2</v>
      </c>
      <c r="D6" s="5">
        <v>11.854166666666666</v>
      </c>
      <c r="E6" s="5">
        <v>27.895138888888891</v>
      </c>
      <c r="F6" s="1">
        <v>8.5444444444444425</v>
      </c>
      <c r="G6" s="1">
        <v>55.372222222222234</v>
      </c>
      <c r="H6" s="6">
        <v>4.2847222222222223</v>
      </c>
      <c r="I6" s="5">
        <v>15.474999999999998</v>
      </c>
      <c r="J6" s="1">
        <v>109.58451388888892</v>
      </c>
      <c r="K6" s="8">
        <v>88.048611111111114</v>
      </c>
      <c r="L6" s="1">
        <v>41.009305555555585</v>
      </c>
      <c r="M6" s="8">
        <v>10.290070468474987</v>
      </c>
      <c r="N6" s="1">
        <v>19.609722222222224</v>
      </c>
      <c r="O6" s="5">
        <v>30.434722222222224</v>
      </c>
      <c r="P6" s="5">
        <v>19.872916666666658</v>
      </c>
      <c r="Q6" s="5">
        <v>2.4513888888888888</v>
      </c>
    </row>
    <row r="7" spans="1:18">
      <c r="A7" s="4" t="s">
        <v>16</v>
      </c>
      <c r="B7" s="4">
        <f>COUNTA('[1]Customer Data'!$B$2:$B$3084)</f>
        <v>3083</v>
      </c>
      <c r="C7" s="4"/>
      <c r="D7" s="4">
        <f>AVERAGE('[1]Customer Data'!F:F)</f>
        <v>11.630554654557249</v>
      </c>
      <c r="E7" s="4">
        <f>AVERAGE('[1]Customer Data'!G:G)</f>
        <v>27.858213155117877</v>
      </c>
      <c r="F7" s="4">
        <f>AVERAGE('[1]Customer Data'!H:H)</f>
        <v>8.7120623916810995</v>
      </c>
      <c r="G7" s="4">
        <f>AVERAGE('[1]Customer Data'!I:I)</f>
        <v>56.76040246673147</v>
      </c>
      <c r="H7" s="4">
        <f>AVERAGE('[1]Customer Data'!J:J)</f>
        <v>4.291371994342291</v>
      </c>
      <c r="I7" s="4">
        <f>AVERAGE('[1]Customer Data'!K:K)</f>
        <v>12.959512883868673</v>
      </c>
      <c r="J7" s="4">
        <f>AVERAGE('[1]Customer Data'!L:L)</f>
        <v>119.9140090820631</v>
      </c>
      <c r="K7" s="4">
        <f>AVERAGE('[1]Customer Data'!M:M)</f>
        <v>29.35964001384562</v>
      </c>
      <c r="L7" s="4">
        <f>AVERAGE('[1]Customer Data'!N:N)</f>
        <v>41.154943820224666</v>
      </c>
      <c r="M7" s="4">
        <f>AVERAGE('[1]Customer Data'!O:O)</f>
        <v>6.5079013228459006</v>
      </c>
      <c r="N7" s="4">
        <f>AVERAGE('[1]Customer Data'!P:P)</f>
        <v>21.310714285714287</v>
      </c>
      <c r="O7" s="4">
        <f>AVERAGE('[1]Customer Data'!S:S)</f>
        <v>29.660593692022324</v>
      </c>
      <c r="P7" s="4">
        <f>AVERAGE('[1]Customer Data'!T:T)</f>
        <v>19.569319826338635</v>
      </c>
      <c r="Q7" s="4">
        <f>AVERAGE('[1]Customer Data'!U:U)</f>
        <v>2.3280713795470143</v>
      </c>
    </row>
    <row r="8" spans="1:18">
      <c r="A8" s="4" t="s">
        <v>19</v>
      </c>
      <c r="D8">
        <f>_xlfn.QUARTILE.EXC('[1]Customer Data'!F:F,1)</f>
        <v>6</v>
      </c>
      <c r="E8">
        <f>_xlfn.QUARTILE.EXC('[1]Customer Data'!G:G,1)</f>
        <v>19.600000000000001</v>
      </c>
      <c r="F8">
        <f>_xlfn.QUARTILE.EXC('[1]Customer Data'!H:H,1)</f>
        <v>6</v>
      </c>
      <c r="G8">
        <f>_xlfn.QUARTILE.EXC('[1]Customer Data'!I:I,1)</f>
        <v>45.849999999999994</v>
      </c>
      <c r="H8">
        <f>_xlfn.QUARTILE.EXC('[1]Customer Data'!J:J,1)</f>
        <v>2</v>
      </c>
      <c r="I8">
        <f>_xlfn.QUARTILE.EXC('[1]Customer Data'!K:K,1)</f>
        <v>8</v>
      </c>
      <c r="J8">
        <f>_xlfn.QUARTILE.EXC('[1]Customer Data'!L:L,1)</f>
        <v>88</v>
      </c>
      <c r="K8">
        <f>_xlfn.QUARTILE.EXC('[1]Customer Data'!M:M,1)</f>
        <v>8</v>
      </c>
      <c r="L8">
        <f>_xlfn.QUARTILE.EXC('[1]Customer Data'!N:N,1)</f>
        <v>24.5</v>
      </c>
      <c r="M8">
        <f>_xlfn.QUARTILE.EXC('[1]Customer Data'!O:O,1)</f>
        <v>2.9</v>
      </c>
      <c r="N8">
        <f>_xlfn.QUARTILE.EXC('[1]Customer Data'!P:P,1)</f>
        <v>10.199999999999999</v>
      </c>
      <c r="O8">
        <f>_xlfn.QUARTILE.EXC('[1]Customer Data'!S:S,1)</f>
        <v>13.2</v>
      </c>
      <c r="P8">
        <f>_xlfn.QUARTILE.EXC('[1]Customer Data'!T:T,1)</f>
        <v>12.6</v>
      </c>
      <c r="Q8">
        <f>_xlfn.QUARTILE.EXC('[1]Customer Data'!U:U,1)</f>
        <v>1</v>
      </c>
    </row>
    <row r="9" spans="1:18">
      <c r="A9" s="4" t="s">
        <v>20</v>
      </c>
      <c r="D9">
        <f>_xlfn.QUARTILE.EXC('[1]Customer Data'!F:F,3)</f>
        <v>17</v>
      </c>
      <c r="E9">
        <f>_xlfn.QUARTILE.EXC('[1]Customer Data'!G:G,3)</f>
        <v>35.1</v>
      </c>
      <c r="F9">
        <f>_xlfn.QUARTILE.EXC('[1]Customer Data'!H:H,3)</f>
        <v>11.2</v>
      </c>
      <c r="G9">
        <f>_xlfn.QUARTILE.EXC('[1]Customer Data'!I:I,3)</f>
        <v>68.5</v>
      </c>
      <c r="H9">
        <f>_xlfn.QUARTILE.EXC('[1]Customer Data'!J:J,3)</f>
        <v>6</v>
      </c>
      <c r="I9">
        <f>_xlfn.QUARTILE.EXC('[1]Customer Data'!K:K,3)</f>
        <v>17</v>
      </c>
      <c r="J9">
        <f>_xlfn.QUARTILE.EXC('[1]Customer Data'!L:L,3)</f>
        <v>145.38999999999999</v>
      </c>
      <c r="K9">
        <f>_xlfn.QUARTILE.EXC('[1]Customer Data'!M:M,3)</f>
        <v>41.5</v>
      </c>
      <c r="L9">
        <f>_xlfn.QUARTILE.EXC('[1]Customer Data'!N:N,3)</f>
        <v>55.8</v>
      </c>
      <c r="M9">
        <f>_xlfn.QUARTILE.EXC('[1]Customer Data'!O:O,3)</f>
        <v>9.0500000000000007</v>
      </c>
      <c r="N9">
        <f>_xlfn.QUARTILE.EXC('[1]Customer Data'!P:P,3)</f>
        <v>30.7</v>
      </c>
      <c r="O9">
        <f>_xlfn.QUARTILE.EXC('[1]Customer Data'!S:S,3)</f>
        <v>43.9</v>
      </c>
      <c r="P9">
        <f>_xlfn.QUARTILE.EXC('[1]Customer Data'!T:T,3)</f>
        <v>25.8</v>
      </c>
      <c r="Q9">
        <f>_xlfn.QUARTILE.EXC('[1]Customer Data'!U:U,3)</f>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B976-3226-407B-A7E6-B825EA745B98}">
  <dimension ref="A1:R6"/>
  <sheetViews>
    <sheetView zoomScale="54" workbookViewId="0">
      <selection activeCell="F4" sqref="F4:I4"/>
    </sheetView>
  </sheetViews>
  <sheetFormatPr defaultRowHeight="14.4"/>
  <cols>
    <col min="6" max="9" width="8.88671875" customWidth="1"/>
    <col min="18" max="18" width="14" style="3" bestFit="1" customWidth="1"/>
  </cols>
  <sheetData>
    <row r="1" spans="1:18" ht="14.4" customHeight="1">
      <c r="A1" s="2" t="s">
        <v>0</v>
      </c>
      <c r="B1" s="52" t="s">
        <v>32</v>
      </c>
      <c r="C1" s="52"/>
      <c r="D1" s="52"/>
      <c r="E1" s="52"/>
      <c r="F1" s="52" t="s">
        <v>18</v>
      </c>
      <c r="G1" s="52"/>
      <c r="H1" s="52"/>
      <c r="I1" s="52"/>
      <c r="J1" s="52" t="s">
        <v>17</v>
      </c>
      <c r="K1" s="52"/>
      <c r="L1" s="52"/>
      <c r="M1" s="52"/>
      <c r="N1" s="52"/>
      <c r="O1" s="52"/>
      <c r="P1" s="52"/>
      <c r="Q1" s="52"/>
      <c r="R1" s="10" t="s">
        <v>25</v>
      </c>
    </row>
    <row r="2" spans="1:18" ht="90.6" customHeight="1">
      <c r="A2" s="14">
        <v>1</v>
      </c>
      <c r="B2" s="51" t="s">
        <v>21</v>
      </c>
      <c r="C2" s="51"/>
      <c r="D2" s="51"/>
      <c r="E2" s="51"/>
      <c r="F2" s="51" t="s">
        <v>33</v>
      </c>
      <c r="G2" s="51"/>
      <c r="H2" s="51"/>
      <c r="I2" s="51"/>
      <c r="J2" s="55" t="s">
        <v>39</v>
      </c>
      <c r="K2" s="56"/>
      <c r="L2" s="56"/>
      <c r="M2" s="56"/>
      <c r="N2" s="56"/>
      <c r="O2" s="56"/>
      <c r="P2" s="56"/>
      <c r="Q2" s="56"/>
      <c r="R2" s="15" t="s">
        <v>27</v>
      </c>
    </row>
    <row r="3" spans="1:18" ht="120.6" customHeight="1">
      <c r="A3" s="9">
        <v>2</v>
      </c>
      <c r="B3" s="49" t="s">
        <v>22</v>
      </c>
      <c r="C3" s="49"/>
      <c r="D3" s="49"/>
      <c r="E3" s="49"/>
      <c r="F3" s="49" t="s">
        <v>72</v>
      </c>
      <c r="G3" s="49"/>
      <c r="H3" s="49"/>
      <c r="I3" s="49"/>
      <c r="J3" s="57" t="s">
        <v>71</v>
      </c>
      <c r="K3" s="58"/>
      <c r="L3" s="58"/>
      <c r="M3" s="58"/>
      <c r="N3" s="58"/>
      <c r="O3" s="58"/>
      <c r="P3" s="58"/>
      <c r="Q3" s="58"/>
      <c r="R3" s="13" t="s">
        <v>41</v>
      </c>
    </row>
    <row r="4" spans="1:18" ht="47.4" customHeight="1">
      <c r="A4" s="14">
        <v>3</v>
      </c>
      <c r="B4" s="51" t="s">
        <v>23</v>
      </c>
      <c r="C4" s="51"/>
      <c r="D4" s="51"/>
      <c r="E4" s="51"/>
      <c r="F4" s="51" t="s">
        <v>34</v>
      </c>
      <c r="G4" s="51"/>
      <c r="H4" s="51"/>
      <c r="I4" s="51"/>
      <c r="J4" s="55" t="s">
        <v>30</v>
      </c>
      <c r="K4" s="56"/>
      <c r="L4" s="56"/>
      <c r="M4" s="56"/>
      <c r="N4" s="56"/>
      <c r="O4" s="56"/>
      <c r="P4" s="56"/>
      <c r="Q4" s="56"/>
      <c r="R4" s="15" t="s">
        <v>28</v>
      </c>
    </row>
    <row r="5" spans="1:18" ht="146.4" customHeight="1">
      <c r="A5" s="9">
        <v>4</v>
      </c>
      <c r="B5" s="49" t="s">
        <v>26</v>
      </c>
      <c r="C5" s="49"/>
      <c r="D5" s="49"/>
      <c r="E5" s="49"/>
      <c r="F5" s="49" t="s">
        <v>35</v>
      </c>
      <c r="G5" s="49"/>
      <c r="H5" s="49"/>
      <c r="I5" s="49"/>
      <c r="J5" s="57" t="s">
        <v>37</v>
      </c>
      <c r="K5" s="58"/>
      <c r="L5" s="58"/>
      <c r="M5" s="58"/>
      <c r="N5" s="58"/>
      <c r="O5" s="58"/>
      <c r="P5" s="58"/>
      <c r="Q5" s="58"/>
      <c r="R5" s="13" t="s">
        <v>40</v>
      </c>
    </row>
    <row r="6" spans="1:18" ht="138.6" customHeight="1">
      <c r="A6" s="16">
        <v>5</v>
      </c>
      <c r="B6" s="50" t="s">
        <v>24</v>
      </c>
      <c r="C6" s="50"/>
      <c r="D6" s="50"/>
      <c r="E6" s="50"/>
      <c r="F6" s="50" t="s">
        <v>36</v>
      </c>
      <c r="G6" s="50"/>
      <c r="H6" s="50"/>
      <c r="I6" s="50"/>
      <c r="J6" s="53" t="s">
        <v>38</v>
      </c>
      <c r="K6" s="54"/>
      <c r="L6" s="54"/>
      <c r="M6" s="54"/>
      <c r="N6" s="54"/>
      <c r="O6" s="54"/>
      <c r="P6" s="54"/>
      <c r="Q6" s="54"/>
      <c r="R6" s="17" t="s">
        <v>29</v>
      </c>
    </row>
  </sheetData>
  <mergeCells count="18">
    <mergeCell ref="J6:Q6"/>
    <mergeCell ref="J1:Q1"/>
    <mergeCell ref="J2:Q2"/>
    <mergeCell ref="J3:Q3"/>
    <mergeCell ref="J4:Q4"/>
    <mergeCell ref="J5:Q5"/>
    <mergeCell ref="B1:E1"/>
    <mergeCell ref="B2:E2"/>
    <mergeCell ref="F1:I1"/>
    <mergeCell ref="B3:E3"/>
    <mergeCell ref="B4:E4"/>
    <mergeCell ref="B5:E5"/>
    <mergeCell ref="B6:E6"/>
    <mergeCell ref="F2:I2"/>
    <mergeCell ref="F3:I3"/>
    <mergeCell ref="F4:I4"/>
    <mergeCell ref="F5:I5"/>
    <mergeCell ref="F6:I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E22A2-C68F-4AD7-9F7D-4ECD4EEDC19B}">
  <dimension ref="A1:R44"/>
  <sheetViews>
    <sheetView zoomScale="49" workbookViewId="0">
      <selection activeCell="M12" sqref="M12:Q14"/>
    </sheetView>
  </sheetViews>
  <sheetFormatPr defaultRowHeight="14.4"/>
  <cols>
    <col min="1" max="1" width="33.33203125" bestFit="1" customWidth="1"/>
    <col min="2" max="2" width="15.5546875" bestFit="1" customWidth="1"/>
    <col min="3" max="3" width="13.109375" bestFit="1" customWidth="1"/>
    <col min="11" max="11" width="10.21875" bestFit="1" customWidth="1"/>
    <col min="12" max="12" width="11.5546875" bestFit="1" customWidth="1"/>
    <col min="17" max="17" width="10.21875" bestFit="1" customWidth="1"/>
  </cols>
  <sheetData>
    <row r="1" spans="1:18" s="4" customFormat="1">
      <c r="A1" s="4" t="s">
        <v>50</v>
      </c>
      <c r="G1" s="4" t="s">
        <v>56</v>
      </c>
      <c r="M1" s="4" t="s">
        <v>57</v>
      </c>
    </row>
    <row r="2" spans="1:18">
      <c r="A2" s="20" t="s">
        <v>42</v>
      </c>
      <c r="B2" s="21" t="s">
        <v>43</v>
      </c>
      <c r="C2" s="21" t="s">
        <v>44</v>
      </c>
      <c r="D2" s="21" t="s">
        <v>45</v>
      </c>
      <c r="E2" s="22" t="s">
        <v>46</v>
      </c>
      <c r="G2" s="20" t="s">
        <v>42</v>
      </c>
      <c r="H2" s="21" t="s">
        <v>43</v>
      </c>
      <c r="I2" s="21" t="s">
        <v>44</v>
      </c>
      <c r="J2" s="21" t="s">
        <v>54</v>
      </c>
      <c r="K2" s="22" t="s">
        <v>55</v>
      </c>
      <c r="L2" s="24"/>
      <c r="M2" s="20" t="s">
        <v>42</v>
      </c>
      <c r="N2" s="21" t="s">
        <v>43</v>
      </c>
      <c r="O2" s="21" t="s">
        <v>44</v>
      </c>
      <c r="P2" s="21" t="s">
        <v>54</v>
      </c>
      <c r="Q2" s="22" t="s">
        <v>55</v>
      </c>
    </row>
    <row r="3" spans="1:18">
      <c r="A3" s="23" t="s">
        <v>47</v>
      </c>
      <c r="B3" s="24">
        <v>3670.0617000000002</v>
      </c>
      <c r="C3" s="24">
        <v>227.2277</v>
      </c>
      <c r="D3" s="24">
        <v>16.149999999999999</v>
      </c>
      <c r="E3" s="25" t="s">
        <v>48</v>
      </c>
      <c r="G3" s="23" t="s">
        <v>47</v>
      </c>
      <c r="H3" s="24">
        <v>-3.0292397000000002</v>
      </c>
      <c r="I3" s="24">
        <v>0.52658850000000001</v>
      </c>
      <c r="J3" s="24">
        <v>33.090000000000003</v>
      </c>
      <c r="K3" s="25" t="s">
        <v>48</v>
      </c>
      <c r="L3" s="24"/>
      <c r="M3" s="23" t="s">
        <v>47</v>
      </c>
      <c r="N3" s="24">
        <v>-2.4702329999999999</v>
      </c>
      <c r="O3" s="24">
        <v>0.1112253</v>
      </c>
      <c r="P3" s="24">
        <v>493.25</v>
      </c>
      <c r="Q3" s="25" t="s">
        <v>48</v>
      </c>
    </row>
    <row r="4" spans="1:18">
      <c r="A4" s="26" t="s">
        <v>49</v>
      </c>
      <c r="B4" s="27">
        <v>-175.6003</v>
      </c>
      <c r="C4" s="27">
        <v>34.45093</v>
      </c>
      <c r="D4" s="27">
        <v>-5.0999999999999996</v>
      </c>
      <c r="E4" s="28" t="s">
        <v>48</v>
      </c>
      <c r="G4" s="26" t="s">
        <v>49</v>
      </c>
      <c r="H4" s="27">
        <v>0.47160797999999998</v>
      </c>
      <c r="I4" s="27">
        <v>8.2680900000000002E-2</v>
      </c>
      <c r="J4" s="27">
        <v>32.54</v>
      </c>
      <c r="K4" s="28" t="s">
        <v>48</v>
      </c>
      <c r="L4" s="33">
        <f>EXP(H4)/(1+EXP(H4))</f>
        <v>0.61576427301112502</v>
      </c>
      <c r="M4" s="26" t="s">
        <v>49</v>
      </c>
      <c r="N4" s="27">
        <v>0.26357689000000001</v>
      </c>
      <c r="O4" s="27">
        <v>1.6315099999999999E-2</v>
      </c>
      <c r="P4" s="27">
        <v>261</v>
      </c>
      <c r="Q4" s="28" t="s">
        <v>48</v>
      </c>
      <c r="R4" s="33">
        <f>EXP(N4)/(1+EXP(N4))</f>
        <v>0.56551536641578204</v>
      </c>
    </row>
    <row r="5" spans="1:18" ht="14.4" customHeight="1">
      <c r="A5" s="4" t="s">
        <v>51</v>
      </c>
      <c r="B5" s="29" t="e">
        <f>B4*10000*'Cluster Means'!C3*GETPIVOTDATA("Average of Customer_Service_Calls",[2]Averages!$B$3,"Cluster",2)</f>
        <v>#REF!</v>
      </c>
      <c r="G5" s="50" t="s">
        <v>68</v>
      </c>
      <c r="H5" s="59"/>
      <c r="I5" s="59"/>
      <c r="J5" s="59"/>
      <c r="K5" s="19"/>
      <c r="L5" s="19"/>
      <c r="R5" s="19"/>
    </row>
    <row r="6" spans="1:18" ht="56.4" customHeight="1">
      <c r="A6" s="59" t="s">
        <v>52</v>
      </c>
      <c r="B6" s="59"/>
      <c r="C6" s="59"/>
      <c r="D6" s="59"/>
      <c r="E6" s="59"/>
      <c r="G6" s="59"/>
      <c r="H6" s="59"/>
      <c r="I6" s="59"/>
      <c r="J6" s="59"/>
      <c r="K6" s="19"/>
      <c r="L6" s="19"/>
    </row>
    <row r="7" spans="1:18" ht="100.2" customHeight="1">
      <c r="A7" s="50" t="s">
        <v>58</v>
      </c>
      <c r="B7" s="59"/>
      <c r="C7" s="59"/>
      <c r="D7" s="59"/>
      <c r="E7" s="59"/>
      <c r="G7" s="19"/>
      <c r="H7" s="19"/>
      <c r="I7" s="19"/>
      <c r="J7" s="19"/>
      <c r="K7" s="19"/>
      <c r="L7" s="19"/>
    </row>
    <row r="8" spans="1:18">
      <c r="G8" s="30" t="s">
        <v>60</v>
      </c>
      <c r="M8" s="30" t="s">
        <v>61</v>
      </c>
    </row>
    <row r="9" spans="1:18" s="4" customFormat="1">
      <c r="A9" s="4" t="s">
        <v>53</v>
      </c>
      <c r="G9" t="s">
        <v>42</v>
      </c>
      <c r="H9" t="s">
        <v>43</v>
      </c>
      <c r="I9" t="s">
        <v>44</v>
      </c>
      <c r="J9" t="s">
        <v>54</v>
      </c>
      <c r="K9" t="s">
        <v>55</v>
      </c>
      <c r="M9" s="4" t="s">
        <v>42</v>
      </c>
      <c r="N9" s="4" t="s">
        <v>43</v>
      </c>
      <c r="O9" s="4" t="s">
        <v>44</v>
      </c>
      <c r="P9" s="4" t="s">
        <v>54</v>
      </c>
      <c r="Q9" s="4" t="s">
        <v>55</v>
      </c>
    </row>
    <row r="10" spans="1:18">
      <c r="A10" s="20" t="s">
        <v>42</v>
      </c>
      <c r="B10" s="21" t="s">
        <v>43</v>
      </c>
      <c r="C10" s="21" t="s">
        <v>44</v>
      </c>
      <c r="D10" s="21" t="s">
        <v>45</v>
      </c>
      <c r="E10" s="22" t="s">
        <v>46</v>
      </c>
      <c r="G10" t="s">
        <v>47</v>
      </c>
      <c r="H10">
        <v>-0.5219587</v>
      </c>
      <c r="I10">
        <v>0.1125565</v>
      </c>
      <c r="J10">
        <v>21.5</v>
      </c>
      <c r="K10" t="s">
        <v>48</v>
      </c>
      <c r="L10" s="36"/>
      <c r="M10" t="s">
        <v>47</v>
      </c>
      <c r="N10">
        <v>4.7517009999999998E-2</v>
      </c>
      <c r="O10">
        <v>0.2806285</v>
      </c>
      <c r="P10">
        <v>0.03</v>
      </c>
      <c r="Q10">
        <v>0.86550000000000005</v>
      </c>
      <c r="R10" s="36"/>
    </row>
    <row r="11" spans="1:18">
      <c r="A11" s="23" t="s">
        <v>47</v>
      </c>
      <c r="B11" s="24">
        <v>729.50068999999996</v>
      </c>
      <c r="C11" s="24">
        <v>168.26429999999999</v>
      </c>
      <c r="D11" s="24">
        <v>4.34</v>
      </c>
      <c r="E11" s="25" t="s">
        <v>48</v>
      </c>
      <c r="G11" t="s">
        <v>59</v>
      </c>
      <c r="H11">
        <v>-0.21845120000000001</v>
      </c>
      <c r="I11">
        <v>3.6247399999999999E-2</v>
      </c>
      <c r="J11">
        <v>36.32</v>
      </c>
      <c r="K11" t="s">
        <v>48</v>
      </c>
      <c r="L11" s="33">
        <f>-EXP(H11)/(1+EXP(H11))</f>
        <v>-0.4456033496913861</v>
      </c>
      <c r="M11" t="s">
        <v>11</v>
      </c>
      <c r="N11">
        <v>-4.1270800000000003E-2</v>
      </c>
      <c r="O11">
        <v>3.6628800000000003E-2</v>
      </c>
      <c r="P11">
        <v>1.27</v>
      </c>
      <c r="Q11">
        <v>0.25990000000000002</v>
      </c>
      <c r="R11" s="33">
        <f>-EXP(N11)/(1+EXP(N11))</f>
        <v>-0.48968376424401922</v>
      </c>
    </row>
    <row r="12" spans="1:18" ht="14.4" customHeight="1">
      <c r="A12" s="23" t="s">
        <v>85</v>
      </c>
      <c r="B12" s="24">
        <v>8.1809185000000006</v>
      </c>
      <c r="C12" s="24">
        <v>4.5970969999999998</v>
      </c>
      <c r="D12" s="24">
        <v>1.78</v>
      </c>
      <c r="E12" s="25">
        <v>7.7100000000000002E-2</v>
      </c>
      <c r="G12" s="50" t="s">
        <v>62</v>
      </c>
      <c r="H12" s="50"/>
      <c r="I12" s="50"/>
      <c r="J12" s="50"/>
      <c r="K12" s="50"/>
      <c r="M12" s="50" t="s">
        <v>65</v>
      </c>
      <c r="N12" s="50"/>
      <c r="O12" s="50"/>
      <c r="P12" s="50"/>
      <c r="Q12" s="50"/>
    </row>
    <row r="13" spans="1:18">
      <c r="A13" s="23" t="s">
        <v>86</v>
      </c>
      <c r="B13" s="24">
        <v>31.461770000000001</v>
      </c>
      <c r="C13" s="24">
        <v>7.2565749999999998</v>
      </c>
      <c r="D13" s="24">
        <v>4.34</v>
      </c>
      <c r="E13" s="25" t="s">
        <v>48</v>
      </c>
      <c r="G13" s="50"/>
      <c r="H13" s="50"/>
      <c r="I13" s="50"/>
      <c r="J13" s="50"/>
      <c r="K13" s="50"/>
      <c r="M13" s="50"/>
      <c r="N13" s="50"/>
      <c r="O13" s="50"/>
      <c r="P13" s="50"/>
      <c r="Q13" s="50"/>
    </row>
    <row r="14" spans="1:18">
      <c r="A14" s="26" t="s">
        <v>87</v>
      </c>
      <c r="B14" s="27">
        <v>48.466166999999999</v>
      </c>
      <c r="C14" s="27">
        <v>12.417210000000001</v>
      </c>
      <c r="D14" s="27">
        <v>3.9</v>
      </c>
      <c r="E14" s="28">
        <v>1E-4</v>
      </c>
      <c r="G14" s="50"/>
      <c r="H14" s="50"/>
      <c r="I14" s="50"/>
      <c r="J14" s="50"/>
      <c r="K14" s="50"/>
      <c r="M14" s="50"/>
      <c r="N14" s="50"/>
      <c r="O14" s="50"/>
      <c r="P14" s="50"/>
      <c r="Q14" s="50"/>
    </row>
    <row r="17" spans="1:13">
      <c r="A17" s="4" t="s">
        <v>63</v>
      </c>
    </row>
    <row r="18" spans="1:13">
      <c r="A18" t="s">
        <v>42</v>
      </c>
      <c r="B18" t="s">
        <v>43</v>
      </c>
      <c r="C18" t="s">
        <v>44</v>
      </c>
      <c r="D18" t="s">
        <v>45</v>
      </c>
      <c r="E18" t="s">
        <v>46</v>
      </c>
      <c r="G18" s="4" t="s">
        <v>78</v>
      </c>
    </row>
    <row r="19" spans="1:13">
      <c r="A19" t="s">
        <v>47</v>
      </c>
      <c r="B19">
        <v>2611.0223999999998</v>
      </c>
      <c r="C19">
        <v>107.90779999999999</v>
      </c>
      <c r="D19">
        <v>24.2</v>
      </c>
      <c r="E19" t="s">
        <v>48</v>
      </c>
      <c r="G19" t="s">
        <v>42</v>
      </c>
      <c r="H19" t="s">
        <v>74</v>
      </c>
      <c r="I19" t="s">
        <v>75</v>
      </c>
      <c r="J19" t="s">
        <v>76</v>
      </c>
      <c r="K19" t="s">
        <v>77</v>
      </c>
      <c r="L19" s="39" t="s">
        <v>79</v>
      </c>
      <c r="M19" s="39" t="s">
        <v>80</v>
      </c>
    </row>
    <row r="20" spans="1:13">
      <c r="A20" t="s">
        <v>64</v>
      </c>
      <c r="B20" s="18">
        <v>-185.14009999999999</v>
      </c>
      <c r="C20">
        <v>107.90779999999999</v>
      </c>
      <c r="D20">
        <v>-1.72</v>
      </c>
      <c r="E20">
        <v>8.8200000000000001E-2</v>
      </c>
      <c r="G20" t="s">
        <v>59</v>
      </c>
      <c r="H20" s="41">
        <f>0.911461-1</f>
        <v>-8.8539000000000034E-2</v>
      </c>
      <c r="I20">
        <v>0.85869099999999998</v>
      </c>
      <c r="J20">
        <v>0.96582699999999999</v>
      </c>
      <c r="K20">
        <v>1.0971401000000001</v>
      </c>
      <c r="L20">
        <v>5.2769999999999984E-2</v>
      </c>
      <c r="M20">
        <v>5.4366000000000025E-2</v>
      </c>
    </row>
    <row r="21" spans="1:13">
      <c r="A21" s="4" t="s">
        <v>51</v>
      </c>
      <c r="B21" s="32" t="e">
        <f>B20*50000*'Cluster Means'!C3*GETPIVOTDATA("Average of Customer_Service_Calls",[2]Averages!$B$3,"Cluster",2)</f>
        <v>#REF!</v>
      </c>
      <c r="C21" s="31" t="e">
        <f>B20*GETPIVOTDATA("Average of Customer_Service_Calls",[2]Averages!$B$3,"Cluster",2)</f>
        <v>#REF!</v>
      </c>
      <c r="G21" t="s">
        <v>11</v>
      </c>
      <c r="H21" s="41">
        <f>1.049641-1</f>
        <v>4.9641000000000046E-2</v>
      </c>
      <c r="I21">
        <v>1.0255529999999999</v>
      </c>
      <c r="J21">
        <v>1.075413</v>
      </c>
      <c r="K21">
        <v>0.95270679999999996</v>
      </c>
      <c r="L21">
        <v>2.4088000000000109E-2</v>
      </c>
      <c r="M21">
        <v>2.5771999999999906E-2</v>
      </c>
    </row>
    <row r="22" spans="1:13">
      <c r="A22" s="4" t="s">
        <v>67</v>
      </c>
      <c r="B22" s="35" t="e">
        <f>ABS(B21)/(50000*'Cluster Means'!C3*GETPIVOTDATA("Average of Lifetime_Value",[2]Averages!$B$3,"Cluster",2))</f>
        <v>#REF!</v>
      </c>
      <c r="G22" t="s">
        <v>49</v>
      </c>
      <c r="H22" s="41">
        <f>1.245738-1</f>
        <v>0.24573800000000001</v>
      </c>
      <c r="I22">
        <v>1.188056</v>
      </c>
      <c r="J22">
        <v>1.3077510000000001</v>
      </c>
      <c r="K22">
        <v>0.80273709999999998</v>
      </c>
      <c r="L22">
        <v>5.7682000000000011E-2</v>
      </c>
      <c r="M22">
        <v>6.2013000000000096E-2</v>
      </c>
    </row>
    <row r="23" spans="1:13" ht="14.4" customHeight="1">
      <c r="A23" s="50" t="s">
        <v>66</v>
      </c>
      <c r="B23" s="59"/>
      <c r="C23" s="59"/>
      <c r="D23" s="59"/>
      <c r="E23" s="59"/>
    </row>
    <row r="24" spans="1:13">
      <c r="A24" s="59"/>
      <c r="B24" s="59"/>
      <c r="C24" s="59"/>
      <c r="D24" s="59"/>
      <c r="E24" s="59"/>
    </row>
    <row r="25" spans="1:13">
      <c r="A25" s="59"/>
      <c r="B25" s="59"/>
      <c r="C25" s="59"/>
      <c r="D25" s="59"/>
      <c r="E25" s="59"/>
      <c r="G25" s="4" t="s">
        <v>81</v>
      </c>
    </row>
    <row r="26" spans="1:13">
      <c r="G26" t="s">
        <v>42</v>
      </c>
      <c r="H26" t="s">
        <v>43</v>
      </c>
      <c r="I26" t="s">
        <v>44</v>
      </c>
      <c r="J26" t="s">
        <v>54</v>
      </c>
      <c r="K26" t="s">
        <v>55</v>
      </c>
    </row>
    <row r="27" spans="1:13">
      <c r="G27" t="s">
        <v>47</v>
      </c>
      <c r="H27">
        <v>-3.0641892999999998</v>
      </c>
      <c r="I27">
        <v>0.74021159999999997</v>
      </c>
      <c r="J27">
        <v>17.14</v>
      </c>
      <c r="K27" t="s">
        <v>48</v>
      </c>
    </row>
    <row r="28" spans="1:13">
      <c r="G28" s="40" t="s">
        <v>11</v>
      </c>
      <c r="H28" s="40">
        <v>-5.9841E-3</v>
      </c>
      <c r="I28" s="40">
        <v>4.4170500000000001E-2</v>
      </c>
      <c r="J28" s="40">
        <v>0.02</v>
      </c>
      <c r="K28" s="40">
        <v>0.89219999999999999</v>
      </c>
    </row>
    <row r="29" spans="1:13">
      <c r="G29" t="s">
        <v>49</v>
      </c>
      <c r="H29">
        <v>0.49079419000000002</v>
      </c>
      <c r="I29">
        <v>9.17134E-2</v>
      </c>
      <c r="J29">
        <v>28.64</v>
      </c>
      <c r="K29" t="s">
        <v>48</v>
      </c>
    </row>
    <row r="30" spans="1:13">
      <c r="G30" s="40" t="s">
        <v>59</v>
      </c>
      <c r="H30" s="40">
        <v>-4.2042400000000001E-2</v>
      </c>
      <c r="I30" s="40">
        <v>9.3057200000000007E-2</v>
      </c>
      <c r="J30" s="40">
        <v>0.2</v>
      </c>
      <c r="K30" s="40">
        <v>0.65139999999999998</v>
      </c>
    </row>
    <row r="34" spans="7:13">
      <c r="G34" s="4" t="s">
        <v>78</v>
      </c>
    </row>
    <row r="35" spans="7:13">
      <c r="G35" t="s">
        <v>42</v>
      </c>
      <c r="H35" t="s">
        <v>74</v>
      </c>
      <c r="I35" t="s">
        <v>75</v>
      </c>
      <c r="J35" t="s">
        <v>76</v>
      </c>
      <c r="K35" t="s">
        <v>77</v>
      </c>
      <c r="L35" s="39" t="s">
        <v>79</v>
      </c>
      <c r="M35" s="39" t="s">
        <v>80</v>
      </c>
    </row>
    <row r="36" spans="7:13">
      <c r="G36" t="s">
        <v>59</v>
      </c>
      <c r="H36">
        <v>0.91146099999999997</v>
      </c>
      <c r="I36">
        <v>0.85869099999999998</v>
      </c>
      <c r="J36">
        <v>0.96582699999999999</v>
      </c>
      <c r="K36">
        <v>1.0971401000000001</v>
      </c>
      <c r="L36">
        <f>H36-I36</f>
        <v>5.2769999999999984E-2</v>
      </c>
      <c r="M36">
        <f>J36-H36</f>
        <v>5.4366000000000025E-2</v>
      </c>
    </row>
    <row r="37" spans="7:13">
      <c r="G37" t="s">
        <v>11</v>
      </c>
      <c r="H37">
        <v>1.049641</v>
      </c>
      <c r="I37">
        <v>1.0255529999999999</v>
      </c>
      <c r="J37">
        <v>1.075413</v>
      </c>
      <c r="K37">
        <v>0.95270679999999996</v>
      </c>
      <c r="L37">
        <f>H37-I37</f>
        <v>2.4088000000000109E-2</v>
      </c>
      <c r="M37">
        <f>J37-H37</f>
        <v>2.5771999999999906E-2</v>
      </c>
    </row>
    <row r="38" spans="7:13">
      <c r="G38" t="s">
        <v>49</v>
      </c>
      <c r="H38">
        <v>1.245738</v>
      </c>
      <c r="I38">
        <v>1.188056</v>
      </c>
      <c r="J38">
        <v>1.3077510000000001</v>
      </c>
      <c r="K38">
        <v>0.80273709999999998</v>
      </c>
      <c r="L38">
        <f>H38-I38</f>
        <v>5.7682000000000011E-2</v>
      </c>
      <c r="M38">
        <f>J38-H38</f>
        <v>6.2013000000000096E-2</v>
      </c>
    </row>
    <row r="40" spans="7:13">
      <c r="G40" s="42"/>
      <c r="H40" s="42" t="s">
        <v>82</v>
      </c>
      <c r="I40" s="42" t="s">
        <v>83</v>
      </c>
    </row>
    <row r="41" spans="7:13">
      <c r="G41" s="42" t="s">
        <v>84</v>
      </c>
      <c r="H41" s="42">
        <v>0</v>
      </c>
      <c r="I41" s="42">
        <v>0</v>
      </c>
    </row>
    <row r="42" spans="7:13">
      <c r="G42" s="42"/>
      <c r="H42" s="42">
        <v>4</v>
      </c>
      <c r="I42" s="42">
        <v>0</v>
      </c>
    </row>
    <row r="43" spans="7:13">
      <c r="G43" s="42"/>
      <c r="H43" s="42"/>
      <c r="I43" s="42"/>
    </row>
    <row r="44" spans="7:13">
      <c r="G44" s="42"/>
      <c r="H44" s="42"/>
      <c r="I44" s="42"/>
    </row>
  </sheetData>
  <autoFilter ref="G19:M19" xr:uid="{129E22A2-C68F-4AD7-9F7D-4ECD4EEDC19B}">
    <sortState xmlns:xlrd2="http://schemas.microsoft.com/office/spreadsheetml/2017/richdata2" ref="G20:M22">
      <sortCondition ref="H19"/>
    </sortState>
  </autoFilter>
  <mergeCells count="6">
    <mergeCell ref="M12:Q14"/>
    <mergeCell ref="A23:E25"/>
    <mergeCell ref="A6:E6"/>
    <mergeCell ref="A7:E7"/>
    <mergeCell ref="G5:J6"/>
    <mergeCell ref="G12:K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E9D0-21E7-40D0-89F3-26E2099827CE}">
  <dimension ref="A1:F39"/>
  <sheetViews>
    <sheetView zoomScale="70" zoomScaleNormal="277" workbookViewId="0">
      <selection activeCell="C12" sqref="C12"/>
    </sheetView>
  </sheetViews>
  <sheetFormatPr defaultRowHeight="14.4"/>
  <cols>
    <col min="5" max="5" width="13.77734375" bestFit="1" customWidth="1"/>
    <col min="6" max="6" width="15.21875" bestFit="1" customWidth="1"/>
  </cols>
  <sheetData>
    <row r="1" spans="1:6" ht="30.6" customHeight="1">
      <c r="A1" s="61" t="s">
        <v>89</v>
      </c>
      <c r="B1" s="61"/>
      <c r="D1" s="62" t="s">
        <v>69</v>
      </c>
      <c r="E1" s="63" t="s">
        <v>70</v>
      </c>
      <c r="F1" s="63" t="s">
        <v>73</v>
      </c>
    </row>
    <row r="2" spans="1:6">
      <c r="D2">
        <v>0</v>
      </c>
      <c r="E2" s="34">
        <f>EXP(B5)/(1+EXP(B5))</f>
        <v>4.6122264896523262E-2</v>
      </c>
      <c r="F2" s="34">
        <f>EXP(B10)/(1+EXP(B10))</f>
        <v>7.7971482662308758E-2</v>
      </c>
    </row>
    <row r="3" spans="1:6">
      <c r="A3" s="4" t="s">
        <v>88</v>
      </c>
      <c r="D3">
        <v>1</v>
      </c>
      <c r="E3" s="34">
        <f>EXP(B5+B6)/(1+EXP(B5+B6))</f>
        <v>7.1915449674709545E-2</v>
      </c>
      <c r="F3" s="34">
        <f>EXP(B10+B11)/(1+EXP(B10+B11))</f>
        <v>9.9154358606605111E-2</v>
      </c>
    </row>
    <row r="4" spans="1:6">
      <c r="A4" s="20" t="s">
        <v>42</v>
      </c>
      <c r="B4" s="21" t="s">
        <v>43</v>
      </c>
      <c r="D4">
        <v>2</v>
      </c>
      <c r="E4" s="34">
        <f>EXP($B$5+$B$6*D4)/(1+EXP($B$5+$B$6*D4))</f>
        <v>0.11046267960949488</v>
      </c>
      <c r="F4" s="34">
        <f>EXP($B$10+$B$11*D4)/(1+EXP($B$10+$B$11*D4))</f>
        <v>0.1253099617132756</v>
      </c>
    </row>
    <row r="5" spans="1:6">
      <c r="A5" s="23" t="s">
        <v>47</v>
      </c>
      <c r="B5" s="24">
        <v>-3.0292397000000002</v>
      </c>
      <c r="D5">
        <v>3</v>
      </c>
      <c r="E5" s="34">
        <f>EXP($B$5+$B$6*D5)/(1+EXP($B$5+$B$6*D5))</f>
        <v>0.16597644564610267</v>
      </c>
      <c r="F5" s="34">
        <f>EXP($B$10+$B$11*D5)/(1+EXP($B$10+$B$11*D5))</f>
        <v>0.15716137984288084</v>
      </c>
    </row>
    <row r="6" spans="1:6">
      <c r="A6" s="26" t="s">
        <v>49</v>
      </c>
      <c r="B6" s="27">
        <v>0.47160797999999998</v>
      </c>
      <c r="D6">
        <v>4</v>
      </c>
      <c r="E6" s="34">
        <f>EXP($B$5+$B$6*D6)/(1+EXP($B$5+$B$6*D6))</f>
        <v>0.24180522225402629</v>
      </c>
      <c r="F6" s="34">
        <f>EXP($B$10+$B$11*D6)/(1+EXP($B$10+$B$11*D6))</f>
        <v>0.19530114085413897</v>
      </c>
    </row>
    <row r="7" spans="1:6">
      <c r="A7" s="23"/>
      <c r="D7">
        <v>5</v>
      </c>
      <c r="E7" s="34">
        <f>EXP($B$5+$B$6*D7)/(1+EXP($B$5+$B$6*D7))</f>
        <v>0.33822823758477893</v>
      </c>
      <c r="F7" s="34">
        <f>EXP($B$10+$B$11*D7)/(1+EXP($B$10+$B$11*D7))</f>
        <v>0.24006037228722066</v>
      </c>
    </row>
    <row r="8" spans="1:6">
      <c r="A8" s="60" t="s">
        <v>90</v>
      </c>
      <c r="D8" s="37">
        <v>6</v>
      </c>
      <c r="E8" s="38">
        <f>EXP($B$5+$B$6*D8)/(1+EXP($B$5+$B$6*D8))</f>
        <v>0.45026703605591289</v>
      </c>
      <c r="F8" s="38">
        <f>EXP($B$10+$B$11*D8)/(1+EXP($B$10+$B$11*D8))</f>
        <v>0.29136337871636897</v>
      </c>
    </row>
    <row r="9" spans="1:6">
      <c r="A9" s="20" t="s">
        <v>42</v>
      </c>
      <c r="B9" s="21" t="s">
        <v>43</v>
      </c>
      <c r="D9">
        <v>7</v>
      </c>
      <c r="E9" s="34">
        <f>EXP($B$5+$B$6*D9)/(1+EXP($B$5+$B$6*D9))</f>
        <v>0.56758780219369531</v>
      </c>
      <c r="F9" s="34">
        <f>EXP($B$10+$B$11*D9)/(1+EXP($B$10+$B$11*D9))</f>
        <v>0.34860090598656812</v>
      </c>
    </row>
    <row r="10" spans="1:6">
      <c r="A10" s="23" t="s">
        <v>47</v>
      </c>
      <c r="B10" s="24">
        <v>-2.4702329999999999</v>
      </c>
      <c r="D10">
        <v>8</v>
      </c>
      <c r="E10" s="34">
        <f>EXP($B$5+$B$6*D10)/(1+EXP($B$5+$B$6*D10))</f>
        <v>0.67778784697715455</v>
      </c>
      <c r="F10" s="34">
        <f>EXP($B$10+$B$11*D10)/(1+EXP($B$10+$B$11*D10))</f>
        <v>0.41056797931187528</v>
      </c>
    </row>
    <row r="11" spans="1:6">
      <c r="A11" s="26" t="s">
        <v>49</v>
      </c>
      <c r="B11" s="27">
        <v>0.26357689000000001</v>
      </c>
      <c r="D11">
        <v>9</v>
      </c>
      <c r="E11" s="34">
        <f>EXP($B$5+$B$6*D11)/(1+EXP($B$5+$B$6*D11))</f>
        <v>0.77122340289155022</v>
      </c>
      <c r="F11" s="34">
        <f>EXP($B$10+$B$11*D11)/(1+EXP($B$10+$B$11*D11))</f>
        <v>0.47550936642844438</v>
      </c>
    </row>
    <row r="12" spans="1:6">
      <c r="D12">
        <v>10</v>
      </c>
      <c r="E12" s="34">
        <f>EXP($B$5+$B$6*D12)/(1+EXP($B$5+$B$6*D12))</f>
        <v>0.84380815013407673</v>
      </c>
      <c r="F12" s="34">
        <f>EXP($B$10+$B$11*D12)/(1+EXP($B$10+$B$11*D12))</f>
        <v>0.54128973246654832</v>
      </c>
    </row>
    <row r="13" spans="1:6">
      <c r="D13">
        <v>11</v>
      </c>
      <c r="E13" s="34">
        <f>EXP($B$5+$B$6*D13)/(1+EXP($B$5+$B$6*D13))</f>
        <v>0.89645558332343978</v>
      </c>
      <c r="F13" s="34">
        <f>EXP($B$10+$B$11*D13)/(1+EXP($B$10+$B$11*D13))</f>
        <v>0.60566179098775097</v>
      </c>
    </row>
    <row r="14" spans="1:6">
      <c r="D14">
        <v>12</v>
      </c>
      <c r="E14" s="34">
        <f>EXP($B$5+$B$6*D14)/(1+EXP($B$5+$B$6*D14))</f>
        <v>0.93277106497549089</v>
      </c>
      <c r="F14" s="34">
        <f>EXP($B$10+$B$11*D14)/(1+EXP($B$10+$B$11*D14))</f>
        <v>0.66656499212464793</v>
      </c>
    </row>
    <row r="15" spans="1:6">
      <c r="D15">
        <v>13</v>
      </c>
      <c r="E15" s="34">
        <f>EXP($B$5+$B$6*D15)/(1+EXP($B$5+$B$6*D15))</f>
        <v>0.95696133291500618</v>
      </c>
      <c r="F15" s="34">
        <f>EXP($B$10+$B$11*D15)/(1+EXP($B$10+$B$11*D15))</f>
        <v>0.72237368791927947</v>
      </c>
    </row>
    <row r="16" spans="1:6">
      <c r="D16">
        <v>14</v>
      </c>
      <c r="E16" s="34">
        <f>EXP($B$5+$B$6*D16)/(1+EXP($B$5+$B$6*D16))</f>
        <v>0.97270220428146792</v>
      </c>
      <c r="F16" s="34">
        <f>EXP($B$10+$B$11*D16)/(1+EXP($B$10+$B$11*D16))</f>
        <v>0.7720360001212665</v>
      </c>
    </row>
    <row r="17" spans="4:6">
      <c r="D17">
        <v>15</v>
      </c>
      <c r="E17" s="34">
        <f>EXP($B$5+$B$6*D17)/(1+EXP($B$5+$B$6*D17))</f>
        <v>0.98278957959594437</v>
      </c>
      <c r="F17" s="34">
        <f>EXP($B$10+$B$11*D17)/(1+EXP($B$10+$B$11*D17))</f>
        <v>0.81508864859976826</v>
      </c>
    </row>
    <row r="18" spans="4:6">
      <c r="D18">
        <v>16</v>
      </c>
      <c r="E18" s="34">
        <f>EXP($B$5+$B$6*D18)/(1+EXP($B$5+$B$6*D18))</f>
        <v>0.98919078255222259</v>
      </c>
      <c r="F18" s="34">
        <f>EXP($B$10+$B$11*D18)/(1+EXP($B$10+$B$11*D18))</f>
        <v>0.85157366577854265</v>
      </c>
    </row>
    <row r="19" spans="4:6">
      <c r="D19">
        <v>17</v>
      </c>
      <c r="E19" s="34">
        <f>EXP($B$5+$B$6*D19)/(1+EXP($B$5+$B$6*D19))</f>
        <v>0.99322754381342238</v>
      </c>
      <c r="F19" s="34">
        <f>EXP($B$10+$B$11*D19)/(1+EXP($B$10+$B$11*D19))</f>
        <v>0.88190283107307776</v>
      </c>
    </row>
    <row r="20" spans="4:6">
      <c r="D20">
        <v>18</v>
      </c>
      <c r="E20" s="34">
        <f>EXP($B$5+$B$6*D20)/(1+EXP($B$5+$B$6*D20))</f>
        <v>0.99576321151325498</v>
      </c>
      <c r="F20" s="34">
        <f>EXP($B$10+$B$11*D20)/(1+EXP($B$10+$B$11*D20))</f>
        <v>0.90671349146974245</v>
      </c>
    </row>
    <row r="21" spans="4:6">
      <c r="D21">
        <v>19</v>
      </c>
      <c r="E21" s="34">
        <f>EXP($B$5+$B$6*D21)/(1+EXP($B$5+$B$6*D21))</f>
        <v>0.99735203378131387</v>
      </c>
      <c r="F21" s="34">
        <f>EXP($B$10+$B$11*D21)/(1+EXP($B$10+$B$11*D21))</f>
        <v>0.92674472628145343</v>
      </c>
    </row>
    <row r="22" spans="4:6">
      <c r="D22">
        <v>20</v>
      </c>
      <c r="E22" s="34">
        <f>EXP($B$5+$B$6*D22)/(1+EXP($B$5+$B$6*D22))</f>
        <v>0.99834602738927369</v>
      </c>
      <c r="F22" s="34">
        <f>EXP($B$10+$B$11*D22)/(1+EXP($B$10+$B$11*D22))</f>
        <v>0.94274629232058349</v>
      </c>
    </row>
    <row r="23" spans="4:6">
      <c r="D23">
        <v>21</v>
      </c>
      <c r="E23" s="34">
        <f>EXP($B$5+$B$6*D23)/(1+EXP($B$5+$B$6*D23))</f>
        <v>0.99896728201466967</v>
      </c>
      <c r="F23" s="34">
        <f>EXP($B$10+$B$11*D23)/(1+EXP($B$10+$B$11*D23))</f>
        <v>0.95542068077767706</v>
      </c>
    </row>
    <row r="24" spans="4:6">
      <c r="D24">
        <v>22</v>
      </c>
      <c r="E24" s="34">
        <f>EXP($B$5+$B$6*D24)/(1+EXP($B$5+$B$6*D24))</f>
        <v>0.99935533562939782</v>
      </c>
      <c r="F24" s="34">
        <f>EXP($B$10+$B$11*D24)/(1+EXP($B$10+$B$11*D24))</f>
        <v>0.96539230779893415</v>
      </c>
    </row>
    <row r="25" spans="4:6">
      <c r="D25">
        <v>23</v>
      </c>
      <c r="E25" s="34">
        <f>EXP($B$5+$B$6*D25)/(1+EXP($B$5+$B$6*D25))</f>
        <v>0.99959763313573513</v>
      </c>
      <c r="F25" s="34">
        <f>EXP($B$10+$B$11*D25)/(1+EXP($B$10+$B$11*D25))</f>
        <v>0.9731960286774447</v>
      </c>
    </row>
    <row r="26" spans="4:6">
      <c r="D26">
        <v>24</v>
      </c>
      <c r="E26" s="34">
        <f>EXP($B$5+$B$6*D26)/(1+EXP($B$5+$B$6*D26))</f>
        <v>0.99974888585611232</v>
      </c>
      <c r="F26" s="34">
        <f>EXP($B$10+$B$11*D26)/(1+EXP($B$10+$B$11*D26))</f>
        <v>0.97927785252061428</v>
      </c>
    </row>
    <row r="27" spans="4:6">
      <c r="D27">
        <v>25</v>
      </c>
      <c r="E27" s="34">
        <f>EXP($B$5+$B$6*D27)/(1+EXP($B$5+$B$6*D27))</f>
        <v>0.99984329045875098</v>
      </c>
      <c r="F27" s="34">
        <f>EXP($B$10+$B$11*D27)/(1+EXP($B$10+$B$11*D27))</f>
        <v>0.98400239409553192</v>
      </c>
    </row>
    <row r="28" spans="4:6">
      <c r="D28">
        <v>26</v>
      </c>
      <c r="E28" s="34">
        <f>EXP($B$5+$B$6*D28)/(1+EXP($B$5+$B$6*D28))</f>
        <v>0.99990220778418626</v>
      </c>
      <c r="F28" s="34">
        <f>EXP($B$10+$B$11*D28)/(1+EXP($B$10+$B$11*D28))</f>
        <v>0.98766333471978018</v>
      </c>
    </row>
    <row r="29" spans="4:6">
      <c r="D29">
        <v>27</v>
      </c>
      <c r="E29" s="34">
        <f>EXP($B$5+$B$6*D29)/(1+EXP($B$5+$B$6*D29))</f>
        <v>0.99993897560076228</v>
      </c>
      <c r="F29" s="34">
        <f>EXP($B$10+$B$11*D29)/(1+EXP($B$10+$B$11*D29))</f>
        <v>0.99049458751410779</v>
      </c>
    </row>
    <row r="30" spans="4:6">
      <c r="D30">
        <v>28</v>
      </c>
      <c r="E30" s="34">
        <f>EXP($B$5+$B$6*D30)/(1+EXP($B$5+$B$6*D30))</f>
        <v>0.99996192001799911</v>
      </c>
      <c r="F30" s="34">
        <f>EXP($B$10+$B$11*D30)/(1+EXP($B$10+$B$11*D30))</f>
        <v>0.99268088566247259</v>
      </c>
    </row>
    <row r="31" spans="4:6">
      <c r="D31">
        <v>29</v>
      </c>
      <c r="E31" s="34">
        <f>EXP($B$5+$B$6*D31)/(1+EXP($B$5+$B$6*D31))</f>
        <v>0.99997623782393552</v>
      </c>
      <c r="F31" s="34">
        <f>EXP($B$10+$B$11*D31)/(1+EXP($B$10+$B$11*D31))</f>
        <v>0.99436718268865598</v>
      </c>
    </row>
    <row r="32" spans="4:6">
      <c r="D32">
        <v>30</v>
      </c>
      <c r="E32" s="34">
        <f>EXP($B$5+$B$6*D32)/(1+EXP($B$5+$B$6*D32))</f>
        <v>0.99998517231516759</v>
      </c>
      <c r="F32" s="34">
        <f>EXP($B$10+$B$11*D32)/(1+EXP($B$10+$B$11*D32))</f>
        <v>0.99566665906978657</v>
      </c>
    </row>
    <row r="33" spans="6:6">
      <c r="F33" s="34"/>
    </row>
    <row r="34" spans="6:6">
      <c r="F34" s="34"/>
    </row>
    <row r="35" spans="6:6">
      <c r="F35" s="34"/>
    </row>
    <row r="36" spans="6:6">
      <c r="F36" s="34"/>
    </row>
    <row r="37" spans="6:6">
      <c r="F37" s="34"/>
    </row>
    <row r="38" spans="6:6">
      <c r="F38" s="34"/>
    </row>
    <row r="39" spans="6:6">
      <c r="F39" s="34"/>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 Means</vt:lpstr>
      <vt:lpstr>Segements</vt:lpstr>
      <vt:lpstr>Segment 2 Analysis</vt:lpstr>
      <vt:lpstr>Churn by Service Calls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Schmidt, Emily</cp:lastModifiedBy>
  <dcterms:modified xsi:type="dcterms:W3CDTF">2026-05-05T16:18:22Z</dcterms:modified>
</cp:coreProperties>
</file>