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comments4.xml" ContentType="application/vnd.openxmlformats-officedocument.spreadsheetml.comments+xml"/>
  <Override PartName="/xl/threadedComments/threadedComment2.xml" ContentType="application/vnd.ms-excel.threadedcomments+xml"/>
  <Override PartName="/xl/comments5.xml" ContentType="application/vnd.openxmlformats-officedocument.spreadsheetml.comments+xml"/>
  <Override PartName="/xl/threadedComments/threadedComment3.xml" ContentType="application/vnd.ms-excel.threaded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ily\Documents\Product Management Portfolio\"/>
    </mc:Choice>
  </mc:AlternateContent>
  <xr:revisionPtr revIDLastSave="0" documentId="13_ncr:1_{40A2F440-144D-4228-8834-06B2F63594D7}" xr6:coauthVersionLast="47" xr6:coauthVersionMax="47" xr10:uidLastSave="{00000000-0000-0000-0000-000000000000}"/>
  <bookViews>
    <workbookView xWindow="-108" yWindow="-108" windowWidth="23256" windowHeight="12456" tabRatio="886" firstSheet="4" activeTab="9" xr2:uid="{00000000-000D-0000-FFFF-FFFF00000000}"/>
  </bookViews>
  <sheets>
    <sheet name="Risk Analysis" sheetId="11" state="hidden" r:id="rId1"/>
    <sheet name="Assumptions" sheetId="16" r:id="rId2"/>
    <sheet name="Cost Data" sheetId="3" r:id="rId3"/>
    <sheet name="Average Industry Growth" sheetId="20" r:id="rId4"/>
    <sheet name="Bond Ratings" sheetId="19" r:id="rId5"/>
    <sheet name="Ba Calculation" sheetId="15" r:id="rId6"/>
    <sheet name="FCFE Calculations" sheetId="34" r:id="rId7"/>
    <sheet name="NPV Calculation_Payoff" sheetId="22" r:id="rId8"/>
    <sheet name="NPV Calculation_No Payoff" sheetId="23" r:id="rId9"/>
    <sheet name="NPV - Option Analysis" sheetId="14" r:id="rId10"/>
  </sheets>
  <externalReferences>
    <externalReference r:id="rId11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7" i="23" l="1"/>
  <c r="N46" i="23"/>
  <c r="C47" i="23"/>
  <c r="C46" i="23"/>
  <c r="D11" i="23"/>
  <c r="D12" i="23"/>
  <c r="D10" i="23"/>
  <c r="O47" i="22"/>
  <c r="O46" i="22"/>
  <c r="C47" i="22"/>
  <c r="C46" i="22"/>
  <c r="D11" i="22"/>
  <c r="D12" i="22"/>
  <c r="D10" i="22"/>
  <c r="C47" i="34"/>
  <c r="B63" i="20"/>
  <c r="B64" i="20"/>
  <c r="B62" i="20"/>
  <c r="B48" i="20"/>
  <c r="B49" i="20"/>
  <c r="C46" i="34" s="1"/>
  <c r="B47" i="20"/>
  <c r="D12" i="34"/>
  <c r="D11" i="34"/>
  <c r="H42" i="15"/>
  <c r="C15" i="15"/>
  <c r="B9" i="16"/>
  <c r="B24" i="3"/>
  <c r="B8" i="16"/>
  <c r="B28" i="20"/>
  <c r="C28" i="20"/>
  <c r="D28" i="20"/>
  <c r="E28" i="20"/>
  <c r="B26" i="20"/>
  <c r="B14" i="20"/>
  <c r="C14" i="20"/>
  <c r="D14" i="20"/>
  <c r="G5" i="20"/>
  <c r="B38" i="20"/>
  <c r="B2" i="16"/>
  <c r="C10" i="15"/>
  <c r="K10" i="15"/>
  <c r="L10" i="15"/>
  <c r="I14" i="20"/>
  <c r="G14" i="20"/>
  <c r="H5" i="20"/>
  <c r="E10" i="15"/>
  <c r="F10" i="15"/>
  <c r="H10" i="15"/>
  <c r="I10" i="15"/>
  <c r="D10" i="15"/>
  <c r="H14" i="20"/>
  <c r="G10" i="15"/>
  <c r="J10" i="15"/>
  <c r="L11" i="15"/>
  <c r="D10" i="34" l="1"/>
  <c r="B27" i="20"/>
  <c r="C27" i="20"/>
  <c r="D27" i="20"/>
  <c r="E27" i="20"/>
  <c r="C26" i="20"/>
  <c r="D26" i="20"/>
  <c r="E26" i="20"/>
  <c r="E24" i="23"/>
  <c r="E25" i="23"/>
  <c r="E42" i="23" s="1"/>
  <c r="D12" i="20"/>
  <c r="B30" i="20" l="1"/>
  <c r="B6" i="16" s="1"/>
  <c r="B7" i="16" s="1"/>
  <c r="P25" i="23"/>
  <c r="I25" i="23"/>
  <c r="K25" i="23"/>
  <c r="H25" i="23"/>
  <c r="G25" i="23"/>
  <c r="J25" i="23"/>
  <c r="F25" i="23"/>
  <c r="G21" i="3" l="1"/>
  <c r="G15" i="3"/>
  <c r="G4" i="3"/>
  <c r="G5" i="3"/>
  <c r="G22" i="3" s="1"/>
  <c r="G6" i="3"/>
  <c r="G7" i="3"/>
  <c r="G8" i="3"/>
  <c r="G9" i="3"/>
  <c r="G10" i="3"/>
  <c r="G11" i="3"/>
  <c r="G12" i="3"/>
  <c r="G13" i="3"/>
  <c r="G14" i="3"/>
  <c r="G16" i="3"/>
  <c r="G17" i="3"/>
  <c r="G18" i="3"/>
  <c r="G19" i="3"/>
  <c r="G20" i="3"/>
  <c r="G3" i="3"/>
  <c r="F62" i="34"/>
  <c r="E62" i="34" s="1"/>
  <c r="F63" i="34"/>
  <c r="G66" i="34" s="1"/>
  <c r="C70" i="34"/>
  <c r="J6" i="34"/>
  <c r="J7" i="34"/>
  <c r="D14" i="34"/>
  <c r="M22" i="34"/>
  <c r="M21" i="34" s="1"/>
  <c r="M20" i="34" s="1"/>
  <c r="M29" i="34"/>
  <c r="L22" i="34"/>
  <c r="L21" i="34" s="1"/>
  <c r="L20" i="34" s="1"/>
  <c r="L29" i="34"/>
  <c r="D43" i="34"/>
  <c r="K29" i="34"/>
  <c r="J29" i="34"/>
  <c r="I29" i="34"/>
  <c r="H29" i="34"/>
  <c r="G29" i="34"/>
  <c r="F29" i="34"/>
  <c r="E29" i="34"/>
  <c r="F22" i="34"/>
  <c r="F21" i="34" s="1"/>
  <c r="E21" i="34"/>
  <c r="E20" i="34" s="1"/>
  <c r="D21" i="34"/>
  <c r="D8" i="34"/>
  <c r="D5" i="34"/>
  <c r="D43" i="22"/>
  <c r="K29" i="22"/>
  <c r="F63" i="22"/>
  <c r="F64" i="22"/>
  <c r="G67" i="22" s="1"/>
  <c r="E63" i="22"/>
  <c r="D63" i="22" s="1"/>
  <c r="H44" i="15"/>
  <c r="C3" i="14"/>
  <c r="H24" i="15"/>
  <c r="D7" i="34" s="1"/>
  <c r="J6" i="22"/>
  <c r="Q24" i="23"/>
  <c r="D18" i="15"/>
  <c r="G8" i="15"/>
  <c r="F9" i="15"/>
  <c r="C8" i="16"/>
  <c r="I12" i="20"/>
  <c r="E9" i="15"/>
  <c r="E8" i="15"/>
  <c r="L9" i="15"/>
  <c r="C3" i="16"/>
  <c r="H7" i="20"/>
  <c r="C5" i="16"/>
  <c r="K9" i="15"/>
  <c r="L18" i="15"/>
  <c r="E18" i="15"/>
  <c r="H8" i="20"/>
  <c r="J8" i="15"/>
  <c r="K8" i="15"/>
  <c r="F16" i="20"/>
  <c r="H3" i="20"/>
  <c r="G13" i="20"/>
  <c r="G9" i="15"/>
  <c r="C18" i="15"/>
  <c r="J9" i="15"/>
  <c r="K18" i="15"/>
  <c r="F18" i="15"/>
  <c r="D8" i="15"/>
  <c r="G18" i="15"/>
  <c r="C9" i="16"/>
  <c r="I13" i="20"/>
  <c r="C7" i="16"/>
  <c r="F17" i="20"/>
  <c r="I8" i="15"/>
  <c r="F8" i="15"/>
  <c r="D9" i="15"/>
  <c r="C9" i="15"/>
  <c r="H8" i="15"/>
  <c r="G12" i="20"/>
  <c r="C10" i="16"/>
  <c r="H9" i="15"/>
  <c r="I9" i="15"/>
  <c r="C4" i="16"/>
  <c r="I18" i="15"/>
  <c r="L8" i="15"/>
  <c r="H13" i="20"/>
  <c r="C8" i="15"/>
  <c r="H12" i="20"/>
  <c r="J18" i="15"/>
  <c r="C2" i="16"/>
  <c r="H18" i="15"/>
  <c r="C6" i="16"/>
  <c r="H4" i="20"/>
  <c r="E23" i="34" l="1"/>
  <c r="B3" i="16"/>
  <c r="D62" i="34"/>
  <c r="E63" i="34"/>
  <c r="G65" i="34"/>
  <c r="G67" i="34" s="1"/>
  <c r="F66" i="34"/>
  <c r="F20" i="34"/>
  <c r="G22" i="34"/>
  <c r="F23" i="34"/>
  <c r="D23" i="15"/>
  <c r="D24" i="15" s="1"/>
  <c r="E64" i="22"/>
  <c r="F66" i="22" s="1"/>
  <c r="D64" i="22"/>
  <c r="E66" i="22" s="1"/>
  <c r="C63" i="22"/>
  <c r="C64" i="22" s="1"/>
  <c r="C67" i="22" s="1"/>
  <c r="C68" i="22" s="1"/>
  <c r="F67" i="22"/>
  <c r="F68" i="22" s="1"/>
  <c r="D66" i="22"/>
  <c r="G66" i="22"/>
  <c r="G68" i="22" s="1"/>
  <c r="F65" i="34" l="1"/>
  <c r="F67" i="34" s="1"/>
  <c r="C62" i="34"/>
  <c r="C63" i="34" s="1"/>
  <c r="D63" i="34"/>
  <c r="G21" i="34"/>
  <c r="H22" i="34"/>
  <c r="E67" i="22"/>
  <c r="E68" i="22" s="1"/>
  <c r="D67" i="22"/>
  <c r="D68" i="22"/>
  <c r="D65" i="34" l="1"/>
  <c r="C66" i="34"/>
  <c r="C67" i="34" s="1"/>
  <c r="E65" i="34"/>
  <c r="D66" i="34"/>
  <c r="E66" i="34"/>
  <c r="G20" i="34"/>
  <c r="G23" i="34"/>
  <c r="H21" i="34"/>
  <c r="H23" i="34" s="1"/>
  <c r="I22" i="34"/>
  <c r="E67" i="34" l="1"/>
  <c r="C69" i="34"/>
  <c r="D67" i="34"/>
  <c r="J22" i="34"/>
  <c r="I21" i="34"/>
  <c r="H20" i="34"/>
  <c r="I23" i="34"/>
  <c r="I20" i="34" l="1"/>
  <c r="K22" i="34"/>
  <c r="K21" i="34" s="1"/>
  <c r="K20" i="34" s="1"/>
  <c r="J21" i="34"/>
  <c r="J20" i="34" s="1"/>
  <c r="J23" i="34" l="1"/>
  <c r="R24" i="22" l="1"/>
  <c r="R27" i="22" s="1"/>
  <c r="O43" i="23"/>
  <c r="V42" i="23"/>
  <c r="U42" i="23"/>
  <c r="T42" i="23"/>
  <c r="S42" i="23"/>
  <c r="R42" i="23"/>
  <c r="Q42" i="23"/>
  <c r="V29" i="23"/>
  <c r="U29" i="23"/>
  <c r="T29" i="23"/>
  <c r="S29" i="23"/>
  <c r="R29" i="23"/>
  <c r="Q29" i="23"/>
  <c r="P29" i="23"/>
  <c r="Q27" i="23"/>
  <c r="P24" i="23"/>
  <c r="Q22" i="23"/>
  <c r="Q21" i="23" s="1"/>
  <c r="U21" i="23"/>
  <c r="U20" i="23" s="1"/>
  <c r="P21" i="23"/>
  <c r="P20" i="23" s="1"/>
  <c r="O21" i="23"/>
  <c r="P43" i="22"/>
  <c r="W29" i="22"/>
  <c r="V29" i="22"/>
  <c r="U29" i="22"/>
  <c r="T29" i="22"/>
  <c r="S29" i="22"/>
  <c r="R29" i="22"/>
  <c r="Q29" i="22"/>
  <c r="U42" i="22"/>
  <c r="T42" i="22"/>
  <c r="S42" i="22"/>
  <c r="R42" i="22"/>
  <c r="R22" i="22"/>
  <c r="R21" i="22" s="1"/>
  <c r="V21" i="22"/>
  <c r="V20" i="22" s="1"/>
  <c r="Q21" i="22"/>
  <c r="Q20" i="22" s="1"/>
  <c r="P21" i="22"/>
  <c r="P23" i="23" l="1"/>
  <c r="R41" i="22"/>
  <c r="Q23" i="22"/>
  <c r="V42" i="22"/>
  <c r="W42" i="22"/>
  <c r="S41" i="22"/>
  <c r="S43" i="22" s="1"/>
  <c r="R43" i="22"/>
  <c r="S27" i="22"/>
  <c r="Q20" i="23"/>
  <c r="S27" i="23"/>
  <c r="S41" i="23"/>
  <c r="S43" i="23" s="1"/>
  <c r="Q23" i="23"/>
  <c r="R22" i="23"/>
  <c r="P41" i="23"/>
  <c r="Q41" i="23"/>
  <c r="Q43" i="23" s="1"/>
  <c r="R41" i="23"/>
  <c r="R43" i="23" s="1"/>
  <c r="R27" i="23"/>
  <c r="R20" i="22"/>
  <c r="R23" i="22"/>
  <c r="T41" i="22"/>
  <c r="T43" i="22" s="1"/>
  <c r="T27" i="22"/>
  <c r="S22" i="22"/>
  <c r="E15" i="15"/>
  <c r="D15" i="15"/>
  <c r="D43" i="23"/>
  <c r="K29" i="23"/>
  <c r="J29" i="23"/>
  <c r="I29" i="23"/>
  <c r="H29" i="23"/>
  <c r="G29" i="23"/>
  <c r="F29" i="23"/>
  <c r="E29" i="23"/>
  <c r="F22" i="23"/>
  <c r="F21" i="23" s="1"/>
  <c r="J21" i="23"/>
  <c r="J20" i="23" s="1"/>
  <c r="E21" i="23"/>
  <c r="F23" i="23" s="1"/>
  <c r="D21" i="23"/>
  <c r="E23" i="23" s="1"/>
  <c r="D14" i="23"/>
  <c r="D8" i="23"/>
  <c r="J7" i="23"/>
  <c r="D7" i="23"/>
  <c r="J6" i="23"/>
  <c r="D5" i="23"/>
  <c r="J29" i="22"/>
  <c r="I29" i="22"/>
  <c r="H29" i="22"/>
  <c r="G29" i="22"/>
  <c r="F29" i="22"/>
  <c r="E29" i="22"/>
  <c r="F22" i="22"/>
  <c r="F21" i="22" s="1"/>
  <c r="E21" i="22"/>
  <c r="D21" i="22"/>
  <c r="D14" i="22"/>
  <c r="D8" i="22"/>
  <c r="J7" i="22"/>
  <c r="D7" i="22"/>
  <c r="D5" i="22"/>
  <c r="E23" i="22" l="1"/>
  <c r="D43" i="15"/>
  <c r="D44" i="15" s="1"/>
  <c r="F15" i="15"/>
  <c r="G15" i="15" s="1"/>
  <c r="Q28" i="23"/>
  <c r="S28" i="22"/>
  <c r="R28" i="22"/>
  <c r="T44" i="22"/>
  <c r="T32" i="22" s="1"/>
  <c r="S44" i="22"/>
  <c r="S32" i="22" s="1"/>
  <c r="R28" i="23"/>
  <c r="S28" i="23"/>
  <c r="R44" i="23"/>
  <c r="R32" i="23" s="1"/>
  <c r="T27" i="23"/>
  <c r="T41" i="23"/>
  <c r="T43" i="23" s="1"/>
  <c r="T44" i="23" s="1"/>
  <c r="T32" i="23" s="1"/>
  <c r="R21" i="23"/>
  <c r="S22" i="23"/>
  <c r="S44" i="23"/>
  <c r="S32" i="23" s="1"/>
  <c r="S21" i="22"/>
  <c r="T22" i="22"/>
  <c r="U27" i="22"/>
  <c r="U41" i="22"/>
  <c r="U43" i="22" s="1"/>
  <c r="U44" i="22" s="1"/>
  <c r="U32" i="22" s="1"/>
  <c r="T28" i="22"/>
  <c r="E41" i="23"/>
  <c r="F20" i="23"/>
  <c r="G22" i="23"/>
  <c r="E20" i="23"/>
  <c r="F23" i="22"/>
  <c r="F20" i="22"/>
  <c r="G22" i="22"/>
  <c r="E20" i="22"/>
  <c r="J4" i="34"/>
  <c r="B12" i="20"/>
  <c r="C12" i="20"/>
  <c r="B13" i="20"/>
  <c r="C13" i="20"/>
  <c r="D13" i="20"/>
  <c r="D17" i="20" s="1"/>
  <c r="G3" i="20"/>
  <c r="G4" i="20"/>
  <c r="G8" i="20" s="1"/>
  <c r="F2" i="15"/>
  <c r="D16" i="20" l="1"/>
  <c r="B4" i="16"/>
  <c r="G7" i="20"/>
  <c r="S33" i="22"/>
  <c r="R33" i="23"/>
  <c r="T33" i="22"/>
  <c r="S33" i="23"/>
  <c r="T28" i="23"/>
  <c r="T33" i="23" s="1"/>
  <c r="U27" i="23"/>
  <c r="U41" i="23"/>
  <c r="U43" i="23" s="1"/>
  <c r="U44" i="23" s="1"/>
  <c r="U32" i="23" s="1"/>
  <c r="S21" i="23"/>
  <c r="T22" i="23"/>
  <c r="T21" i="23" s="1"/>
  <c r="S23" i="23"/>
  <c r="R20" i="23"/>
  <c r="R23" i="23"/>
  <c r="V27" i="22"/>
  <c r="V41" i="22"/>
  <c r="V43" i="22" s="1"/>
  <c r="V44" i="22" s="1"/>
  <c r="V32" i="22" s="1"/>
  <c r="U28" i="22"/>
  <c r="U33" i="22" s="1"/>
  <c r="U22" i="22"/>
  <c r="U21" i="22" s="1"/>
  <c r="T21" i="22"/>
  <c r="S20" i="22"/>
  <c r="S23" i="22"/>
  <c r="J4" i="23"/>
  <c r="J4" i="22"/>
  <c r="G21" i="23"/>
  <c r="H22" i="23"/>
  <c r="G21" i="22"/>
  <c r="H22" i="22"/>
  <c r="H15" i="15"/>
  <c r="L15" i="15" s="1"/>
  <c r="D15" i="34" l="1"/>
  <c r="D15" i="22"/>
  <c r="D15" i="23"/>
  <c r="F24" i="23" s="1"/>
  <c r="G24" i="23" s="1"/>
  <c r="G41" i="23" s="1"/>
  <c r="J5" i="34"/>
  <c r="E24" i="34" s="1"/>
  <c r="J5" i="22"/>
  <c r="E24" i="22" s="1"/>
  <c r="E41" i="22" s="1"/>
  <c r="T20" i="23"/>
  <c r="U23" i="23"/>
  <c r="V41" i="23"/>
  <c r="V43" i="23" s="1"/>
  <c r="V44" i="23" s="1"/>
  <c r="V32" i="23" s="1"/>
  <c r="V27" i="23"/>
  <c r="U28" i="23"/>
  <c r="S20" i="23"/>
  <c r="T23" i="23"/>
  <c r="V23" i="22"/>
  <c r="U20" i="22"/>
  <c r="W41" i="22"/>
  <c r="W43" i="22" s="1"/>
  <c r="W44" i="22" s="1"/>
  <c r="W32" i="22" s="1"/>
  <c r="W27" i="22"/>
  <c r="U23" i="22"/>
  <c r="T20" i="22"/>
  <c r="T23" i="22"/>
  <c r="V28" i="22"/>
  <c r="H21" i="23"/>
  <c r="I22" i="23"/>
  <c r="I21" i="23" s="1"/>
  <c r="G20" i="23"/>
  <c r="H23" i="23"/>
  <c r="G23" i="23"/>
  <c r="H21" i="22"/>
  <c r="H23" i="22" s="1"/>
  <c r="I22" i="22"/>
  <c r="G20" i="22"/>
  <c r="G23" i="22"/>
  <c r="F24" i="22" l="1"/>
  <c r="F25" i="22" s="1"/>
  <c r="F42" i="22" s="1"/>
  <c r="Q24" i="22"/>
  <c r="F24" i="34"/>
  <c r="H24" i="23"/>
  <c r="F41" i="23"/>
  <c r="E41" i="34"/>
  <c r="E25" i="34"/>
  <c r="E42" i="34" s="1"/>
  <c r="Q41" i="22"/>
  <c r="E25" i="22"/>
  <c r="E42" i="22" s="1"/>
  <c r="E43" i="22" s="1"/>
  <c r="E44" i="22" s="1"/>
  <c r="E32" i="22" s="1"/>
  <c r="I21" i="22"/>
  <c r="J22" i="22"/>
  <c r="F41" i="22"/>
  <c r="G24" i="22"/>
  <c r="G41" i="22" s="1"/>
  <c r="V28" i="23"/>
  <c r="V33" i="23" s="1"/>
  <c r="W28" i="22"/>
  <c r="W33" i="22" s="1"/>
  <c r="I23" i="23"/>
  <c r="H20" i="23"/>
  <c r="I20" i="23"/>
  <c r="J23" i="23"/>
  <c r="I24" i="23"/>
  <c r="H41" i="23"/>
  <c r="I23" i="22"/>
  <c r="H20" i="22"/>
  <c r="I20" i="22"/>
  <c r="F25" i="34" l="1"/>
  <c r="F42" i="34" s="1"/>
  <c r="F41" i="34"/>
  <c r="F43" i="34" s="1"/>
  <c r="G24" i="34"/>
  <c r="G41" i="34" s="1"/>
  <c r="Q25" i="22"/>
  <c r="Q27" i="22" s="1"/>
  <c r="Q28" i="22" s="1"/>
  <c r="G25" i="22"/>
  <c r="G42" i="22" s="1"/>
  <c r="G43" i="22" s="1"/>
  <c r="E43" i="34"/>
  <c r="E44" i="34" s="1"/>
  <c r="E32" i="34" s="1"/>
  <c r="E27" i="34"/>
  <c r="E28" i="34" s="1"/>
  <c r="F27" i="34"/>
  <c r="F28" i="34" s="1"/>
  <c r="E27" i="22"/>
  <c r="E28" i="22" s="1"/>
  <c r="H24" i="22"/>
  <c r="I24" i="22" s="1"/>
  <c r="F27" i="22"/>
  <c r="F28" i="22" s="1"/>
  <c r="K22" i="22"/>
  <c r="K21" i="22" s="1"/>
  <c r="J21" i="22"/>
  <c r="F43" i="22"/>
  <c r="F44" i="22" s="1"/>
  <c r="F32" i="22" s="1"/>
  <c r="I41" i="23"/>
  <c r="J24" i="23"/>
  <c r="G25" i="34" l="1"/>
  <c r="G42" i="34" s="1"/>
  <c r="H24" i="34"/>
  <c r="H41" i="34" s="1"/>
  <c r="G27" i="22"/>
  <c r="G28" i="22" s="1"/>
  <c r="Q42" i="22"/>
  <c r="Q43" i="22" s="1"/>
  <c r="F44" i="34"/>
  <c r="F32" i="34" s="1"/>
  <c r="F33" i="34" s="1"/>
  <c r="F33" i="22"/>
  <c r="E33" i="34"/>
  <c r="E33" i="22"/>
  <c r="G27" i="34"/>
  <c r="I24" i="34"/>
  <c r="H25" i="34"/>
  <c r="H42" i="34" s="1"/>
  <c r="G43" i="34"/>
  <c r="G44" i="34" s="1"/>
  <c r="G32" i="34" s="1"/>
  <c r="I41" i="22"/>
  <c r="J24" i="22"/>
  <c r="J25" i="22" s="1"/>
  <c r="J42" i="22" s="1"/>
  <c r="J20" i="22"/>
  <c r="J23" i="22"/>
  <c r="H25" i="22"/>
  <c r="H41" i="22"/>
  <c r="G44" i="22"/>
  <c r="G32" i="22" s="1"/>
  <c r="G33" i="22" s="1"/>
  <c r="I25" i="22"/>
  <c r="J41" i="23"/>
  <c r="K24" i="23"/>
  <c r="Q44" i="22" l="1"/>
  <c r="Q32" i="22" s="1"/>
  <c r="Q33" i="22" s="1"/>
  <c r="R44" i="22"/>
  <c r="R32" i="22" s="1"/>
  <c r="R33" i="22" s="1"/>
  <c r="H27" i="34"/>
  <c r="J41" i="22"/>
  <c r="J43" i="22" s="1"/>
  <c r="K24" i="22"/>
  <c r="K41" i="22" s="1"/>
  <c r="J24" i="34"/>
  <c r="I41" i="34"/>
  <c r="I25" i="34"/>
  <c r="I42" i="34" s="1"/>
  <c r="H43" i="34"/>
  <c r="H44" i="34" s="1"/>
  <c r="H32" i="34" s="1"/>
  <c r="G28" i="34"/>
  <c r="G33" i="34" s="1"/>
  <c r="I42" i="22"/>
  <c r="I43" i="22" s="1"/>
  <c r="H42" i="22"/>
  <c r="H43" i="22" s="1"/>
  <c r="H44" i="22" s="1"/>
  <c r="H32" i="22" s="1"/>
  <c r="H27" i="22"/>
  <c r="I27" i="22"/>
  <c r="I28" i="22" s="1"/>
  <c r="K41" i="23"/>
  <c r="J27" i="22"/>
  <c r="I27" i="34" l="1"/>
  <c r="I28" i="34" s="1"/>
  <c r="K24" i="34"/>
  <c r="J41" i="34"/>
  <c r="J25" i="34"/>
  <c r="J42" i="34" s="1"/>
  <c r="I43" i="34"/>
  <c r="I44" i="34" s="1"/>
  <c r="I32" i="34" s="1"/>
  <c r="K25" i="22"/>
  <c r="K42" i="22" s="1"/>
  <c r="K43" i="22" s="1"/>
  <c r="K44" i="22" s="1"/>
  <c r="K32" i="22" s="1"/>
  <c r="H28" i="34"/>
  <c r="H33" i="34" s="1"/>
  <c r="I44" i="22"/>
  <c r="I32" i="22" s="1"/>
  <c r="I33" i="22" s="1"/>
  <c r="H28" i="22"/>
  <c r="H33" i="22" s="1"/>
  <c r="J44" i="22"/>
  <c r="J32" i="22" s="1"/>
  <c r="J28" i="22"/>
  <c r="J35" i="22" l="1"/>
  <c r="K27" i="22"/>
  <c r="K28" i="22" s="1"/>
  <c r="K33" i="22" s="1"/>
  <c r="J27" i="34"/>
  <c r="J28" i="34" s="1"/>
  <c r="J43" i="34"/>
  <c r="J44" i="34" s="1"/>
  <c r="J32" i="34" s="1"/>
  <c r="L24" i="34"/>
  <c r="K41" i="34"/>
  <c r="K25" i="34"/>
  <c r="K42" i="34" s="1"/>
  <c r="I33" i="34"/>
  <c r="K27" i="34" l="1"/>
  <c r="K43" i="34"/>
  <c r="K44" i="34" s="1"/>
  <c r="K32" i="34" s="1"/>
  <c r="L41" i="34"/>
  <c r="M24" i="34"/>
  <c r="L25" i="34"/>
  <c r="L42" i="34" s="1"/>
  <c r="J35" i="34"/>
  <c r="F3" i="15"/>
  <c r="G3" i="15" s="1"/>
  <c r="H3" i="15" l="1"/>
  <c r="L3" i="15" s="1"/>
  <c r="M41" i="34"/>
  <c r="M25" i="34"/>
  <c r="M42" i="34" s="1"/>
  <c r="L27" i="34"/>
  <c r="L28" i="34" s="1"/>
  <c r="L43" i="34"/>
  <c r="L44" i="34" s="1"/>
  <c r="L32" i="34" s="1"/>
  <c r="K28" i="34"/>
  <c r="K33" i="34" s="1"/>
  <c r="G2" i="15"/>
  <c r="M43" i="34" l="1"/>
  <c r="M44" i="34" s="1"/>
  <c r="M32" i="34" s="1"/>
  <c r="L33" i="34"/>
  <c r="M27" i="34"/>
  <c r="H2" i="15"/>
  <c r="M28" i="34" l="1"/>
  <c r="M33" i="34" s="1"/>
  <c r="L2" i="15"/>
  <c r="L5" i="15" l="1"/>
  <c r="D6" i="34" s="1"/>
  <c r="D9" i="34" s="1"/>
  <c r="C32" i="15"/>
  <c r="C36" i="15"/>
  <c r="C30" i="15"/>
  <c r="C31" i="15"/>
  <c r="C28" i="15"/>
  <c r="C37" i="15"/>
  <c r="C33" i="15" l="1"/>
  <c r="C38" i="15"/>
  <c r="C34" i="15"/>
  <c r="C35" i="15"/>
  <c r="D6" i="22"/>
  <c r="D9" i="22" s="1"/>
  <c r="D13" i="22" s="1"/>
  <c r="D6" i="23"/>
  <c r="D9" i="23" s="1"/>
  <c r="D13" i="23" s="1"/>
  <c r="U34" i="23" s="1"/>
  <c r="U33" i="23" s="1"/>
  <c r="C55" i="15"/>
  <c r="C48" i="15"/>
  <c r="C56" i="15"/>
  <c r="C49" i="15"/>
  <c r="C57" i="15"/>
  <c r="C29" i="15"/>
  <c r="C50" i="15"/>
  <c r="C58" i="15"/>
  <c r="C54" i="15"/>
  <c r="C51" i="15"/>
  <c r="C52" i="15"/>
  <c r="C53" i="15"/>
  <c r="D13" i="34"/>
  <c r="E13" i="34"/>
  <c r="D16" i="34"/>
  <c r="D31" i="34" s="1"/>
  <c r="D33" i="34" s="1"/>
  <c r="E13" i="22" l="1"/>
  <c r="L34" i="34"/>
  <c r="L35" i="34" s="1"/>
  <c r="K49" i="34" s="1"/>
  <c r="J49" i="34" s="1"/>
  <c r="J34" i="34"/>
  <c r="J33" i="34" s="1"/>
  <c r="E36" i="34" s="1"/>
  <c r="V34" i="22"/>
  <c r="V33" i="22" s="1"/>
  <c r="P36" i="22" s="1"/>
  <c r="J34" i="22"/>
  <c r="J33" i="22" s="1"/>
  <c r="D16" i="22"/>
  <c r="D16" i="23"/>
  <c r="D36" i="34" l="1"/>
  <c r="I49" i="22"/>
  <c r="K50" i="34"/>
  <c r="C43" i="15"/>
  <c r="C44" i="15"/>
  <c r="I42" i="23"/>
  <c r="I43" i="23" s="1"/>
  <c r="I27" i="23"/>
  <c r="I28" i="23" s="1"/>
  <c r="G42" i="23"/>
  <c r="G43" i="23" s="1"/>
  <c r="G27" i="23"/>
  <c r="G28" i="23" s="1"/>
  <c r="P42" i="23"/>
  <c r="P43" i="23" s="1"/>
  <c r="P27" i="23"/>
  <c r="P28" i="23" s="1"/>
  <c r="K42" i="23"/>
  <c r="K43" i="23" s="1"/>
  <c r="K27" i="23"/>
  <c r="K28" i="23" s="1"/>
  <c r="D31" i="23"/>
  <c r="D33" i="23" s="1"/>
  <c r="O31" i="23"/>
  <c r="O33" i="23" s="1"/>
  <c r="F42" i="23"/>
  <c r="F43" i="23" s="1"/>
  <c r="F27" i="23"/>
  <c r="H42" i="23"/>
  <c r="H43" i="23" s="1"/>
  <c r="H27" i="23"/>
  <c r="H28" i="23" s="1"/>
  <c r="E43" i="23"/>
  <c r="E44" i="23" s="1"/>
  <c r="E32" i="23" s="1"/>
  <c r="E27" i="23"/>
  <c r="E28" i="23" s="1"/>
  <c r="J42" i="23"/>
  <c r="J43" i="23" s="1"/>
  <c r="J27" i="23"/>
  <c r="J28" i="23" s="1"/>
  <c r="D31" i="22"/>
  <c r="D33" i="22" s="1"/>
  <c r="C24" i="15"/>
  <c r="C23" i="15"/>
  <c r="P31" i="22"/>
  <c r="P33" i="22" s="1"/>
  <c r="E2" i="14" s="1"/>
  <c r="J44" i="23" l="1"/>
  <c r="J32" i="23" s="1"/>
  <c r="E33" i="23"/>
  <c r="K44" i="23"/>
  <c r="K32" i="23" s="1"/>
  <c r="K33" i="23" s="1"/>
  <c r="J34" i="23" s="1"/>
  <c r="H44" i="23"/>
  <c r="H32" i="23" s="1"/>
  <c r="H33" i="23" s="1"/>
  <c r="D48" i="15"/>
  <c r="E48" i="15" s="1"/>
  <c r="J50" i="34"/>
  <c r="K54" i="34" s="1"/>
  <c r="I49" i="34"/>
  <c r="L54" i="34"/>
  <c r="L53" i="34"/>
  <c r="I50" i="22"/>
  <c r="H49" i="22"/>
  <c r="D36" i="22"/>
  <c r="E1" i="14" s="1"/>
  <c r="E36" i="22"/>
  <c r="D28" i="15"/>
  <c r="E28" i="15" s="1"/>
  <c r="F28" i="15" s="1"/>
  <c r="G28" i="15" s="1"/>
  <c r="H28" i="15" s="1"/>
  <c r="F44" i="23"/>
  <c r="F32" i="23" s="1"/>
  <c r="G44" i="23"/>
  <c r="G32" i="23" s="1"/>
  <c r="G33" i="23" s="1"/>
  <c r="P44" i="23"/>
  <c r="P32" i="23" s="1"/>
  <c r="P33" i="23" s="1"/>
  <c r="Q44" i="23"/>
  <c r="Q32" i="23" s="1"/>
  <c r="Q33" i="23" s="1"/>
  <c r="F28" i="23"/>
  <c r="I44" i="23"/>
  <c r="I32" i="23" s="1"/>
  <c r="I33" i="23" s="1"/>
  <c r="J33" i="23" l="1"/>
  <c r="F33" i="23"/>
  <c r="G49" i="22"/>
  <c r="H50" i="22"/>
  <c r="I54" i="22" s="1"/>
  <c r="L55" i="34"/>
  <c r="J53" i="22"/>
  <c r="J54" i="22"/>
  <c r="H49" i="34"/>
  <c r="I50" i="34"/>
  <c r="K53" i="34"/>
  <c r="K55" i="34" s="1"/>
  <c r="F48" i="15"/>
  <c r="O36" i="23"/>
  <c r="E4" i="14" s="1"/>
  <c r="C6" i="14" s="1"/>
  <c r="D36" i="23" l="1"/>
  <c r="E3" i="14" s="1"/>
  <c r="C9" i="14" s="1"/>
  <c r="C10" i="14" s="1"/>
  <c r="J59" i="34"/>
  <c r="J60" i="34" s="1"/>
  <c r="J55" i="22"/>
  <c r="J53" i="34"/>
  <c r="I53" i="22"/>
  <c r="I55" i="22" s="1"/>
  <c r="H50" i="34"/>
  <c r="G49" i="34"/>
  <c r="J54" i="34"/>
  <c r="C45" i="15"/>
  <c r="C25" i="15"/>
  <c r="F49" i="22"/>
  <c r="G50" i="22"/>
  <c r="H54" i="22" s="1"/>
  <c r="G48" i="15"/>
  <c r="H48" i="15" s="1"/>
  <c r="I28" i="15" l="1"/>
  <c r="D29" i="15" s="1"/>
  <c r="E29" i="15" s="1"/>
  <c r="F29" i="15" s="1"/>
  <c r="G29" i="15" s="1"/>
  <c r="H29" i="15" s="1"/>
  <c r="I29" i="15" s="1"/>
  <c r="D30" i="15" s="1"/>
  <c r="E30" i="15" s="1"/>
  <c r="F30" i="15" s="1"/>
  <c r="G30" i="15" s="1"/>
  <c r="H30" i="15" s="1"/>
  <c r="I30" i="15" s="1"/>
  <c r="D31" i="15" s="1"/>
  <c r="E31" i="15" s="1"/>
  <c r="F31" i="15" s="1"/>
  <c r="G31" i="15" s="1"/>
  <c r="H31" i="15" s="1"/>
  <c r="I31" i="15" s="1"/>
  <c r="D32" i="15" s="1"/>
  <c r="E32" i="15" s="1"/>
  <c r="F32" i="15" s="1"/>
  <c r="G32" i="15" s="1"/>
  <c r="H32" i="15" s="1"/>
  <c r="K59" i="34" s="1"/>
  <c r="I53" i="34"/>
  <c r="I48" i="15"/>
  <c r="D49" i="15" s="1"/>
  <c r="E49" i="15" s="1"/>
  <c r="F49" i="15" s="1"/>
  <c r="G49" i="15" s="1"/>
  <c r="H49" i="15" s="1"/>
  <c r="H53" i="22"/>
  <c r="H55" i="22" s="1"/>
  <c r="F50" i="22"/>
  <c r="E49" i="22"/>
  <c r="I54" i="34"/>
  <c r="G50" i="34"/>
  <c r="F49" i="34"/>
  <c r="J55" i="34"/>
  <c r="I32" i="15" l="1"/>
  <c r="J32" i="15" s="1"/>
  <c r="K60" i="34"/>
  <c r="G53" i="22"/>
  <c r="D49" i="22"/>
  <c r="D50" i="22" s="1"/>
  <c r="E53" i="22" s="1"/>
  <c r="E50" i="22"/>
  <c r="G54" i="22"/>
  <c r="I55" i="34"/>
  <c r="E49" i="34"/>
  <c r="D49" i="34" s="1"/>
  <c r="F50" i="34"/>
  <c r="H53" i="34"/>
  <c r="H54" i="34"/>
  <c r="I49" i="15"/>
  <c r="D50" i="15" s="1"/>
  <c r="E50" i="15" s="1"/>
  <c r="F50" i="15" s="1"/>
  <c r="G50" i="15" s="1"/>
  <c r="H50" i="15" s="1"/>
  <c r="I50" i="15" s="1"/>
  <c r="D51" i="15" s="1"/>
  <c r="E51" i="15" s="1"/>
  <c r="F51" i="15" s="1"/>
  <c r="G51" i="15" s="1"/>
  <c r="H51" i="15" s="1"/>
  <c r="I51" i="15" s="1"/>
  <c r="D52" i="15" s="1"/>
  <c r="E52" i="15" s="1"/>
  <c r="F52" i="15" s="1"/>
  <c r="G52" i="15" s="1"/>
  <c r="H52" i="15" s="1"/>
  <c r="D33" i="15" l="1"/>
  <c r="E33" i="15" s="1"/>
  <c r="F33" i="15" s="1"/>
  <c r="G33" i="15" s="1"/>
  <c r="H33" i="15" s="1"/>
  <c r="I33" i="15" s="1"/>
  <c r="D34" i="15" s="1"/>
  <c r="E34" i="15" s="1"/>
  <c r="F34" i="15" s="1"/>
  <c r="G34" i="15" s="1"/>
  <c r="H34" i="15" s="1"/>
  <c r="I34" i="15" s="1"/>
  <c r="G53" i="34"/>
  <c r="G54" i="34"/>
  <c r="G55" i="22"/>
  <c r="E50" i="34"/>
  <c r="D50" i="34"/>
  <c r="E53" i="34" s="1"/>
  <c r="F53" i="22"/>
  <c r="E54" i="22"/>
  <c r="D54" i="22"/>
  <c r="D55" i="22" s="1"/>
  <c r="H55" i="34"/>
  <c r="F54" i="22"/>
  <c r="I52" i="15"/>
  <c r="J52" i="15" s="1"/>
  <c r="F55" i="22" l="1"/>
  <c r="E54" i="34"/>
  <c r="F53" i="34"/>
  <c r="D54" i="34"/>
  <c r="D55" i="34" s="1"/>
  <c r="G55" i="34"/>
  <c r="E55" i="22"/>
  <c r="F54" i="34"/>
  <c r="D53" i="15"/>
  <c r="E53" i="15" s="1"/>
  <c r="F53" i="15" s="1"/>
  <c r="G53" i="15" s="1"/>
  <c r="H53" i="15" s="1"/>
  <c r="D35" i="15"/>
  <c r="E35" i="15" s="1"/>
  <c r="F35" i="15" s="1"/>
  <c r="G35" i="15" s="1"/>
  <c r="H35" i="15" s="1"/>
  <c r="I35" i="15" s="1"/>
  <c r="D57" i="22" l="1"/>
  <c r="D58" i="22" s="1"/>
  <c r="F55" i="34"/>
  <c r="E55" i="34"/>
  <c r="C57" i="22"/>
  <c r="C58" i="22" s="1"/>
  <c r="I53" i="15"/>
  <c r="D54" i="15" s="1"/>
  <c r="E54" i="15" s="1"/>
  <c r="F54" i="15" s="1"/>
  <c r="G54" i="15" s="1"/>
  <c r="H54" i="15" s="1"/>
  <c r="D36" i="15"/>
  <c r="E36" i="15" s="1"/>
  <c r="F36" i="15" s="1"/>
  <c r="G36" i="15" s="1"/>
  <c r="H36" i="15" s="1"/>
  <c r="I36" i="15" s="1"/>
  <c r="D57" i="34" l="1"/>
  <c r="D58" i="34" s="1"/>
  <c r="C57" i="34"/>
  <c r="C58" i="34" s="1"/>
  <c r="I54" i="15"/>
  <c r="D55" i="15" s="1"/>
  <c r="E55" i="15" s="1"/>
  <c r="F55" i="15" s="1"/>
  <c r="G55" i="15" s="1"/>
  <c r="H55" i="15" s="1"/>
  <c r="D37" i="15"/>
  <c r="E37" i="15" s="1"/>
  <c r="F37" i="15" s="1"/>
  <c r="G37" i="15" s="1"/>
  <c r="H37" i="15" s="1"/>
  <c r="I37" i="15" s="1"/>
  <c r="I55" i="15" l="1"/>
  <c r="D56" i="15" s="1"/>
  <c r="E56" i="15" s="1"/>
  <c r="F56" i="15" s="1"/>
  <c r="G56" i="15" s="1"/>
  <c r="H56" i="15" s="1"/>
  <c r="D38" i="15"/>
  <c r="E38" i="15" s="1"/>
  <c r="F38" i="15" s="1"/>
  <c r="G38" i="15" s="1"/>
  <c r="H38" i="15" s="1"/>
  <c r="I38" i="15" s="1"/>
  <c r="I56" i="15" l="1"/>
  <c r="D57" i="15" s="1"/>
  <c r="E57" i="15" s="1"/>
  <c r="F57" i="15" s="1"/>
  <c r="G57" i="15" s="1"/>
  <c r="H57" i="15" s="1"/>
  <c r="I57" i="15" l="1"/>
  <c r="D58" i="15" s="1"/>
  <c r="E58" i="15" s="1"/>
  <c r="F58" i="15" s="1"/>
  <c r="G58" i="15" s="1"/>
  <c r="H58" i="15" s="1"/>
  <c r="I58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Emily Schmidt</author>
  </authors>
  <commentList>
    <comment ref="A6" authorId="0" shapeId="0" xr:uid="{513C07A8-CDD9-4AD5-8CB9-F26DE515F62A}">
      <text>
        <r>
          <rPr>
            <b/>
            <sz val="9"/>
            <color indexed="81"/>
            <rFont val="Tahoma"/>
            <family val="2"/>
          </rPr>
          <t>Emily Schmidt:</t>
        </r>
        <r>
          <rPr>
            <sz val="9"/>
            <color indexed="81"/>
            <rFont val="Tahoma"/>
            <family val="2"/>
          </rPr>
          <t xml:space="preserve">
=gross profit/total sales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Emily Schmidt</author>
  </authors>
  <commentList>
    <comment ref="B1" authorId="0" shapeId="0" xr:uid="{259C467F-69F7-48F2-A84B-380A08E379CB}">
      <text>
        <r>
          <rPr>
            <b/>
            <sz val="9"/>
            <color indexed="81"/>
            <rFont val="Tahoma"/>
            <family val="2"/>
          </rPr>
          <t>Emily Schmidt:</t>
        </r>
        <r>
          <rPr>
            <sz val="9"/>
            <color indexed="81"/>
            <rFont val="Tahoma"/>
            <family val="2"/>
          </rPr>
          <t xml:space="preserve">
companies in the same </t>
        </r>
      </text>
    </comment>
    <comment ref="C1" authorId="0" shapeId="0" xr:uid="{FD93AF65-814B-4C18-B575-066A2B15F113}">
      <text>
        <r>
          <rPr>
            <b/>
            <sz val="9"/>
            <color indexed="81"/>
            <rFont val="Tahoma"/>
            <family val="2"/>
          </rPr>
          <t>Emily Schmidt:</t>
        </r>
        <r>
          <rPr>
            <sz val="9"/>
            <color indexed="81"/>
            <rFont val="Tahoma"/>
            <family val="2"/>
          </rPr>
          <t xml:space="preserve">
Estimate with stock returns against the market 
-get values via Yahoo Finance ect.</t>
        </r>
      </text>
    </comment>
    <comment ref="F1" authorId="0" shapeId="0" xr:uid="{8E1784BB-2DA1-4AD7-93F0-EBB0A26AAECD}">
      <text>
        <r>
          <rPr>
            <b/>
            <sz val="9"/>
            <color indexed="81"/>
            <rFont val="Tahoma"/>
            <family val="2"/>
          </rPr>
          <t>Emily Schmidt:</t>
        </r>
        <r>
          <rPr>
            <sz val="9"/>
            <color indexed="81"/>
            <rFont val="Tahoma"/>
            <family val="2"/>
          </rPr>
          <t xml:space="preserve">
Total debt/market cap
-market cap is a MV
-total debt is NET DEBT</t>
        </r>
      </text>
    </comment>
    <comment ref="K1" authorId="0" shapeId="0" xr:uid="{EE5D44AF-F8FF-479D-8167-38C2B4CB76D0}">
      <text>
        <r>
          <rPr>
            <b/>
            <sz val="9"/>
            <color indexed="81"/>
            <rFont val="Tahoma"/>
            <family val="2"/>
          </rPr>
          <t>Emily Schmidt:</t>
        </r>
        <r>
          <rPr>
            <sz val="9"/>
            <color indexed="81"/>
            <rFont val="Tahoma"/>
            <family val="2"/>
          </rPr>
          <t xml:space="preserve">
Find by searching Bond Rating and the current yield for that type of bond</t>
        </r>
      </text>
    </comment>
    <comment ref="B7" authorId="0" shapeId="0" xr:uid="{79EB3590-F076-4357-ABD3-15C8E35C5D30}">
      <text>
        <r>
          <rPr>
            <b/>
            <sz val="9"/>
            <color indexed="81"/>
            <rFont val="Tahoma"/>
            <family val="2"/>
          </rPr>
          <t>Emily Schmidt:</t>
        </r>
        <r>
          <rPr>
            <sz val="9"/>
            <color indexed="81"/>
            <rFont val="Tahoma"/>
            <family val="2"/>
          </rPr>
          <t xml:space="preserve">
companies in the same </t>
        </r>
      </text>
    </comment>
    <comment ref="C7" authorId="0" shapeId="0" xr:uid="{64D7979F-6718-49B6-8362-66DBACEC616A}">
      <text>
        <r>
          <rPr>
            <b/>
            <sz val="9"/>
            <color indexed="81"/>
            <rFont val="Tahoma"/>
            <family val="2"/>
          </rPr>
          <t>Emily Schmidt:</t>
        </r>
        <r>
          <rPr>
            <sz val="9"/>
            <color indexed="81"/>
            <rFont val="Tahoma"/>
            <family val="2"/>
          </rPr>
          <t xml:space="preserve">
Estimate with stock returns against the market 
-get values via Yahoo Finance ect.</t>
        </r>
      </text>
    </comment>
    <comment ref="F7" authorId="0" shapeId="0" xr:uid="{C4583A13-6644-4409-94E1-3D0A3447849D}">
      <text>
        <r>
          <rPr>
            <b/>
            <sz val="9"/>
            <color indexed="81"/>
            <rFont val="Tahoma"/>
            <family val="2"/>
          </rPr>
          <t>Emily Schmidt:</t>
        </r>
        <r>
          <rPr>
            <sz val="9"/>
            <color indexed="81"/>
            <rFont val="Tahoma"/>
            <family val="2"/>
          </rPr>
          <t xml:space="preserve">
Total debt/market cap
-market cap is a MV
-total debt is NET DEBT</t>
        </r>
      </text>
    </comment>
    <comment ref="K7" authorId="0" shapeId="0" xr:uid="{9CF04C49-CD55-4E29-B4FC-22A739F9B2A8}">
      <text>
        <r>
          <rPr>
            <b/>
            <sz val="9"/>
            <color indexed="81"/>
            <rFont val="Tahoma"/>
            <family val="2"/>
          </rPr>
          <t>Emily Schmidt:</t>
        </r>
        <r>
          <rPr>
            <sz val="9"/>
            <color indexed="81"/>
            <rFont val="Tahoma"/>
            <family val="2"/>
          </rPr>
          <t xml:space="preserve">
Find by searching Bond Rating and the current yield for that type of bond</t>
        </r>
      </text>
    </comment>
    <comment ref="C14" authorId="0" shapeId="0" xr:uid="{799F5740-5D2B-4E49-8F74-1A0971C2F946}">
      <text>
        <r>
          <rPr>
            <b/>
            <sz val="9"/>
            <color indexed="81"/>
            <rFont val="Tahoma"/>
            <family val="2"/>
          </rPr>
          <t>Emily Schmidt:</t>
        </r>
        <r>
          <rPr>
            <sz val="9"/>
            <color indexed="81"/>
            <rFont val="Tahoma"/>
            <family val="2"/>
          </rPr>
          <t xml:space="preserve">
Estimate with stock returns against the market 
-get values via Yahoo Finance ect.</t>
        </r>
      </text>
    </comment>
    <comment ref="F14" authorId="0" shapeId="0" xr:uid="{EF793B30-46C3-4333-8346-0A9A0F89DA2E}">
      <text>
        <r>
          <rPr>
            <b/>
            <sz val="9"/>
            <color indexed="81"/>
            <rFont val="Tahoma"/>
            <family val="2"/>
          </rPr>
          <t>Emily Schmidt:</t>
        </r>
        <r>
          <rPr>
            <sz val="9"/>
            <color indexed="81"/>
            <rFont val="Tahoma"/>
            <family val="2"/>
          </rPr>
          <t xml:space="preserve">
Total debt/market cap
-market cap is a MV
-total debt is NET DEBT</t>
        </r>
      </text>
    </comment>
    <comment ref="K14" authorId="0" shapeId="0" xr:uid="{CD664A4B-D2B1-48FA-9227-5AD8250C1752}">
      <text>
        <r>
          <rPr>
            <b/>
            <sz val="9"/>
            <color indexed="81"/>
            <rFont val="Tahoma"/>
            <family val="2"/>
          </rPr>
          <t>Emily Schmidt:</t>
        </r>
        <r>
          <rPr>
            <sz val="9"/>
            <color indexed="81"/>
            <rFont val="Tahoma"/>
            <family val="2"/>
          </rPr>
          <t xml:space="preserve">
Find by searching Bond Rating and the current yield for that type of bond</t>
        </r>
      </text>
    </comment>
    <comment ref="I15" authorId="0" shapeId="0" xr:uid="{8319B065-86B6-4A36-8EB2-D86E14981D5C}">
      <text>
        <r>
          <rPr>
            <b/>
            <sz val="9"/>
            <color indexed="81"/>
            <rFont val="Tahoma"/>
            <family val="2"/>
          </rPr>
          <t>Emily Schmidt:</t>
        </r>
        <r>
          <rPr>
            <sz val="9"/>
            <color indexed="81"/>
            <rFont val="Tahoma"/>
            <family val="2"/>
          </rPr>
          <t xml:space="preserve">
Estimated by average industry</t>
        </r>
      </text>
    </comment>
    <comment ref="C17" authorId="0" shapeId="0" xr:uid="{A52FE411-59B0-409A-A99D-204608647CB1}">
      <text>
        <r>
          <rPr>
            <b/>
            <sz val="9"/>
            <color indexed="81"/>
            <rFont val="Tahoma"/>
            <family val="2"/>
          </rPr>
          <t>Emily Schmidt:</t>
        </r>
        <r>
          <rPr>
            <sz val="9"/>
            <color indexed="81"/>
            <rFont val="Tahoma"/>
            <family val="2"/>
          </rPr>
          <t xml:space="preserve">
Estimate with stock returns against the market 
-get values via Yahoo Finance ect.</t>
        </r>
      </text>
    </comment>
    <comment ref="F17" authorId="0" shapeId="0" xr:uid="{7CA3A938-E38E-4B28-A5E1-0F3AB1D11AD7}">
      <text>
        <r>
          <rPr>
            <b/>
            <sz val="9"/>
            <color indexed="81"/>
            <rFont val="Tahoma"/>
            <family val="2"/>
          </rPr>
          <t>Emily Schmidt:</t>
        </r>
        <r>
          <rPr>
            <sz val="9"/>
            <color indexed="81"/>
            <rFont val="Tahoma"/>
            <family val="2"/>
          </rPr>
          <t xml:space="preserve">
Total debt/market cap
-market cap is a MV
-total debt is NET DEBT</t>
        </r>
      </text>
    </comment>
    <comment ref="K17" authorId="0" shapeId="0" xr:uid="{61066032-8D70-42E4-A246-A936C2127F81}">
      <text>
        <r>
          <rPr>
            <b/>
            <sz val="9"/>
            <color indexed="81"/>
            <rFont val="Tahoma"/>
            <family val="2"/>
          </rPr>
          <t>Emily Schmidt:</t>
        </r>
        <r>
          <rPr>
            <sz val="9"/>
            <color indexed="81"/>
            <rFont val="Tahoma"/>
            <family val="2"/>
          </rPr>
          <t xml:space="preserve">
Find by searching Bond Rating and the current yield for that type of bond</t>
        </r>
      </text>
    </comment>
    <comment ref="D22" authorId="0" shapeId="0" xr:uid="{47CA7C44-4374-4833-A3BF-088D3CBC83D8}">
      <text>
        <r>
          <rPr>
            <b/>
            <sz val="9"/>
            <color indexed="81"/>
            <rFont val="Tahoma"/>
            <family val="2"/>
          </rPr>
          <t>Emily Schmidt:</t>
        </r>
        <r>
          <rPr>
            <sz val="9"/>
            <color indexed="81"/>
            <rFont val="Tahoma"/>
            <family val="2"/>
          </rPr>
          <t xml:space="preserve">
Using inverse of Rockwell for exam</t>
        </r>
      </text>
    </comment>
    <comment ref="C23" authorId="0" shapeId="0" xr:uid="{50D1A5C6-DE96-4F74-94A2-7F23A1AD3100}">
      <text>
        <r>
          <rPr>
            <b/>
            <sz val="9"/>
            <color indexed="81"/>
            <rFont val="Tahoma"/>
            <family val="2"/>
          </rPr>
          <t>Emily Schmidt:</t>
        </r>
        <r>
          <rPr>
            <sz val="9"/>
            <color indexed="81"/>
            <rFont val="Tahoma"/>
            <family val="2"/>
          </rPr>
          <t xml:space="preserve">
BV of equity</t>
        </r>
      </text>
    </comment>
    <comment ref="H23" authorId="0" shapeId="0" xr:uid="{63DC8D0C-0D71-4DB9-9933-FFECA08ECB73}">
      <text>
        <r>
          <rPr>
            <b/>
            <sz val="9"/>
            <color indexed="81"/>
            <rFont val="Tahoma"/>
            <family val="2"/>
          </rPr>
          <t>Emily Schmidt:</t>
        </r>
        <r>
          <rPr>
            <sz val="9"/>
            <color indexed="81"/>
            <rFont val="Tahoma"/>
            <family val="2"/>
          </rPr>
          <t xml:space="preserve">
I manually calc annual returns over same time period (w/o dividends and got a similar answer)</t>
        </r>
      </text>
    </comment>
    <comment ref="G27" authorId="0" shapeId="0" xr:uid="{58B70D1A-93E7-4855-92A7-381355481F4B}">
      <text>
        <r>
          <rPr>
            <b/>
            <sz val="9"/>
            <color indexed="81"/>
            <rFont val="Tahoma"/>
            <family val="2"/>
          </rPr>
          <t xml:space="preserve">Emily Schmidt:
</t>
        </r>
        <r>
          <rPr>
            <sz val="9"/>
            <color indexed="81"/>
            <rFont val="Tahoma"/>
            <family val="2"/>
          </rPr>
          <t>Be = (Ba - [D/V] * Bd) / [E/V]</t>
        </r>
      </text>
    </comment>
    <comment ref="H27" authorId="0" shapeId="0" xr:uid="{97F26309-4497-47FA-9EE5-49C550FFFCC8}">
      <text>
        <r>
          <rPr>
            <b/>
            <sz val="9"/>
            <color indexed="81"/>
            <rFont val="Tahoma"/>
            <family val="2"/>
          </rPr>
          <t>Emily Schmidt:</t>
        </r>
        <r>
          <rPr>
            <sz val="9"/>
            <color indexed="81"/>
            <rFont val="Tahoma"/>
            <family val="2"/>
          </rPr>
          <t xml:space="preserve">
Use the value that doesn't change as the discount rate</t>
        </r>
      </text>
    </comment>
    <comment ref="I27" authorId="0" shapeId="0" xr:uid="{C9DC2E32-74F5-4C46-871C-849EFA3CC5D3}">
      <text>
        <r>
          <rPr>
            <b/>
            <sz val="9"/>
            <color indexed="81"/>
            <rFont val="Tahoma"/>
            <family val="2"/>
          </rPr>
          <t>Emily Schmidt:</t>
        </r>
        <r>
          <rPr>
            <sz val="9"/>
            <color indexed="81"/>
            <rFont val="Tahoma"/>
            <family val="2"/>
          </rPr>
          <t xml:space="preserve">
Choose Ke where Ke and Equity value stop changing</t>
        </r>
      </text>
    </comment>
    <comment ref="D42" authorId="0" shapeId="0" xr:uid="{BC569A49-BF7A-410F-B022-85C93E43A271}">
      <text>
        <r>
          <rPr>
            <b/>
            <sz val="9"/>
            <color indexed="81"/>
            <rFont val="Tahoma"/>
            <family val="2"/>
          </rPr>
          <t>Emily Schmidt:</t>
        </r>
        <r>
          <rPr>
            <sz val="9"/>
            <color indexed="81"/>
            <rFont val="Tahoma"/>
            <family val="2"/>
          </rPr>
          <t xml:space="preserve">
Using inverse of Rockwell for exam</t>
        </r>
      </text>
    </comment>
    <comment ref="C43" authorId="0" shapeId="0" xr:uid="{FA3FA60B-C926-48CE-BD9C-BBB61E184047}">
      <text>
        <r>
          <rPr>
            <b/>
            <sz val="9"/>
            <color indexed="81"/>
            <rFont val="Tahoma"/>
            <family val="2"/>
          </rPr>
          <t>Emily Schmidt:</t>
        </r>
        <r>
          <rPr>
            <sz val="9"/>
            <color indexed="81"/>
            <rFont val="Tahoma"/>
            <family val="2"/>
          </rPr>
          <t xml:space="preserve">
BV of equity</t>
        </r>
      </text>
    </comment>
    <comment ref="H43" authorId="0" shapeId="0" xr:uid="{2C639C70-3DD5-4DDA-9282-F5004CDA893E}">
      <text>
        <r>
          <rPr>
            <b/>
            <sz val="9"/>
            <color indexed="81"/>
            <rFont val="Tahoma"/>
            <family val="2"/>
          </rPr>
          <t>Emily Schmidt:</t>
        </r>
        <r>
          <rPr>
            <sz val="9"/>
            <color indexed="81"/>
            <rFont val="Tahoma"/>
            <family val="2"/>
          </rPr>
          <t xml:space="preserve">
I manually calc annual returns over same time period (w/o dividends and got a similar answer)</t>
        </r>
      </text>
    </comment>
    <comment ref="G47" authorId="0" shapeId="0" xr:uid="{A64F2240-82AF-4A98-B93A-EBE749E1CE9D}">
      <text>
        <r>
          <rPr>
            <b/>
            <sz val="9"/>
            <color indexed="81"/>
            <rFont val="Tahoma"/>
            <family val="2"/>
          </rPr>
          <t xml:space="preserve">Emily Schmidt:
</t>
        </r>
        <r>
          <rPr>
            <sz val="9"/>
            <color indexed="81"/>
            <rFont val="Tahoma"/>
            <family val="2"/>
          </rPr>
          <t>Be = (Ba - [D/V] * Bd) / [E/V]</t>
        </r>
      </text>
    </comment>
    <comment ref="H47" authorId="0" shapeId="0" xr:uid="{A662A2E8-E7A5-4CCA-9A6C-00668CDE84F3}">
      <text>
        <r>
          <rPr>
            <b/>
            <sz val="9"/>
            <color indexed="81"/>
            <rFont val="Tahoma"/>
            <family val="2"/>
          </rPr>
          <t>Emily Schmidt:</t>
        </r>
        <r>
          <rPr>
            <sz val="9"/>
            <color indexed="81"/>
            <rFont val="Tahoma"/>
            <family val="2"/>
          </rPr>
          <t xml:space="preserve">
Use the value that doesn't change as the discount rate</t>
        </r>
      </text>
    </comment>
    <comment ref="I47" authorId="0" shapeId="0" xr:uid="{8AF279EB-EF4B-40EA-8A4B-B3F38B7B8836}">
      <text>
        <r>
          <rPr>
            <b/>
            <sz val="9"/>
            <color indexed="81"/>
            <rFont val="Tahoma"/>
            <family val="2"/>
          </rPr>
          <t>Emily Schmidt:</t>
        </r>
        <r>
          <rPr>
            <sz val="9"/>
            <color indexed="81"/>
            <rFont val="Tahoma"/>
            <family val="2"/>
          </rPr>
          <t xml:space="preserve">
Choose Ke where Ke and Equity value stop changing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Emily Schmidt</author>
    <author>tc={1BCD814D-91A1-4628-A640-32B612F05178}</author>
    <author>tc={9706122C-F4A7-4BD9-A5D5-E3404EDF2B49}</author>
    <author>tc={52228C07-FB40-41F4-948C-A8DC0B8B8D68}</author>
    <author>Schmidt, Emily</author>
  </authors>
  <commentList>
    <comment ref="G4" authorId="0" shapeId="0" xr:uid="{3F2A41C2-9AAC-4127-8E77-23A8B0124C7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 from Iteration(2) Tab</t>
        </r>
      </text>
    </comment>
    <comment ref="B6" authorId="1" shapeId="0" xr:uid="{6A5E58DB-2885-4B93-9F2E-D94480A5BA14}">
      <text>
        <r>
          <rPr>
            <b/>
            <sz val="9"/>
            <color indexed="81"/>
            <rFont val="Tahoma"/>
            <family val="2"/>
          </rPr>
          <t>Emily Schmidt:</t>
        </r>
        <r>
          <rPr>
            <sz val="9"/>
            <color indexed="81"/>
            <rFont val="Tahoma"/>
            <family val="2"/>
          </rPr>
          <t xml:space="preserve">
Ba = WdBd + WeBe --&gt;Be = (Ba - WdBd)/We</t>
        </r>
      </text>
    </comment>
    <comment ref="D6" authorId="0" shapeId="0" xr:uid="{FCD3163A-6575-477E-B86C-919F4D613193}">
      <text>
        <r>
          <rPr>
            <b/>
            <sz val="9"/>
            <color indexed="81"/>
            <rFont val="Tahoma"/>
            <family val="2"/>
          </rPr>
          <t xml:space="preserve">Author:
</t>
        </r>
        <r>
          <rPr>
            <sz val="9"/>
            <color indexed="81"/>
            <rFont val="Tahoma"/>
            <family val="2"/>
          </rPr>
          <t>Edited with new weights</t>
        </r>
      </text>
    </comment>
    <comment ref="D10" authorId="2" shapeId="0" xr:uid="{1BCD814D-91A1-4628-A640-32B612F05178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 up bond rating</t>
      </text>
    </comment>
    <comment ref="E10" authorId="3" shapeId="0" xr:uid="{9706122C-F4A7-4BD9-A5D5-E3404EDF2B49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 up bond rating</t>
      </text>
    </comment>
    <comment ref="D11" authorId="0" shapeId="0" xr:uid="{E152C51C-F021-4050-8C70-0A618162744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market cap</t>
        </r>
      </text>
    </comment>
    <comment ref="D12" authorId="0" shapeId="0" xr:uid="{612D5A99-5E7E-40C9-B5BD-5714D2D6720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yahoo finance</t>
        </r>
      </text>
    </comment>
    <comment ref="E25" authorId="4" shapeId="0" xr:uid="{52228C07-FB40-41F4-948C-A8DC0B8B8D68}">
      <text>
        <t>[Threaded comment]
Your version of Excel allows you to read this threaded comment; however, any edits to it will get removed if the file is opened in a newer version of Excel. Learn more: https://go.microsoft.com/fwlink/?linkid=870924
Comment:
    Margin is 35%, so COGS is 65% + 18% for SG&amp;A</t>
      </text>
    </comment>
    <comment ref="B32" authorId="1" shapeId="0" xr:uid="{52434E42-9958-4F94-8AA3-5E2C5C8030FD}">
      <text>
        <r>
          <rPr>
            <b/>
            <sz val="9"/>
            <color indexed="81"/>
            <rFont val="Tahoma"/>
            <family val="2"/>
          </rPr>
          <t>Emily Schmidt:</t>
        </r>
        <r>
          <rPr>
            <sz val="9"/>
            <color indexed="81"/>
            <rFont val="Tahoma"/>
            <family val="2"/>
          </rPr>
          <t xml:space="preserve">
NWC = current assets - current liabilities</t>
        </r>
      </text>
    </comment>
    <comment ref="B49" authorId="5" shapeId="0" xr:uid="{E26ECB39-19C4-4E22-9B71-65FA42B2A3F0}">
      <text>
        <r>
          <rPr>
            <sz val="11"/>
            <color theme="1"/>
            <rFont val="Aptos Narrow"/>
            <family val="2"/>
            <scheme val="minor"/>
          </rPr>
          <t>Schmidt, Emily:
FCF at t+1 PLUS value of all future cashflows, discounted to 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Emily Schmidt</author>
    <author>tc={6D35EAB6-14E5-4AD1-B7D5-6820E1670B66}</author>
    <author>tc={2F5535C8-2C3E-43C2-A64D-6C8D573D32DB}</author>
    <author>tc={270D6A12-564B-4537-AABF-F5DD7DA1827D}</author>
    <author>tc={C71EF333-73A8-446B-9F86-72B04CBDCE23}</author>
    <author>Schmidt, Emily</author>
  </authors>
  <commentList>
    <comment ref="G4" authorId="0" shapeId="0" xr:uid="{E3886981-C36B-4FFA-8425-C438251884F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 from Iteration(2) Tab</t>
        </r>
      </text>
    </comment>
    <comment ref="B6" authorId="1" shapeId="0" xr:uid="{ED9BDCCB-FE65-48F7-AB4B-11FC20A1CC00}">
      <text>
        <r>
          <rPr>
            <b/>
            <sz val="9"/>
            <color indexed="81"/>
            <rFont val="Tahoma"/>
            <family val="2"/>
          </rPr>
          <t>Emily Schmidt:</t>
        </r>
        <r>
          <rPr>
            <sz val="9"/>
            <color indexed="81"/>
            <rFont val="Tahoma"/>
            <family val="2"/>
          </rPr>
          <t xml:space="preserve">
Ba = WdBd + WeBe --&gt;Be = (Ba - WdBd)/We</t>
        </r>
      </text>
    </comment>
    <comment ref="D6" authorId="0" shapeId="0" xr:uid="{C5587B0D-453E-41D7-A39F-04F3A269C10A}">
      <text>
        <r>
          <rPr>
            <b/>
            <sz val="9"/>
            <color indexed="81"/>
            <rFont val="Tahoma"/>
            <family val="2"/>
          </rPr>
          <t xml:space="preserve">Author:
</t>
        </r>
        <r>
          <rPr>
            <sz val="9"/>
            <color indexed="81"/>
            <rFont val="Tahoma"/>
            <family val="2"/>
          </rPr>
          <t>Edited with new weights</t>
        </r>
      </text>
    </comment>
    <comment ref="D10" authorId="2" shapeId="0" xr:uid="{6D35EAB6-14E5-4AD1-B7D5-6820E1670B66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 up bond rating</t>
      </text>
    </comment>
    <comment ref="E10" authorId="3" shapeId="0" xr:uid="{2F5535C8-2C3E-43C2-A64D-6C8D573D32DB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 up bond rating</t>
      </text>
    </comment>
    <comment ref="D11" authorId="0" shapeId="0" xr:uid="{3E51300C-E1CA-41A2-BF9D-F66C6B20388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market cap</t>
        </r>
      </text>
    </comment>
    <comment ref="D12" authorId="0" shapeId="0" xr:uid="{4C12A9DC-0B2A-4751-B49B-263CD364F23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yahoo finance</t>
        </r>
      </text>
    </comment>
    <comment ref="E25" authorId="4" shapeId="0" xr:uid="{270D6A12-564B-4537-AABF-F5DD7DA1827D}">
      <text>
        <t>[Threaded comment]
Your version of Excel allows you to read this threaded comment; however, any edits to it will get removed if the file is opened in a newer version of Excel. Learn more: https://go.microsoft.com/fwlink/?linkid=870924
Comment:
    Margin is 35%, so COGS is 65% + 18% for SG&amp;A</t>
      </text>
    </comment>
    <comment ref="Q25" authorId="5" shapeId="0" xr:uid="{C71EF333-73A8-446B-9F86-72B04CBDCE23}">
      <text>
        <t>[Threaded comment]
Your version of Excel allows you to read this threaded comment; however, any edits to it will get removed if the file is opened in a newer version of Excel. Learn more: https://go.microsoft.com/fwlink/?linkid=870924
Comment:
    Margin is 35%, so COGS is 65% + 18% for SG&amp;A</t>
      </text>
    </comment>
    <comment ref="B32" authorId="1" shapeId="0" xr:uid="{DB9B28E6-D0D2-46C7-B4EF-FE1A528F64B6}">
      <text>
        <r>
          <rPr>
            <b/>
            <sz val="9"/>
            <color indexed="81"/>
            <rFont val="Tahoma"/>
            <family val="2"/>
          </rPr>
          <t>Emily Schmidt:</t>
        </r>
        <r>
          <rPr>
            <sz val="9"/>
            <color indexed="81"/>
            <rFont val="Tahoma"/>
            <family val="2"/>
          </rPr>
          <t xml:space="preserve">
NWC = current assets - current liabilities</t>
        </r>
      </text>
    </comment>
    <comment ref="N32" authorId="1" shapeId="0" xr:uid="{9D6BB7F2-A948-419D-B40F-5401CD7E190F}">
      <text>
        <r>
          <rPr>
            <b/>
            <sz val="9"/>
            <color indexed="81"/>
            <rFont val="Tahoma"/>
            <family val="2"/>
          </rPr>
          <t>Emily Schmidt:</t>
        </r>
        <r>
          <rPr>
            <sz val="9"/>
            <color indexed="81"/>
            <rFont val="Tahoma"/>
            <family val="2"/>
          </rPr>
          <t xml:space="preserve">
NWC = current assets - current liabilities</t>
        </r>
      </text>
    </comment>
    <comment ref="B49" authorId="6" shapeId="0" xr:uid="{7AFC7C9C-FF29-4A4F-8F73-C43F42DDCEF6}">
      <text>
        <r>
          <rPr>
            <sz val="11"/>
            <color theme="1"/>
            <rFont val="Aptos Narrow"/>
            <family val="2"/>
            <scheme val="minor"/>
          </rPr>
          <t>Schmidt, Emily:
FCF at t+1 PLUS value of all future cashflows, discounted to 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Emily Schmidt</author>
    <author>tc={74A6369F-2D78-4A87-8A43-CBB9AAEF715D}</author>
    <author>tc={732C79F6-D2D8-4AB3-B429-1F7EB24D3A6D}</author>
    <author>tc={A24F1161-872E-409F-A446-FB6F87323FFE}</author>
    <author>tc={2CD06B5A-7657-4CC1-8932-223261EE26CA}</author>
  </authors>
  <commentList>
    <comment ref="G4" authorId="0" shapeId="0" xr:uid="{778D3AFA-3E56-49D6-916F-634FBAED496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 from Iteration(2) Tab</t>
        </r>
      </text>
    </comment>
    <comment ref="B6" authorId="1" shapeId="0" xr:uid="{36031A1C-731A-4796-977A-6C02AA800D30}">
      <text>
        <r>
          <rPr>
            <b/>
            <sz val="9"/>
            <color indexed="81"/>
            <rFont val="Tahoma"/>
            <family val="2"/>
          </rPr>
          <t>Emily Schmidt:</t>
        </r>
        <r>
          <rPr>
            <sz val="9"/>
            <color indexed="81"/>
            <rFont val="Tahoma"/>
            <family val="2"/>
          </rPr>
          <t xml:space="preserve">
Ba = WdBd + WeBe --&gt;Be = (Ba - WdBd)/We</t>
        </r>
      </text>
    </comment>
    <comment ref="D6" authorId="0" shapeId="0" xr:uid="{1510FD29-01A7-41B8-A5D8-14408806B254}">
      <text>
        <r>
          <rPr>
            <b/>
            <sz val="9"/>
            <color indexed="81"/>
            <rFont val="Tahoma"/>
            <family val="2"/>
          </rPr>
          <t xml:space="preserve">Author:
</t>
        </r>
        <r>
          <rPr>
            <sz val="9"/>
            <color indexed="81"/>
            <rFont val="Tahoma"/>
            <family val="2"/>
          </rPr>
          <t>Edited with new weights</t>
        </r>
      </text>
    </comment>
    <comment ref="D10" authorId="2" shapeId="0" xr:uid="{74A6369F-2D78-4A87-8A43-CBB9AAEF715D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 up bond rating</t>
      </text>
    </comment>
    <comment ref="E10" authorId="3" shapeId="0" xr:uid="{732C79F6-D2D8-4AB3-B429-1F7EB24D3A6D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 up bond rating</t>
      </text>
    </comment>
    <comment ref="D11" authorId="0" shapeId="0" xr:uid="{40C54681-D9A8-407B-9110-ECD2D60B389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market cap</t>
        </r>
      </text>
    </comment>
    <comment ref="D12" authorId="0" shapeId="0" xr:uid="{4F5284B2-3A73-4208-9B4A-802FAF72F89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yahoo finance</t>
        </r>
      </text>
    </comment>
    <comment ref="E25" authorId="4" shapeId="0" xr:uid="{A24F1161-872E-409F-A446-FB6F87323FFE}">
      <text>
        <t>[Threaded comment]
Your version of Excel allows you to read this threaded comment; however, any edits to it will get removed if the file is opened in a newer version of Excel. Learn more: https://go.microsoft.com/fwlink/?linkid=870924
Comment:
    Margin is 35%, so COGS is 65% + 18% for SG&amp;A</t>
      </text>
    </comment>
    <comment ref="P25" authorId="5" shapeId="0" xr:uid="{2CD06B5A-7657-4CC1-8932-223261EE26CA}">
      <text>
        <t>[Threaded comment]
Your version of Excel allows you to read this threaded comment; however, any edits to it will get removed if the file is opened in a newer version of Excel. Learn more: https://go.microsoft.com/fwlink/?linkid=870924
Comment:
    Margin is 35%, so COGS is 65% + 18% for SG&amp;A</t>
      </text>
    </comment>
    <comment ref="B32" authorId="1" shapeId="0" xr:uid="{9F70D4AF-9A50-4877-9B2C-7D8DB77DD6D3}">
      <text>
        <r>
          <rPr>
            <b/>
            <sz val="9"/>
            <color indexed="81"/>
            <rFont val="Tahoma"/>
            <family val="2"/>
          </rPr>
          <t>Emily Schmidt:</t>
        </r>
        <r>
          <rPr>
            <sz val="9"/>
            <color indexed="81"/>
            <rFont val="Tahoma"/>
            <family val="2"/>
          </rPr>
          <t xml:space="preserve">
NWC = current assets - current liabilities</t>
        </r>
      </text>
    </comment>
    <comment ref="M32" authorId="1" shapeId="0" xr:uid="{5D6B7D50-C295-4F52-83DF-36B120EBFE94}">
      <text>
        <r>
          <rPr>
            <b/>
            <sz val="9"/>
            <color indexed="81"/>
            <rFont val="Tahoma"/>
            <family val="2"/>
          </rPr>
          <t>Emily Schmidt:</t>
        </r>
        <r>
          <rPr>
            <sz val="9"/>
            <color indexed="81"/>
            <rFont val="Tahoma"/>
            <family val="2"/>
          </rPr>
          <t xml:space="preserve">
NWC = current assets - current liabilities</t>
        </r>
      </text>
    </comment>
  </commentList>
</comments>
</file>

<file path=xl/sharedStrings.xml><?xml version="1.0" encoding="utf-8"?>
<sst xmlns="http://schemas.openxmlformats.org/spreadsheetml/2006/main" count="594" uniqueCount="239">
  <si>
    <t>Functional Area</t>
  </si>
  <si>
    <t>Reason</t>
  </si>
  <si>
    <t>Impact on FCF</t>
  </si>
  <si>
    <t>Systemic Risks</t>
  </si>
  <si>
    <t>Non-Systemic Risks</t>
  </si>
  <si>
    <t>IT &amp; Systems</t>
  </si>
  <si>
    <t>Cybersecurity, IT Systems</t>
  </si>
  <si>
    <t>Procurement</t>
  </si>
  <si>
    <t>Vendor Management, Contracts, Sourcing</t>
  </si>
  <si>
    <t>Finance</t>
  </si>
  <si>
    <t>Budgeting, Debt/Equity Ratio, pay later</t>
  </si>
  <si>
    <t>FCF= EBIT (1-T) + Depreciation - CAPEX - Increase in Net Working Capital
1) Paying third party later will increase net working capital (NWC = Cash + Inventory + Recievable = Payable)
2) Advertise certificates to commericial clients to increase revenue (/EBIT)
3) Utilize CAPEX  to reduce T</t>
  </si>
  <si>
    <t>Increase debt for capital expenditure will change WACC (WACC = E/(E+D)*re + D/(E+D)"rd*(1-T) 
This will change NPV</t>
  </si>
  <si>
    <t>Competitors also get certificates and we can not enjoy the growth. Government decided to obligate the certification not allowing additional price for the contracts.</t>
  </si>
  <si>
    <t>HR</t>
  </si>
  <si>
    <t>Training related issues (ie. not enough cyber security human resource in the market, salary increase)</t>
  </si>
  <si>
    <t xml:space="preserve">FCF= EBIT (1-T) + Depreciation - CAPEX - Increase in Net Working Capital
1) Cost overrun of training and/or hiring
2) Salary increse over the years </t>
  </si>
  <si>
    <t>talent scarcity</t>
  </si>
  <si>
    <t>Lack of resouorce leads to failure of getting a certificate or security incidents.</t>
  </si>
  <si>
    <t>https://www.mxdusa.org/news/6-cmmc-tips-choosing-a-third-party-assessor-c3pao/#:~:text=There%20are%20an%20estimated%20118%2C000,C3PAO%20may%20not%20be%20easy.</t>
  </si>
  <si>
    <t>Value</t>
  </si>
  <si>
    <t>Formula</t>
  </si>
  <si>
    <t>Notes</t>
  </si>
  <si>
    <t>Expected Base Revenue</t>
  </si>
  <si>
    <t>Revenues from Investment</t>
  </si>
  <si>
    <t>CAGR</t>
  </si>
  <si>
    <t>Based on average industry revenue growth over the past 4 years</t>
  </si>
  <si>
    <t>Perpetual Growth Rate</t>
  </si>
  <si>
    <t>Gross Margin</t>
  </si>
  <si>
    <t>Gross Margin of Project</t>
  </si>
  <si>
    <t>Essentially the same, given increases in revenue and expenses</t>
  </si>
  <si>
    <t>Investment</t>
  </si>
  <si>
    <t>Tax Rate</t>
  </si>
  <si>
    <t>Depreciation</t>
  </si>
  <si>
    <t>Initial Investment</t>
  </si>
  <si>
    <t>Cost Type</t>
  </si>
  <si>
    <t>Variable Amt.</t>
  </si>
  <si>
    <t>Average Cost</t>
  </si>
  <si>
    <t>Source</t>
  </si>
  <si>
    <t>Yearly</t>
  </si>
  <si>
    <t>Revenues</t>
  </si>
  <si>
    <t>Year 4</t>
  </si>
  <si>
    <t>Year 3</t>
  </si>
  <si>
    <t>Year 2</t>
  </si>
  <si>
    <t>Year 1</t>
  </si>
  <si>
    <t>Growth Rate</t>
  </si>
  <si>
    <t>Formulas</t>
  </si>
  <si>
    <t>Average</t>
  </si>
  <si>
    <t>Average of our comps</t>
  </si>
  <si>
    <t>Average Year over Year Change</t>
  </si>
  <si>
    <t>Year 3-4</t>
  </si>
  <si>
    <t>Year 2-3</t>
  </si>
  <si>
    <t>Year 1 - 2</t>
  </si>
  <si>
    <t>Credit Rating Agency</t>
  </si>
  <si>
    <t>Average Yield</t>
  </si>
  <si>
    <t>https://ycharts.com/indicators/us_corporate_a_effective_yield</t>
  </si>
  <si>
    <t>A</t>
  </si>
  <si>
    <t>Comps</t>
  </si>
  <si>
    <t>Long Term Ratings</t>
  </si>
  <si>
    <t>S&amp;P</t>
  </si>
  <si>
    <t>BBB</t>
  </si>
  <si>
    <t>from 10-k</t>
  </si>
  <si>
    <t>Be</t>
  </si>
  <si>
    <t>Net Debt</t>
  </si>
  <si>
    <t>Market Cap</t>
  </si>
  <si>
    <t>D/E</t>
  </si>
  <si>
    <t>D/V</t>
  </si>
  <si>
    <t>E/V</t>
  </si>
  <si>
    <t>S&amp;P Bond Rating</t>
  </si>
  <si>
    <t>YTM</t>
  </si>
  <si>
    <t>Bd</t>
  </si>
  <si>
    <t>Ba (or Bu)</t>
  </si>
  <si>
    <t>~5%</t>
  </si>
  <si>
    <t>Company</t>
  </si>
  <si>
    <t>ITERATION: CURRENT WEIGHTS</t>
  </si>
  <si>
    <t>Assumptions</t>
  </si>
  <si>
    <t>Initial investments</t>
  </si>
  <si>
    <t>Weight</t>
  </si>
  <si>
    <t>Rf</t>
  </si>
  <si>
    <t>from investing.com</t>
  </si>
  <si>
    <t>Equity</t>
  </si>
  <si>
    <t>E(Rm)</t>
  </si>
  <si>
    <t>https://pages.stern.nyu.edu/~adamodar/New_Home_Page/datafile/histretSP.html?utm</t>
  </si>
  <si>
    <t>Debt</t>
  </si>
  <si>
    <t>MRP</t>
  </si>
  <si>
    <t>Equity free cash flow</t>
  </si>
  <si>
    <t>&lt;First year perpetuity FCFE</t>
  </si>
  <si>
    <t>Ke</t>
  </si>
  <si>
    <t>Equity value</t>
  </si>
  <si>
    <t>&lt;value at FY2031</t>
  </si>
  <si>
    <t>Book weights</t>
  </si>
  <si>
    <t>Iteration #1</t>
  </si>
  <si>
    <t>Iteration #2</t>
  </si>
  <si>
    <t>Iteration #3</t>
  </si>
  <si>
    <t>Iteration #4</t>
  </si>
  <si>
    <t>Iteration #5</t>
  </si>
  <si>
    <t>Iteration #6</t>
  </si>
  <si>
    <t>Iteration #7</t>
  </si>
  <si>
    <t>Iteration #8</t>
  </si>
  <si>
    <t>Iteration #9</t>
  </si>
  <si>
    <t>Iteration #10</t>
  </si>
  <si>
    <t>ITERATION: INVERSE WEIGHTS</t>
  </si>
  <si>
    <t>Inverse Weights</t>
  </si>
  <si>
    <t>DCF Model</t>
  </si>
  <si>
    <t>Equity Beta</t>
  </si>
  <si>
    <t>We</t>
  </si>
  <si>
    <t>Market risk premium</t>
  </si>
  <si>
    <t>Wd</t>
  </si>
  <si>
    <t>Risk free rate</t>
  </si>
  <si>
    <t>Salvage Value</t>
  </si>
  <si>
    <t>Cost of equity</t>
  </si>
  <si>
    <t>Cost of debt</t>
  </si>
  <si>
    <t>Market value of equity</t>
  </si>
  <si>
    <t>https://finance.yahoo.com/quote/ROK/</t>
  </si>
  <si>
    <t>Net debt</t>
  </si>
  <si>
    <t>https://finance.yahoo.com/quote/ROK/balance-sheet/</t>
  </si>
  <si>
    <t>WACC</t>
  </si>
  <si>
    <t>Upfront investment</t>
  </si>
  <si>
    <t>Today's date</t>
  </si>
  <si>
    <t>Fiscal Year End</t>
  </si>
  <si>
    <t>Option: Continue</t>
  </si>
  <si>
    <t xml:space="preserve">Perpetuity Begins </t>
  </si>
  <si>
    <t>Discounted Cash Flow</t>
  </si>
  <si>
    <t>Startup</t>
  </si>
  <si>
    <t>Date</t>
  </si>
  <si>
    <t>Time Periods</t>
  </si>
  <si>
    <t>Year Fraction</t>
  </si>
  <si>
    <t>Revenue</t>
  </si>
  <si>
    <t>Expenses</t>
  </si>
  <si>
    <t>EBIT</t>
  </si>
  <si>
    <t>Less: Taxes</t>
  </si>
  <si>
    <t>Plus: D&amp;A</t>
  </si>
  <si>
    <t>Plus: Inc in deferred taxes</t>
  </si>
  <si>
    <t>Less: Capex</t>
  </si>
  <si>
    <t>Less: Changes in NWC</t>
  </si>
  <si>
    <t>Unlevered FCF</t>
  </si>
  <si>
    <t>Terminal Value</t>
  </si>
  <si>
    <t>FCFF_31 Only &gt;</t>
  </si>
  <si>
    <t>&lt;total fcf 33</t>
  </si>
  <si>
    <t>Net Present Value of FCFF</t>
  </si>
  <si>
    <t>Net Working Capital Forecast</t>
  </si>
  <si>
    <t>Cash Requirements</t>
  </si>
  <si>
    <t>PLUS: Inventory</t>
  </si>
  <si>
    <t>Net Working Capital</t>
  </si>
  <si>
    <t>Increases in NWC</t>
  </si>
  <si>
    <t>Receivables % of Sales</t>
  </si>
  <si>
    <t>Payables % of COGS</t>
  </si>
  <si>
    <t>Levered Value @ WACC</t>
  </si>
  <si>
    <t>Debt Capacity @ Wd</t>
  </si>
  <si>
    <t>LESS: After-Tax Interest Expense</t>
  </si>
  <si>
    <t>PLUS: Net Borrowing</t>
  </si>
  <si>
    <t>Equity/Levered FCF</t>
  </si>
  <si>
    <t>NPV of FCFE</t>
  </si>
  <si>
    <t>&lt;Should be 0</t>
  </si>
  <si>
    <t>Re</t>
  </si>
  <si>
    <t>Example from textbook</t>
  </si>
  <si>
    <t>Year 0</t>
  </si>
  <si>
    <t>Equity Value of Perp @ T = 2031</t>
  </si>
  <si>
    <t>Equity Value of Perp @ T = 2025</t>
  </si>
  <si>
    <t>Levered Value @7.25% WACC</t>
  </si>
  <si>
    <t>Debt Capacity @ d=50%</t>
  </si>
  <si>
    <t>LESS After Tax Expense, @ t = 25% and cost of d = 6%</t>
  </si>
  <si>
    <t>FCFE</t>
  </si>
  <si>
    <t>NPV of FCFF</t>
  </si>
  <si>
    <t>Option: Abandon in FY27</t>
  </si>
  <si>
    <t>Net Present Value</t>
  </si>
  <si>
    <t>PLUS: Receivables @ x% of Sales</t>
  </si>
  <si>
    <t>LESS: Payables @ x% of COGs</t>
  </si>
  <si>
    <t>Check to NPV FCFF</t>
  </si>
  <si>
    <t>&lt;want to see 0</t>
  </si>
  <si>
    <t>Continue</t>
  </si>
  <si>
    <t>Abandon in FY27</t>
  </si>
  <si>
    <t>Expected Value (Abandonment Option)</t>
  </si>
  <si>
    <t>Expected Value (Only Continue)</t>
  </si>
  <si>
    <t>Value of Abandonment</t>
  </si>
  <si>
    <t>Receivables</t>
  </si>
  <si>
    <t>Category</t>
  </si>
  <si>
    <t>Cost Item</t>
  </si>
  <si>
    <t>Low Estimate ($)</t>
  </si>
  <si>
    <t>High Estimate ($)</t>
  </si>
  <si>
    <t>Core Product Development</t>
  </si>
  <si>
    <t>Engineering labor (frontend + backend developers)</t>
  </si>
  <si>
    <t>One-time</t>
  </si>
  <si>
    <t>UI/UX design</t>
  </si>
  <si>
    <t>Product management / project management</t>
  </si>
  <si>
    <t>QA / testing</t>
  </si>
  <si>
    <t>Third-party integrations (chat APIs, SDKs setup)</t>
  </si>
  <si>
    <t>DevOps / deployment setup</t>
  </si>
  <si>
    <t>Backend Infrastructure</t>
  </si>
  <si>
    <t>Initial cloud setup + first-year hosting</t>
  </si>
  <si>
    <t>Messaging APIs (initial usage + setup)</t>
  </si>
  <si>
    <t>Data storage &amp; pipeline setup</t>
  </si>
  <si>
    <t>AI / Chatbot Layer</t>
  </si>
  <si>
    <t>NLP chatbot development</t>
  </si>
  <si>
    <t>Initial AI model setup / first-year usage</t>
  </si>
  <si>
    <t>Customer Support</t>
  </si>
  <si>
    <t>Initial outsourced support (first 3–6 months ramp)</t>
  </si>
  <si>
    <t>Software Tools</t>
  </si>
  <si>
    <t>CRM / help desk setup + first-year licenses</t>
  </si>
  <si>
    <t>Analytics / dashboard tools setup</t>
  </si>
  <si>
    <t>Marketing &amp; Acquisition</t>
  </si>
  <si>
    <t>Website / landing page</t>
  </si>
  <si>
    <t>Initial launch marketing spend</t>
  </si>
  <si>
    <t>Legal &amp; Admin</t>
  </si>
  <si>
    <t>Business incorporation</t>
  </si>
  <si>
    <t>Privacy, compliance, and data security setup</t>
  </si>
  <si>
    <t>Contracts &amp; legal support</t>
  </si>
  <si>
    <t>Yearly Revenues from Investment</t>
  </si>
  <si>
    <t>Reasonable estimate, less than GDP growth</t>
  </si>
  <si>
    <t>Would use actual*</t>
  </si>
  <si>
    <t>Avg Industry Tax Rate</t>
  </si>
  <si>
    <t>Average Industry Gross Margin</t>
  </si>
  <si>
    <t>Avg Industry CAGR</t>
  </si>
  <si>
    <t>Probabilities based on AB testing?</t>
  </si>
  <si>
    <t>Amazon</t>
  </si>
  <si>
    <t>Walmart</t>
  </si>
  <si>
    <t>Amazon.com, Inc. (AMZN) Income Statement - Yahoo Finance</t>
  </si>
  <si>
    <t>Alibaba</t>
  </si>
  <si>
    <t>Walmart Inc. (WMT) Income Statement - Yahoo Finance</t>
  </si>
  <si>
    <t>Gross Profit</t>
  </si>
  <si>
    <t>GM</t>
  </si>
  <si>
    <t>Tax</t>
  </si>
  <si>
    <t>AliBaba</t>
  </si>
  <si>
    <t>AA</t>
  </si>
  <si>
    <t>Finch</t>
  </si>
  <si>
    <t>https://ycharts.com/indicators/us_corporate_aa_effective_yield</t>
  </si>
  <si>
    <t>Walmart 2025 Annual Report</t>
  </si>
  <si>
    <t>Amazon's tax bill plunges after GOP tax cuts - POLITICO</t>
  </si>
  <si>
    <t>https://www.financecharts.com/stocks/BABA/income-statement/tax-rate</t>
  </si>
  <si>
    <t>Alibaba Group Holding Limited (BABA) Income Statement - Yahoo Finance</t>
  </si>
  <si>
    <t>Alibaba Group Holding Limited (BABA) Stock Price, News, Quote &amp; History - Yahoo Finance</t>
  </si>
  <si>
    <t>Amazon.com, Inc. (AMZN) Stock Price, News, Quote &amp; History - Yahoo Finance</t>
  </si>
  <si>
    <t>Taking industry average</t>
  </si>
  <si>
    <t>Amazon.com, Inc. - 10K - Annual Report - February 6, 2026</t>
  </si>
  <si>
    <t>Alibaba Group Holding Limited (BABA) Balance Sheet - Yahoo Finance</t>
  </si>
  <si>
    <t>Payables</t>
  </si>
  <si>
    <t>COGS</t>
  </si>
  <si>
    <t>Scenario 1: Retention Increases</t>
  </si>
  <si>
    <t>Scenario 2: Retention Remains the Same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</si>
</sst>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_-* #,##0_-;\(#,##0\)_-;_-* &quot;-&quot;_-;_-@_-"/>
    <numFmt numFmtId="166" formatCode="_(* #,##0_);_(* \(#,##0\);_(* &quot;-&quot;??_);_(@_)"/>
    <numFmt numFmtId="167" formatCode="0.0%"/>
    <numFmt numFmtId="168" formatCode="_-* #,##0.000_-;\(#,##0.000\)_-;_-* &quot;-&quot;_-;_-@_-"/>
    <numFmt numFmtId="169" formatCode="0.0000000"/>
    <numFmt numFmtId="170" formatCode="_-* #,##0.00_-;\(#,##0.00\)_-;_-* &quot;-&quot;_-;_-@_-"/>
  </numFmts>
  <fonts count="2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theme="0"/>
      <name val="Open Sans"/>
      <family val="2"/>
    </font>
    <font>
      <sz val="12"/>
      <color theme="1"/>
      <name val="Open Sans"/>
      <family val="2"/>
    </font>
    <font>
      <b/>
      <sz val="10"/>
      <color theme="0"/>
      <name val="Open Sans"/>
      <family val="2"/>
    </font>
    <font>
      <b/>
      <sz val="11"/>
      <color theme="0"/>
      <name val="Open Sans"/>
      <family val="2"/>
    </font>
    <font>
      <sz val="10"/>
      <color theme="1"/>
      <name val="Open Sans"/>
      <family val="2"/>
    </font>
    <font>
      <b/>
      <sz val="10"/>
      <color theme="1"/>
      <name val="Open Sans"/>
      <family val="2"/>
    </font>
    <font>
      <sz val="10"/>
      <color rgb="FF0000FF"/>
      <name val="Open Sans"/>
      <family val="2"/>
    </font>
    <font>
      <sz val="10"/>
      <name val="Open Sans"/>
      <family val="2"/>
    </font>
    <font>
      <sz val="12"/>
      <color theme="1"/>
      <name val="Arial Narrow"/>
      <family val="2"/>
    </font>
    <font>
      <i/>
      <sz val="10"/>
      <color theme="1"/>
      <name val="Open Sans"/>
      <family val="2"/>
    </font>
    <font>
      <i/>
      <sz val="10"/>
      <color rgb="FF0000FF"/>
      <name val="Open Sans"/>
      <family val="2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color rgb="FF000000"/>
      <name val="Times New Roman"/>
      <family val="1"/>
    </font>
    <font>
      <strike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132E57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58">
    <xf numFmtId="0" fontId="0" fillId="0" borderId="0" xfId="0"/>
    <xf numFmtId="0" fontId="1" fillId="0" borderId="0" xfId="0" applyFont="1"/>
    <xf numFmtId="44" fontId="0" fillId="0" borderId="0" xfId="2" applyFont="1"/>
    <xf numFmtId="0" fontId="3" fillId="0" borderId="0" xfId="4"/>
    <xf numFmtId="2" fontId="0" fillId="0" borderId="0" xfId="2" applyNumberFormat="1" applyFont="1"/>
    <xf numFmtId="0" fontId="3" fillId="0" borderId="0" xfId="4" applyAlignment="1"/>
    <xf numFmtId="44" fontId="1" fillId="0" borderId="0" xfId="2" applyFont="1"/>
    <xf numFmtId="44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43" fontId="0" fillId="0" borderId="0" xfId="0" applyNumberFormat="1"/>
    <xf numFmtId="0" fontId="3" fillId="0" borderId="0" xfId="4" applyFill="1"/>
    <xf numFmtId="164" fontId="0" fillId="0" borderId="0" xfId="0" applyNumberFormat="1"/>
    <xf numFmtId="164" fontId="1" fillId="0" borderId="0" xfId="0" applyNumberFormat="1" applyFont="1"/>
    <xf numFmtId="165" fontId="6" fillId="3" borderId="0" xfId="1" applyNumberFormat="1" applyFont="1" applyFill="1"/>
    <xf numFmtId="165" fontId="7" fillId="3" borderId="0" xfId="1" applyNumberFormat="1" applyFont="1" applyFill="1"/>
    <xf numFmtId="165" fontId="7" fillId="3" borderId="0" xfId="1" applyNumberFormat="1" applyFont="1" applyFill="1" applyAlignment="1">
      <alignment horizontal="center"/>
    </xf>
    <xf numFmtId="0" fontId="8" fillId="3" borderId="0" xfId="0" applyFont="1" applyFill="1" applyAlignment="1">
      <alignment vertical="center"/>
    </xf>
    <xf numFmtId="0" fontId="9" fillId="3" borderId="0" xfId="0" applyFont="1" applyFill="1"/>
    <xf numFmtId="165" fontId="10" fillId="0" borderId="0" xfId="1" applyNumberFormat="1" applyFont="1"/>
    <xf numFmtId="165" fontId="11" fillId="0" borderId="0" xfId="1" applyNumberFormat="1" applyFont="1"/>
    <xf numFmtId="165" fontId="10" fillId="0" borderId="0" xfId="1" applyNumberFormat="1" applyFont="1" applyAlignment="1">
      <alignment horizontal="center"/>
    </xf>
    <xf numFmtId="165" fontId="12" fillId="0" borderId="0" xfId="1" applyNumberFormat="1" applyFont="1"/>
    <xf numFmtId="165" fontId="8" fillId="4" borderId="0" xfId="1" applyNumberFormat="1" applyFont="1" applyFill="1" applyBorder="1"/>
    <xf numFmtId="165" fontId="12" fillId="4" borderId="0" xfId="1" applyNumberFormat="1" applyFont="1" applyFill="1" applyBorder="1"/>
    <xf numFmtId="165" fontId="13" fillId="0" borderId="0" xfId="1" applyNumberFormat="1" applyFont="1" applyBorder="1"/>
    <xf numFmtId="165" fontId="12" fillId="0" borderId="0" xfId="1" applyNumberFormat="1" applyFont="1" applyBorder="1"/>
    <xf numFmtId="165" fontId="13" fillId="0" borderId="0" xfId="1" applyNumberFormat="1" applyFont="1"/>
    <xf numFmtId="14" fontId="12" fillId="0" borderId="0" xfId="1" applyNumberFormat="1" applyFont="1"/>
    <xf numFmtId="165" fontId="14" fillId="0" borderId="0" xfId="1" applyNumberFormat="1" applyFont="1"/>
    <xf numFmtId="1" fontId="8" fillId="4" borderId="0" xfId="1" applyNumberFormat="1" applyFont="1" applyFill="1" applyBorder="1"/>
    <xf numFmtId="165" fontId="10" fillId="0" borderId="0" xfId="1" applyNumberFormat="1" applyFont="1" applyBorder="1"/>
    <xf numFmtId="14" fontId="15" fillId="0" borderId="0" xfId="1" applyNumberFormat="1" applyFont="1" applyBorder="1"/>
    <xf numFmtId="14" fontId="15" fillId="0" borderId="0" xfId="1" applyNumberFormat="1" applyFont="1" applyFill="1" applyBorder="1"/>
    <xf numFmtId="165" fontId="15" fillId="0" borderId="0" xfId="1" applyNumberFormat="1" applyFont="1" applyBorder="1"/>
    <xf numFmtId="1" fontId="16" fillId="0" borderId="0" xfId="1" applyNumberFormat="1" applyFont="1"/>
    <xf numFmtId="1" fontId="15" fillId="0" borderId="0" xfId="1" applyNumberFormat="1" applyFont="1"/>
    <xf numFmtId="165" fontId="15" fillId="0" borderId="0" xfId="1" applyNumberFormat="1" applyFont="1"/>
    <xf numFmtId="43" fontId="15" fillId="0" borderId="0" xfId="1" applyFont="1" applyBorder="1"/>
    <xf numFmtId="165" fontId="10" fillId="0" borderId="4" xfId="1" applyNumberFormat="1" applyFont="1" applyBorder="1"/>
    <xf numFmtId="166" fontId="10" fillId="0" borderId="0" xfId="1" applyNumberFormat="1" applyFont="1"/>
    <xf numFmtId="166" fontId="12" fillId="0" borderId="0" xfId="1" applyNumberFormat="1" applyFont="1"/>
    <xf numFmtId="165" fontId="10" fillId="0" borderId="0" xfId="1" applyNumberFormat="1" applyFont="1" applyFill="1"/>
    <xf numFmtId="165" fontId="10" fillId="0" borderId="1" xfId="1" applyNumberFormat="1" applyFont="1" applyBorder="1"/>
    <xf numFmtId="165" fontId="10" fillId="0" borderId="0" xfId="1" applyNumberFormat="1" applyFont="1" applyAlignment="1">
      <alignment horizontal="left" indent="5"/>
    </xf>
    <xf numFmtId="165" fontId="14" fillId="0" borderId="0" xfId="1" applyNumberFormat="1" applyFont="1" applyAlignment="1">
      <alignment horizontal="center"/>
    </xf>
    <xf numFmtId="9" fontId="0" fillId="0" borderId="0" xfId="0" applyNumberFormat="1"/>
    <xf numFmtId="2" fontId="12" fillId="0" borderId="5" xfId="3" applyNumberFormat="1" applyFont="1" applyBorder="1" applyAlignment="1">
      <alignment horizontal="right"/>
    </xf>
    <xf numFmtId="10" fontId="12" fillId="0" borderId="5" xfId="3" applyNumberFormat="1" applyFont="1" applyBorder="1" applyAlignment="1">
      <alignment horizontal="right"/>
    </xf>
    <xf numFmtId="167" fontId="10" fillId="0" borderId="0" xfId="3" applyNumberFormat="1" applyFont="1"/>
    <xf numFmtId="10" fontId="10" fillId="0" borderId="0" xfId="3" applyNumberFormat="1" applyFont="1"/>
    <xf numFmtId="9" fontId="10" fillId="0" borderId="0" xfId="3" applyFont="1"/>
    <xf numFmtId="165" fontId="3" fillId="0" borderId="0" xfId="4" applyNumberFormat="1"/>
    <xf numFmtId="168" fontId="12" fillId="0" borderId="0" xfId="1" applyNumberFormat="1" applyFont="1"/>
    <xf numFmtId="44" fontId="12" fillId="0" borderId="3" xfId="2" applyFont="1" applyBorder="1" applyAlignment="1">
      <alignment horizontal="right"/>
    </xf>
    <xf numFmtId="165" fontId="10" fillId="0" borderId="0" xfId="1" applyNumberFormat="1" applyFont="1" applyAlignment="1">
      <alignment vertical="top" wrapText="1"/>
    </xf>
    <xf numFmtId="165" fontId="14" fillId="0" borderId="2" xfId="1" applyNumberFormat="1" applyFont="1" applyBorder="1"/>
    <xf numFmtId="165" fontId="12" fillId="0" borderId="4" xfId="1" applyNumberFormat="1" applyFont="1" applyFill="1" applyBorder="1"/>
    <xf numFmtId="43" fontId="15" fillId="0" borderId="0" xfId="1" applyFont="1" applyFill="1" applyBorder="1"/>
    <xf numFmtId="10" fontId="12" fillId="0" borderId="6" xfId="3" applyNumberFormat="1" applyFont="1" applyFill="1" applyBorder="1" applyAlignment="1">
      <alignment horizontal="right"/>
    </xf>
    <xf numFmtId="10" fontId="12" fillId="0" borderId="5" xfId="3" applyNumberFormat="1" applyFont="1" applyFill="1" applyBorder="1" applyAlignment="1">
      <alignment horizontal="right"/>
    </xf>
    <xf numFmtId="9" fontId="10" fillId="0" borderId="0" xfId="3" applyFont="1" applyFill="1"/>
    <xf numFmtId="2" fontId="10" fillId="0" borderId="0" xfId="2" applyNumberFormat="1" applyFont="1"/>
    <xf numFmtId="0" fontId="19" fillId="0" borderId="0" xfId="0" applyFont="1"/>
    <xf numFmtId="10" fontId="3" fillId="0" borderId="5" xfId="4" applyNumberFormat="1" applyBorder="1" applyAlignment="1">
      <alignment horizontal="left"/>
    </xf>
    <xf numFmtId="3" fontId="0" fillId="0" borderId="0" xfId="0" applyNumberFormat="1"/>
    <xf numFmtId="3" fontId="1" fillId="0" borderId="0" xfId="0" applyNumberFormat="1" applyFont="1"/>
    <xf numFmtId="169" fontId="0" fillId="0" borderId="0" xfId="0" applyNumberFormat="1"/>
    <xf numFmtId="167" fontId="0" fillId="0" borderId="0" xfId="3" applyNumberFormat="1" applyFont="1"/>
    <xf numFmtId="0" fontId="0" fillId="0" borderId="0" xfId="0" applyAlignment="1">
      <alignment vertical="top"/>
    </xf>
    <xf numFmtId="44" fontId="0" fillId="0" borderId="0" xfId="2" applyFont="1" applyAlignment="1">
      <alignment vertical="top"/>
    </xf>
    <xf numFmtId="10" fontId="0" fillId="0" borderId="0" xfId="3" applyNumberFormat="1" applyFont="1" applyAlignment="1">
      <alignment vertical="top"/>
    </xf>
    <xf numFmtId="10" fontId="0" fillId="0" borderId="0" xfId="0" applyNumberFormat="1" applyAlignment="1">
      <alignment vertical="top"/>
    </xf>
    <xf numFmtId="44" fontId="0" fillId="0" borderId="0" xfId="0" applyNumberFormat="1" applyAlignment="1">
      <alignment vertical="top"/>
    </xf>
    <xf numFmtId="0" fontId="1" fillId="0" borderId="0" xfId="0" applyFont="1" applyAlignment="1">
      <alignment vertical="top"/>
    </xf>
    <xf numFmtId="0" fontId="20" fillId="0" borderId="0" xfId="0" applyFont="1"/>
    <xf numFmtId="44" fontId="20" fillId="0" borderId="0" xfId="0" applyNumberFormat="1" applyFont="1"/>
    <xf numFmtId="0" fontId="18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/>
    <xf numFmtId="44" fontId="0" fillId="0" borderId="1" xfId="2" applyFont="1" applyFill="1" applyBorder="1"/>
    <xf numFmtId="0" fontId="0" fillId="0" borderId="1" xfId="0" applyBorder="1"/>
    <xf numFmtId="0" fontId="1" fillId="0" borderId="3" xfId="0" applyFont="1" applyBorder="1" applyAlignment="1">
      <alignment horizontal="center"/>
    </xf>
    <xf numFmtId="0" fontId="0" fillId="0" borderId="8" xfId="0" applyBorder="1"/>
    <xf numFmtId="164" fontId="0" fillId="0" borderId="6" xfId="0" applyNumberFormat="1" applyBorder="1"/>
    <xf numFmtId="164" fontId="1" fillId="2" borderId="7" xfId="0" applyNumberFormat="1" applyFont="1" applyFill="1" applyBorder="1"/>
    <xf numFmtId="165" fontId="14" fillId="0" borderId="0" xfId="1" applyNumberFormat="1" applyFont="1" applyFill="1"/>
    <xf numFmtId="165" fontId="10" fillId="0" borderId="7" xfId="1" applyNumberFormat="1" applyFont="1" applyBorder="1"/>
    <xf numFmtId="10" fontId="0" fillId="0" borderId="1" xfId="0" applyNumberFormat="1" applyBorder="1"/>
    <xf numFmtId="43" fontId="0" fillId="0" borderId="1" xfId="0" applyNumberFormat="1" applyBorder="1"/>
    <xf numFmtId="164" fontId="1" fillId="2" borderId="1" xfId="0" applyNumberFormat="1" applyFont="1" applyFill="1" applyBorder="1"/>
    <xf numFmtId="9" fontId="0" fillId="0" borderId="0" xfId="0" applyNumberFormat="1" applyAlignment="1">
      <alignment vertical="top"/>
    </xf>
    <xf numFmtId="165" fontId="11" fillId="0" borderId="0" xfId="1" applyNumberFormat="1" applyFont="1" applyFill="1"/>
    <xf numFmtId="165" fontId="10" fillId="0" borderId="1" xfId="1" applyNumberFormat="1" applyFont="1" applyFill="1" applyBorder="1"/>
    <xf numFmtId="44" fontId="0" fillId="0" borderId="0" xfId="2" applyFont="1" applyFill="1"/>
    <xf numFmtId="2" fontId="0" fillId="0" borderId="0" xfId="2" applyNumberFormat="1" applyFont="1" applyFill="1"/>
    <xf numFmtId="0" fontId="3" fillId="0" borderId="0" xfId="4" applyFill="1" applyAlignment="1"/>
    <xf numFmtId="165" fontId="12" fillId="0" borderId="0" xfId="1" applyNumberFormat="1" applyFont="1" applyFill="1"/>
    <xf numFmtId="170" fontId="10" fillId="0" borderId="0" xfId="1" applyNumberFormat="1" applyFont="1"/>
    <xf numFmtId="165" fontId="10" fillId="0" borderId="9" xfId="1" applyNumberFormat="1" applyFont="1" applyBorder="1"/>
    <xf numFmtId="165" fontId="10" fillId="0" borderId="9" xfId="1" applyNumberFormat="1" applyFont="1" applyBorder="1" applyAlignment="1">
      <alignment horizontal="center"/>
    </xf>
    <xf numFmtId="44" fontId="0" fillId="0" borderId="0" xfId="2" applyFont="1" applyBorder="1"/>
    <xf numFmtId="168" fontId="10" fillId="0" borderId="0" xfId="1" applyNumberFormat="1" applyFont="1"/>
    <xf numFmtId="165" fontId="10" fillId="5" borderId="0" xfId="1" applyNumberFormat="1" applyFont="1" applyFill="1"/>
    <xf numFmtId="165" fontId="10" fillId="5" borderId="0" xfId="1" applyNumberFormat="1" applyFont="1" applyFill="1" applyAlignment="1">
      <alignment horizontal="center"/>
    </xf>
    <xf numFmtId="165" fontId="14" fillId="5" borderId="0" xfId="1" applyNumberFormat="1" applyFont="1" applyFill="1"/>
    <xf numFmtId="165" fontId="14" fillId="5" borderId="0" xfId="1" applyNumberFormat="1" applyFont="1" applyFill="1" applyAlignment="1">
      <alignment horizontal="center"/>
    </xf>
    <xf numFmtId="170" fontId="10" fillId="5" borderId="0" xfId="1" applyNumberFormat="1" applyFont="1" applyFill="1"/>
    <xf numFmtId="170" fontId="14" fillId="5" borderId="0" xfId="1" applyNumberFormat="1" applyFont="1" applyFill="1"/>
    <xf numFmtId="170" fontId="14" fillId="5" borderId="0" xfId="1" applyNumberFormat="1" applyFont="1" applyFill="1" applyAlignment="1">
      <alignment horizontal="center"/>
    </xf>
    <xf numFmtId="165" fontId="14" fillId="5" borderId="9" xfId="1" applyNumberFormat="1" applyFont="1" applyFill="1" applyBorder="1"/>
    <xf numFmtId="170" fontId="14" fillId="5" borderId="9" xfId="1" applyNumberFormat="1" applyFont="1" applyFill="1" applyBorder="1"/>
    <xf numFmtId="43" fontId="0" fillId="2" borderId="1" xfId="0" applyNumberFormat="1" applyFill="1" applyBorder="1"/>
    <xf numFmtId="0" fontId="0" fillId="0" borderId="0" xfId="0" applyAlignment="1">
      <alignment horizontal="center"/>
    </xf>
    <xf numFmtId="44" fontId="0" fillId="0" borderId="0" xfId="2" applyFont="1" applyFill="1" applyBorder="1"/>
    <xf numFmtId="44" fontId="0" fillId="0" borderId="6" xfId="2" applyFont="1" applyFill="1" applyBorder="1"/>
    <xf numFmtId="0" fontId="0" fillId="0" borderId="6" xfId="0" applyBorder="1"/>
    <xf numFmtId="164" fontId="0" fillId="2" borderId="1" xfId="0" applyNumberFormat="1" applyFill="1" applyBorder="1"/>
    <xf numFmtId="0" fontId="21" fillId="0" borderId="0" xfId="0" applyFont="1" applyAlignment="1">
      <alignment horizontal="left"/>
    </xf>
    <xf numFmtId="165" fontId="10" fillId="2" borderId="7" xfId="1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0" fontId="3" fillId="0" borderId="0" xfId="4" applyAlignment="1">
      <alignment vertical="top" wrapText="1"/>
    </xf>
    <xf numFmtId="0" fontId="1" fillId="0" borderId="0" xfId="0" applyFont="1" applyAlignment="1">
      <alignment vertical="top" wrapText="1"/>
    </xf>
    <xf numFmtId="167" fontId="0" fillId="0" borderId="0" xfId="3" applyNumberFormat="1" applyFont="1" applyAlignment="1">
      <alignment vertical="top" wrapText="1"/>
    </xf>
    <xf numFmtId="14" fontId="1" fillId="0" borderId="0" xfId="0" applyNumberFormat="1" applyFont="1"/>
    <xf numFmtId="165" fontId="10" fillId="6" borderId="0" xfId="1" applyNumberFormat="1" applyFont="1" applyFill="1"/>
    <xf numFmtId="0" fontId="1" fillId="6" borderId="0" xfId="0" applyFont="1" applyFill="1" applyAlignment="1">
      <alignment vertical="top"/>
    </xf>
    <xf numFmtId="9" fontId="10" fillId="6" borderId="0" xfId="3" applyFont="1" applyFill="1" applyAlignment="1">
      <alignment horizontal="left" indent="5"/>
    </xf>
    <xf numFmtId="44" fontId="12" fillId="6" borderId="5" xfId="2" applyFont="1" applyFill="1" applyBorder="1" applyAlignment="1">
      <alignment horizontal="right"/>
    </xf>
    <xf numFmtId="44" fontId="12" fillId="6" borderId="5" xfId="2" applyFont="1" applyFill="1" applyBorder="1" applyAlignment="1">
      <alignment horizontal="right" wrapText="1"/>
    </xf>
    <xf numFmtId="164" fontId="0" fillId="6" borderId="1" xfId="0" applyNumberFormat="1" applyFill="1" applyBorder="1"/>
    <xf numFmtId="44" fontId="0" fillId="6" borderId="1" xfId="2" applyFont="1" applyFill="1" applyBorder="1"/>
    <xf numFmtId="0" fontId="0" fillId="6" borderId="1" xfId="0" applyFill="1" applyBorder="1"/>
    <xf numFmtId="10" fontId="12" fillId="6" borderId="5" xfId="3" applyNumberFormat="1" applyFont="1" applyFill="1" applyBorder="1" applyAlignment="1">
      <alignment horizontal="right"/>
    </xf>
    <xf numFmtId="14" fontId="12" fillId="6" borderId="0" xfId="1" applyNumberFormat="1" applyFont="1" applyFill="1"/>
    <xf numFmtId="165" fontId="14" fillId="6" borderId="0" xfId="1" applyNumberFormat="1" applyFont="1" applyFill="1"/>
    <xf numFmtId="43" fontId="15" fillId="6" borderId="4" xfId="1" applyFont="1" applyFill="1" applyBorder="1"/>
    <xf numFmtId="166" fontId="12" fillId="6" borderId="0" xfId="1" applyNumberFormat="1" applyFont="1" applyFill="1"/>
    <xf numFmtId="165" fontId="10" fillId="6" borderId="0" xfId="1" applyNumberFormat="1" applyFont="1" applyFill="1" applyAlignment="1">
      <alignment horizontal="center"/>
    </xf>
    <xf numFmtId="10" fontId="0" fillId="6" borderId="1" xfId="0" applyNumberFormat="1" applyFill="1" applyBorder="1"/>
    <xf numFmtId="0" fontId="1" fillId="0" borderId="0" xfId="0" applyFont="1" applyAlignment="1">
      <alignment horizontal="center" vertical="center" wrapText="1"/>
    </xf>
    <xf numFmtId="3" fontId="0" fillId="0" borderId="0" xfId="0" applyNumberFormat="1" applyAlignment="1">
      <alignment vertical="center" wrapText="1"/>
    </xf>
    <xf numFmtId="9" fontId="0" fillId="0" borderId="0" xfId="2" applyNumberFormat="1" applyFont="1" applyAlignment="1">
      <alignment vertical="top"/>
    </xf>
    <xf numFmtId="9" fontId="0" fillId="0" borderId="0" xfId="3" applyFont="1"/>
    <xf numFmtId="10" fontId="0" fillId="0" borderId="0" xfId="0" applyNumberFormat="1"/>
    <xf numFmtId="0" fontId="22" fillId="0" borderId="0" xfId="0" applyFont="1"/>
    <xf numFmtId="3" fontId="22" fillId="0" borderId="0" xfId="0" applyNumberFormat="1" applyFont="1"/>
    <xf numFmtId="3" fontId="23" fillId="0" borderId="0" xfId="0" applyNumberFormat="1" applyFont="1"/>
    <xf numFmtId="0" fontId="23" fillId="0" borderId="0" xfId="0" applyFont="1"/>
    <xf numFmtId="0" fontId="0" fillId="6" borderId="8" xfId="0" applyFill="1" applyBorder="1"/>
    <xf numFmtId="44" fontId="3" fillId="0" borderId="0" xfId="4" applyNumberFormat="1"/>
    <xf numFmtId="0" fontId="0" fillId="0" borderId="0" xfId="0" applyAlignment="1">
      <alignment horizontal="left" vertical="center" wrapText="1"/>
    </xf>
    <xf numFmtId="9" fontId="0" fillId="6" borderId="0" xfId="0" applyNumberFormat="1" applyFill="1" applyAlignment="1">
      <alignment horizontal="center" vertical="center"/>
    </xf>
  </cellXfs>
  <cellStyles count="5">
    <cellStyle name="Comma" xfId="1" builtinId="3"/>
    <cellStyle name="Currency" xfId="2" builtinId="4"/>
    <cellStyle name="Hyperlink" xfId="4" xr:uid="{00000000-000B-0000-0000-000008000000}"/>
    <cellStyle name="Normal" xfId="0" builtinId="0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mily\Documents\Product%20Management%20Portfolio\Customer%20Data%20with%20Clusters.xlsx" TargetMode="External"/><Relationship Id="rId1" Type="http://schemas.openxmlformats.org/officeDocument/2006/relationships/externalLinkPath" Target="Customer%20Data%20with%20Clust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verages"/>
      <sheetName val="Sheet3"/>
      <sheetName val="Customer Data with Clusters"/>
      <sheetName val="KPIs"/>
    </sheetNames>
    <sheetDataSet>
      <sheetData sheetId="0"/>
      <sheetData sheetId="1"/>
      <sheetData sheetId="2"/>
      <sheetData sheetId="3">
        <row r="9">
          <cell r="B9">
            <v>3555000</v>
          </cell>
        </row>
        <row r="10">
          <cell r="B10">
            <v>695000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0" dT="2025-12-06T17:54:08.68" personId="{00000000-0000-0000-0000-000000000000}" id="{1BCD814D-91A1-4628-A640-32B612F05178}">
    <text>Look up bond rating</text>
  </threadedComment>
  <threadedComment ref="E10" dT="2025-12-06T17:54:08.68" personId="{00000000-0000-0000-0000-000000000000}" id="{9706122C-F4A7-4BD9-A5D5-E3404EDF2B49}">
    <text>Look up bond rating</text>
  </threadedComment>
  <threadedComment ref="E25" dT="2025-12-06T18:04:54.16" personId="{00000000-0000-0000-0000-000000000000}" id="{52228C07-FB40-41F4-948C-A8DC0B8B8D68}">
    <text>Margin is 35%, so COGS is 65% + 18% for SG&amp;A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0" dT="2025-12-06T17:54:08.68" personId="{00000000-0000-0000-0000-000000000000}" id="{6D35EAB6-14E5-4AD1-B7D5-6820E1670B66}">
    <text>Look up bond rating</text>
  </threadedComment>
  <threadedComment ref="E10" dT="2025-12-06T17:54:08.68" personId="{00000000-0000-0000-0000-000000000000}" id="{2F5535C8-2C3E-43C2-A64D-6C8D573D32DB}">
    <text>Look up bond rating</text>
  </threadedComment>
  <threadedComment ref="E25" dT="2025-12-06T18:04:54.16" personId="{00000000-0000-0000-0000-000000000000}" id="{270D6A12-564B-4537-AABF-F5DD7DA1827D}">
    <text>Margin is 35%, so COGS is 65% + 18% for SG&amp;A</text>
  </threadedComment>
  <threadedComment ref="Q25" dT="2025-12-06T18:04:54.16" personId="{00000000-0000-0000-0000-000000000000}" id="{C71EF333-73A8-446B-9F86-72B04CBDCE23}">
    <text>Margin is 35%, so COGS is 65% + 18% for SG&amp;A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10" dT="2025-12-06T17:54:08.68" personId="{00000000-0000-0000-0000-000000000000}" id="{74A6369F-2D78-4A87-8A43-CBB9AAEF715D}">
    <text>Look up bond rating</text>
  </threadedComment>
  <threadedComment ref="E10" dT="2025-12-06T17:54:08.68" personId="{00000000-0000-0000-0000-000000000000}" id="{732C79F6-D2D8-4AB3-B429-1F7EB24D3A6D}">
    <text>Look up bond rating</text>
  </threadedComment>
  <threadedComment ref="E25" dT="2025-12-06T18:04:54.16" personId="{00000000-0000-0000-0000-000000000000}" id="{A24F1161-872E-409F-A446-FB6F87323FFE}">
    <text>Margin is 35%, so COGS is 65% + 18% for SG&amp;A</text>
  </threadedComment>
  <threadedComment ref="P25" dT="2025-12-06T18:04:54.16" personId="{00000000-0000-0000-0000-000000000000}" id="{2CD06B5A-7657-4CC1-8932-223261EE26CA}">
    <text>Margin is 35%, so COGS is 65% + 18% for SG&amp;A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xdusa.org/news/6-cmmc-tips-choosing-a-third-party-assessor-c3pao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finance.yahoo.com/quote/BABA/financials/" TargetMode="External"/><Relationship Id="rId3" Type="http://schemas.openxmlformats.org/officeDocument/2006/relationships/hyperlink" Target="https://stock.walmart.com/_assets/_d172a7918f5003c834c91e68d309d655/walmart/db/950/9949/annual_report/Walmart+2025+Annual+Report.pdf" TargetMode="External"/><Relationship Id="rId7" Type="http://schemas.openxmlformats.org/officeDocument/2006/relationships/hyperlink" Target="https://finance.yahoo.com/quote/WMT/financials/" TargetMode="External"/><Relationship Id="rId2" Type="http://schemas.openxmlformats.org/officeDocument/2006/relationships/hyperlink" Target="https://finance.yahoo.com/quote/WMT/financials/" TargetMode="External"/><Relationship Id="rId1" Type="http://schemas.openxmlformats.org/officeDocument/2006/relationships/hyperlink" Target="https://finance.yahoo.com/quote/AMZN/financials/" TargetMode="External"/><Relationship Id="rId6" Type="http://schemas.openxmlformats.org/officeDocument/2006/relationships/hyperlink" Target="https://finance.yahoo.com/quote/AMZN/financials/" TargetMode="External"/><Relationship Id="rId11" Type="http://schemas.openxmlformats.org/officeDocument/2006/relationships/hyperlink" Target="https://stock.walmart.com/_assets/_d172a7918f5003c834c91e68d309d655/walmart/db/950/9949/annual_report/Walmart+2025+Annual+Report.pdf" TargetMode="External"/><Relationship Id="rId5" Type="http://schemas.openxmlformats.org/officeDocument/2006/relationships/hyperlink" Target="https://finance.yahoo.com/quote/BABA/financials/" TargetMode="External"/><Relationship Id="rId10" Type="http://schemas.openxmlformats.org/officeDocument/2006/relationships/hyperlink" Target="https://finance.yahoo.com/quote/BABA/balance-sheet/?err=1" TargetMode="External"/><Relationship Id="rId4" Type="http://schemas.openxmlformats.org/officeDocument/2006/relationships/hyperlink" Target="https://www.politico.com/news/2026/02/06/amazon-emerges-a-big-winner-from-gop-tax-cuts-00768985" TargetMode="External"/><Relationship Id="rId9" Type="http://schemas.openxmlformats.org/officeDocument/2006/relationships/hyperlink" Target="https://fintel.io/doc/sec-amazon-com-inc-1018724-10k-2026-february-06-20490-10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finance.yahoo.com/quote/WMT/financials/" TargetMode="External"/><Relationship Id="rId2" Type="http://schemas.openxmlformats.org/officeDocument/2006/relationships/hyperlink" Target="https://finance.yahoo.com/quote/BABA/" TargetMode="External"/><Relationship Id="rId1" Type="http://schemas.openxmlformats.org/officeDocument/2006/relationships/hyperlink" Target="https://pages.stern.nyu.edu/~adamodar/New_Home_Page/datafile/histretSP.html?utm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ycharts.com/indicators/us_corporate_a_effective_yield" TargetMode="External"/><Relationship Id="rId7" Type="http://schemas.microsoft.com/office/2017/10/relationships/threadedComment" Target="../threadedComments/threadedComment2.xml"/><Relationship Id="rId2" Type="http://schemas.openxmlformats.org/officeDocument/2006/relationships/hyperlink" Target="https://finance.yahoo.com/quote/ROK/" TargetMode="External"/><Relationship Id="rId1" Type="http://schemas.openxmlformats.org/officeDocument/2006/relationships/hyperlink" Target="https://finance.yahoo.com/quote/ROK/balance-sheet/" TargetMode="External"/><Relationship Id="rId6" Type="http://schemas.openxmlformats.org/officeDocument/2006/relationships/comments" Target="../comments4.xml"/><Relationship Id="rId5" Type="http://schemas.openxmlformats.org/officeDocument/2006/relationships/vmlDrawing" Target="../drawings/vmlDrawing4.vml"/><Relationship Id="rId4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ycharts.com/indicators/us_corporate_a_effective_yield" TargetMode="External"/><Relationship Id="rId2" Type="http://schemas.openxmlformats.org/officeDocument/2006/relationships/hyperlink" Target="https://finance.yahoo.com/quote/ROK/" TargetMode="External"/><Relationship Id="rId1" Type="http://schemas.openxmlformats.org/officeDocument/2006/relationships/hyperlink" Target="https://finance.yahoo.com/quote/ROK/balance-sheet/" TargetMode="External"/><Relationship Id="rId6" Type="http://schemas.microsoft.com/office/2017/10/relationships/threadedComment" Target="../threadedComments/threadedComment3.xml"/><Relationship Id="rId5" Type="http://schemas.openxmlformats.org/officeDocument/2006/relationships/comments" Target="../comments5.xml"/><Relationship Id="rId4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467D8-AA3B-4314-9272-83CCB392FA71}">
  <dimension ref="A1:F5"/>
  <sheetViews>
    <sheetView workbookViewId="0">
      <selection activeCell="C4" sqref="C4"/>
    </sheetView>
  </sheetViews>
  <sheetFormatPr defaultRowHeight="14.4" x14ac:dyDescent="0.3"/>
  <cols>
    <col min="1" max="7" width="20.6640625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3">
      <c r="A2" t="s">
        <v>5</v>
      </c>
      <c r="B2" t="s">
        <v>6</v>
      </c>
    </row>
    <row r="3" spans="1:6" x14ac:dyDescent="0.3">
      <c r="A3" t="s">
        <v>7</v>
      </c>
      <c r="B3" t="s">
        <v>8</v>
      </c>
    </row>
    <row r="4" spans="1:6" ht="230.4" x14ac:dyDescent="0.3">
      <c r="A4" s="125" t="s">
        <v>9</v>
      </c>
      <c r="B4" s="8" t="s">
        <v>10</v>
      </c>
      <c r="C4" s="8" t="s">
        <v>11</v>
      </c>
      <c r="D4" s="8" t="s">
        <v>12</v>
      </c>
      <c r="E4" s="8" t="s">
        <v>13</v>
      </c>
    </row>
    <row r="5" spans="1:6" ht="129.6" x14ac:dyDescent="0.3">
      <c r="A5" s="125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126" t="s">
        <v>19</v>
      </c>
    </row>
  </sheetData>
  <hyperlinks>
    <hyperlink ref="F5" r:id="rId1" location=":~:text=There%20are%20an%20estimated%20118%2C000,C3PAO%20may%20not%20be%20easy" xr:uid="{920F8628-990B-4B0D-A275-49D5E8E1DB5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072F0-0A63-408E-AFC9-BF36B5CD1D39}">
  <dimension ref="A1:D17"/>
  <sheetViews>
    <sheetView zoomScale="67" workbookViewId="0">
      <selection activeCell="B30" sqref="B30"/>
    </sheetView>
  </sheetViews>
  <sheetFormatPr defaultColWidth="8.88671875" defaultRowHeight="14.4" x14ac:dyDescent="0.3"/>
  <cols>
    <col min="1" max="1" width="29.6640625" style="74" customWidth="1"/>
    <col min="2" max="2" width="65.6640625" style="69" bestFit="1" customWidth="1"/>
    <col min="3" max="3" width="31.88671875" style="9" customWidth="1"/>
    <col min="4" max="4" width="87" style="69" customWidth="1"/>
    <col min="5" max="16384" width="8.88671875" style="69"/>
  </cols>
  <sheetData>
    <row r="1" spans="1:4" s="74" customFormat="1" x14ac:dyDescent="0.3">
      <c r="B1" s="74" t="s">
        <v>20</v>
      </c>
      <c r="C1" s="127" t="s">
        <v>21</v>
      </c>
      <c r="D1" s="74" t="s">
        <v>22</v>
      </c>
    </row>
    <row r="2" spans="1:4" ht="28.8" x14ac:dyDescent="0.3">
      <c r="A2" s="74" t="s">
        <v>23</v>
      </c>
      <c r="B2" s="70">
        <f>[1]KPIs!$B$9</f>
        <v>3555000</v>
      </c>
      <c r="C2" s="128" t="str">
        <f t="shared" ref="C2:C9" ca="1" si="0">IFERROR(_xlfn.FORMULATEXT(B2),B2)</f>
        <v>='C:\Users\emily\Documents\Product Management Portfolio\[Customer Data with Clusters.xlsx]KPIs'!$B$9</v>
      </c>
      <c r="D2" s="70"/>
    </row>
    <row r="3" spans="1:4" ht="28.8" x14ac:dyDescent="0.3">
      <c r="A3" s="131" t="s">
        <v>207</v>
      </c>
      <c r="B3" s="73">
        <f>[1]KPIs!$B$10</f>
        <v>695000</v>
      </c>
      <c r="C3" s="128" t="str">
        <f t="shared" ca="1" si="0"/>
        <v>='C:\Users\emily\Documents\Product Management Portfolio\[Customer Data with Clusters.xlsx]KPIs'!$B$10</v>
      </c>
      <c r="D3" s="70"/>
    </row>
    <row r="4" spans="1:4" ht="28.8" x14ac:dyDescent="0.3">
      <c r="A4" s="131" t="s">
        <v>212</v>
      </c>
      <c r="B4" s="71">
        <f>ROUND('Average Industry Growth'!D17,2)</f>
        <v>7.0000000000000007E-2</v>
      </c>
      <c r="C4" s="128" t="str">
        <f t="shared" ca="1" si="0"/>
        <v>=ROUND('Average Industry Growth'!D17,2)</v>
      </c>
      <c r="D4" s="69" t="s">
        <v>26</v>
      </c>
    </row>
    <row r="5" spans="1:4" x14ac:dyDescent="0.3">
      <c r="A5" s="131" t="s">
        <v>27</v>
      </c>
      <c r="B5" s="72">
        <v>1.4999999999999999E-2</v>
      </c>
      <c r="C5" s="128">
        <f t="shared" ca="1" si="0"/>
        <v>1.4999999999999999E-2</v>
      </c>
      <c r="D5" s="9" t="s">
        <v>208</v>
      </c>
    </row>
    <row r="6" spans="1:4" ht="28.8" x14ac:dyDescent="0.3">
      <c r="A6" s="131" t="s">
        <v>211</v>
      </c>
      <c r="B6" s="72">
        <f>ROUND('Average Industry Growth'!B30,2)</f>
        <v>0.36</v>
      </c>
      <c r="C6" s="128" t="str">
        <f t="shared" ca="1" si="0"/>
        <v>=ROUND('Average Industry Growth'!B30,2)</v>
      </c>
      <c r="D6" s="69" t="s">
        <v>209</v>
      </c>
    </row>
    <row r="7" spans="1:4" x14ac:dyDescent="0.3">
      <c r="A7" s="131" t="s">
        <v>29</v>
      </c>
      <c r="B7" s="71">
        <f>B6</f>
        <v>0.36</v>
      </c>
      <c r="C7" s="128" t="str">
        <f t="shared" ca="1" si="0"/>
        <v>=B6</v>
      </c>
      <c r="D7" s="69" t="s">
        <v>30</v>
      </c>
    </row>
    <row r="8" spans="1:4" x14ac:dyDescent="0.3">
      <c r="A8" s="131" t="s">
        <v>31</v>
      </c>
      <c r="B8" s="73">
        <f>'Cost Data'!G22</f>
        <v>351000</v>
      </c>
      <c r="C8" s="128" t="str">
        <f t="shared" ca="1" si="0"/>
        <v>='Cost Data'!G22</v>
      </c>
    </row>
    <row r="9" spans="1:4" x14ac:dyDescent="0.3">
      <c r="A9" s="131" t="s">
        <v>210</v>
      </c>
      <c r="B9" s="72">
        <f>'Average Industry Growth'!B38</f>
        <v>0.22840000000000002</v>
      </c>
      <c r="C9" s="128" t="str">
        <f t="shared" ca="1" si="0"/>
        <v>='Average Industry Growth'!B38</v>
      </c>
      <c r="D9" s="69" t="s">
        <v>209</v>
      </c>
    </row>
    <row r="10" spans="1:4" x14ac:dyDescent="0.3">
      <c r="A10" s="131" t="s">
        <v>33</v>
      </c>
      <c r="B10" s="69">
        <v>0</v>
      </c>
      <c r="C10" s="128">
        <f ca="1">IFERROR(_xlfn.FORMULATEXT(B10),B10)</f>
        <v>0</v>
      </c>
    </row>
    <row r="13" spans="1:4" x14ac:dyDescent="0.3">
      <c r="B13" s="70"/>
    </row>
    <row r="14" spans="1:4" x14ac:dyDescent="0.3">
      <c r="B14" s="73"/>
    </row>
    <row r="15" spans="1:4" x14ac:dyDescent="0.3">
      <c r="B15" s="147"/>
    </row>
    <row r="16" spans="1:4" x14ac:dyDescent="0.3">
      <c r="B16" s="96"/>
    </row>
    <row r="17" spans="2:2" x14ac:dyDescent="0.3">
      <c r="B17" s="73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6E3E3-7D29-47FA-9CD6-453B53FBF9D5}">
  <dimension ref="A1:I24"/>
  <sheetViews>
    <sheetView zoomScale="62" workbookViewId="0">
      <selection activeCell="B25" sqref="B25"/>
    </sheetView>
  </sheetViews>
  <sheetFormatPr defaultRowHeight="14.4" x14ac:dyDescent="0.3"/>
  <cols>
    <col min="1" max="1" width="40" customWidth="1"/>
    <col min="2" max="2" width="54.109375" bestFit="1" customWidth="1"/>
    <col min="4" max="4" width="16" style="2" customWidth="1"/>
    <col min="5" max="5" width="15.88671875" customWidth="1"/>
    <col min="6" max="6" width="12.33203125" style="2" bestFit="1" customWidth="1"/>
    <col min="7" max="7" width="24.109375" style="2" customWidth="1"/>
    <col min="8" max="8" width="45" bestFit="1" customWidth="1"/>
  </cols>
  <sheetData>
    <row r="1" spans="1:9" x14ac:dyDescent="0.3">
      <c r="A1" s="1" t="s">
        <v>34</v>
      </c>
      <c r="C1" s="1"/>
      <c r="D1" s="1"/>
      <c r="E1" s="1"/>
      <c r="F1" s="1"/>
      <c r="G1" s="1"/>
      <c r="H1" s="1"/>
      <c r="I1" s="1"/>
    </row>
    <row r="2" spans="1:9" ht="28.8" x14ac:dyDescent="0.3">
      <c r="A2" s="145" t="s">
        <v>176</v>
      </c>
      <c r="B2" s="145" t="s">
        <v>177</v>
      </c>
      <c r="C2" s="145" t="s">
        <v>35</v>
      </c>
      <c r="D2" s="145" t="s">
        <v>178</v>
      </c>
      <c r="E2" s="145" t="s">
        <v>179</v>
      </c>
      <c r="F2" s="6" t="s">
        <v>36</v>
      </c>
      <c r="G2" s="6" t="s">
        <v>37</v>
      </c>
      <c r="H2" s="1" t="s">
        <v>22</v>
      </c>
      <c r="I2" s="1" t="s">
        <v>38</v>
      </c>
    </row>
    <row r="3" spans="1:9" x14ac:dyDescent="0.3">
      <c r="A3" s="8" t="s">
        <v>180</v>
      </c>
      <c r="B3" s="8" t="s">
        <v>181</v>
      </c>
      <c r="C3" s="8" t="s">
        <v>182</v>
      </c>
      <c r="D3" s="146">
        <v>30000</v>
      </c>
      <c r="E3" s="146">
        <v>100000</v>
      </c>
      <c r="F3" s="4">
        <v>1</v>
      </c>
      <c r="G3" s="2">
        <f>((D3*F3)+(E3*F3))/2</f>
        <v>65000</v>
      </c>
      <c r="I3" s="3"/>
    </row>
    <row r="4" spans="1:9" x14ac:dyDescent="0.3">
      <c r="A4" s="8" t="s">
        <v>180</v>
      </c>
      <c r="B4" s="8" t="s">
        <v>183</v>
      </c>
      <c r="C4" s="8" t="s">
        <v>182</v>
      </c>
      <c r="D4" s="146">
        <v>5000</v>
      </c>
      <c r="E4" s="146">
        <v>20000</v>
      </c>
      <c r="F4" s="4">
        <v>1</v>
      </c>
      <c r="G4" s="2">
        <f t="shared" ref="G4:G20" si="0">((D4*F4)+(E4*F4))/2</f>
        <v>12500</v>
      </c>
      <c r="I4" s="3"/>
    </row>
    <row r="5" spans="1:9" x14ac:dyDescent="0.3">
      <c r="A5" s="8" t="s">
        <v>180</v>
      </c>
      <c r="B5" s="8" t="s">
        <v>184</v>
      </c>
      <c r="C5" s="8" t="s">
        <v>182</v>
      </c>
      <c r="D5" s="146">
        <v>5000</v>
      </c>
      <c r="E5" s="146">
        <v>15000</v>
      </c>
      <c r="F5" s="4">
        <v>1</v>
      </c>
      <c r="G5" s="2">
        <f t="shared" si="0"/>
        <v>10000</v>
      </c>
      <c r="I5" s="5"/>
    </row>
    <row r="6" spans="1:9" x14ac:dyDescent="0.3">
      <c r="A6" s="8" t="s">
        <v>180</v>
      </c>
      <c r="B6" s="8" t="s">
        <v>185</v>
      </c>
      <c r="C6" s="8" t="s">
        <v>182</v>
      </c>
      <c r="D6" s="146">
        <v>5000</v>
      </c>
      <c r="E6" s="146">
        <v>15000</v>
      </c>
      <c r="F6" s="4">
        <v>1</v>
      </c>
      <c r="G6" s="2">
        <f t="shared" si="0"/>
        <v>10000</v>
      </c>
      <c r="I6" s="5"/>
    </row>
    <row r="7" spans="1:9" x14ac:dyDescent="0.3">
      <c r="A7" s="8" t="s">
        <v>180</v>
      </c>
      <c r="B7" s="8" t="s">
        <v>186</v>
      </c>
      <c r="C7" s="8" t="s">
        <v>182</v>
      </c>
      <c r="D7" s="146">
        <v>5000</v>
      </c>
      <c r="E7" s="146">
        <v>20000</v>
      </c>
      <c r="F7" s="4">
        <v>1</v>
      </c>
      <c r="G7" s="2">
        <f t="shared" si="0"/>
        <v>12500</v>
      </c>
      <c r="I7" s="3"/>
    </row>
    <row r="8" spans="1:9" x14ac:dyDescent="0.3">
      <c r="A8" s="8" t="s">
        <v>180</v>
      </c>
      <c r="B8" s="8" t="s">
        <v>187</v>
      </c>
      <c r="C8" s="8" t="s">
        <v>182</v>
      </c>
      <c r="D8" s="146">
        <v>5000</v>
      </c>
      <c r="E8" s="146">
        <v>15000</v>
      </c>
      <c r="F8" s="4">
        <v>1</v>
      </c>
      <c r="G8" s="2">
        <f t="shared" si="0"/>
        <v>10000</v>
      </c>
      <c r="I8" s="3"/>
    </row>
    <row r="9" spans="1:9" x14ac:dyDescent="0.3">
      <c r="A9" s="8" t="s">
        <v>188</v>
      </c>
      <c r="B9" s="8" t="s">
        <v>189</v>
      </c>
      <c r="C9" s="8" t="s">
        <v>39</v>
      </c>
      <c r="D9" s="146">
        <v>10000</v>
      </c>
      <c r="E9" s="146">
        <v>50000</v>
      </c>
      <c r="F9" s="100">
        <v>1</v>
      </c>
      <c r="G9" s="99">
        <f t="shared" si="0"/>
        <v>30000</v>
      </c>
      <c r="I9" s="3"/>
    </row>
    <row r="10" spans="1:9" x14ac:dyDescent="0.3">
      <c r="A10" s="8" t="s">
        <v>188</v>
      </c>
      <c r="B10" s="8" t="s">
        <v>190</v>
      </c>
      <c r="C10" s="8" t="s">
        <v>39</v>
      </c>
      <c r="D10" s="146">
        <v>5000</v>
      </c>
      <c r="E10" s="146">
        <v>30000</v>
      </c>
      <c r="F10" s="4">
        <v>1</v>
      </c>
      <c r="G10" s="2">
        <f t="shared" si="0"/>
        <v>17500</v>
      </c>
      <c r="I10" s="3"/>
    </row>
    <row r="11" spans="1:9" x14ac:dyDescent="0.3">
      <c r="A11" s="8" t="s">
        <v>188</v>
      </c>
      <c r="B11" s="8" t="s">
        <v>191</v>
      </c>
      <c r="C11" s="8" t="s">
        <v>39</v>
      </c>
      <c r="D11" s="146">
        <v>5000</v>
      </c>
      <c r="E11" s="146">
        <v>20000</v>
      </c>
      <c r="F11" s="4">
        <v>1</v>
      </c>
      <c r="G11" s="2">
        <f t="shared" si="0"/>
        <v>12500</v>
      </c>
      <c r="I11" s="3"/>
    </row>
    <row r="12" spans="1:9" x14ac:dyDescent="0.3">
      <c r="A12" s="8" t="s">
        <v>192</v>
      </c>
      <c r="B12" s="8" t="s">
        <v>193</v>
      </c>
      <c r="C12" s="8" t="s">
        <v>182</v>
      </c>
      <c r="D12" s="146">
        <v>10000</v>
      </c>
      <c r="E12" s="146">
        <v>30000</v>
      </c>
      <c r="F12" s="4">
        <v>1</v>
      </c>
      <c r="G12" s="2">
        <f t="shared" si="0"/>
        <v>20000</v>
      </c>
      <c r="I12" s="5"/>
    </row>
    <row r="13" spans="1:9" x14ac:dyDescent="0.3">
      <c r="A13" s="8" t="s">
        <v>192</v>
      </c>
      <c r="B13" s="8" t="s">
        <v>194</v>
      </c>
      <c r="C13" s="8" t="s">
        <v>39</v>
      </c>
      <c r="D13" s="146">
        <v>5000</v>
      </c>
      <c r="E13" s="146">
        <v>20000</v>
      </c>
      <c r="F13" s="4">
        <v>1</v>
      </c>
      <c r="G13" s="2">
        <f t="shared" si="0"/>
        <v>12500</v>
      </c>
      <c r="I13" s="5"/>
    </row>
    <row r="14" spans="1:9" x14ac:dyDescent="0.3">
      <c r="A14" s="8" t="s">
        <v>195</v>
      </c>
      <c r="B14" s="8" t="s">
        <v>196</v>
      </c>
      <c r="C14" s="8" t="s">
        <v>182</v>
      </c>
      <c r="D14" s="146">
        <v>6000</v>
      </c>
      <c r="E14" s="146">
        <v>60000</v>
      </c>
      <c r="F14" s="4">
        <v>1</v>
      </c>
      <c r="G14" s="2">
        <f t="shared" si="0"/>
        <v>33000</v>
      </c>
      <c r="I14" s="5"/>
    </row>
    <row r="15" spans="1:9" x14ac:dyDescent="0.3">
      <c r="A15" s="8" t="s">
        <v>197</v>
      </c>
      <c r="B15" s="8" t="s">
        <v>198</v>
      </c>
      <c r="C15" s="8" t="s">
        <v>39</v>
      </c>
      <c r="D15" s="146">
        <v>5000</v>
      </c>
      <c r="E15" s="146">
        <v>20000</v>
      </c>
      <c r="F15" s="4">
        <v>1</v>
      </c>
      <c r="G15" s="2">
        <f>((D15*F15)+(E15*F15))/2</f>
        <v>12500</v>
      </c>
      <c r="I15" s="5"/>
    </row>
    <row r="16" spans="1:9" x14ac:dyDescent="0.3">
      <c r="A16" s="8" t="s">
        <v>197</v>
      </c>
      <c r="B16" s="8" t="s">
        <v>199</v>
      </c>
      <c r="C16" s="8" t="s">
        <v>39</v>
      </c>
      <c r="D16" s="146">
        <v>5000</v>
      </c>
      <c r="E16" s="146">
        <v>15000</v>
      </c>
      <c r="F16" s="4">
        <v>1</v>
      </c>
      <c r="G16" s="2">
        <f t="shared" si="0"/>
        <v>10000</v>
      </c>
      <c r="I16" s="5"/>
    </row>
    <row r="17" spans="1:9" x14ac:dyDescent="0.3">
      <c r="A17" s="8" t="s">
        <v>200</v>
      </c>
      <c r="B17" s="8" t="s">
        <v>201</v>
      </c>
      <c r="C17" s="8" t="s">
        <v>182</v>
      </c>
      <c r="D17" s="146">
        <v>5000</v>
      </c>
      <c r="E17" s="146">
        <v>15000</v>
      </c>
      <c r="F17" s="4">
        <v>1</v>
      </c>
      <c r="G17" s="2">
        <f t="shared" si="0"/>
        <v>10000</v>
      </c>
      <c r="I17" s="5"/>
    </row>
    <row r="18" spans="1:9" x14ac:dyDescent="0.3">
      <c r="A18" s="8" t="s">
        <v>200</v>
      </c>
      <c r="B18" s="8" t="s">
        <v>202</v>
      </c>
      <c r="C18" s="8" t="s">
        <v>182</v>
      </c>
      <c r="D18" s="146">
        <v>20000</v>
      </c>
      <c r="E18" s="146">
        <v>75000</v>
      </c>
      <c r="F18" s="4">
        <v>1</v>
      </c>
      <c r="G18" s="2">
        <f t="shared" si="0"/>
        <v>47500</v>
      </c>
      <c r="I18" s="5"/>
    </row>
    <row r="19" spans="1:9" x14ac:dyDescent="0.3">
      <c r="A19" s="8" t="s">
        <v>203</v>
      </c>
      <c r="B19" s="8" t="s">
        <v>204</v>
      </c>
      <c r="C19" s="8" t="s">
        <v>182</v>
      </c>
      <c r="D19" s="146">
        <v>1000</v>
      </c>
      <c r="E19" s="146">
        <v>5000</v>
      </c>
      <c r="F19" s="4">
        <v>1</v>
      </c>
      <c r="G19" s="2">
        <f t="shared" si="0"/>
        <v>3000</v>
      </c>
      <c r="I19" s="11"/>
    </row>
    <row r="20" spans="1:9" x14ac:dyDescent="0.3">
      <c r="A20" s="8" t="s">
        <v>203</v>
      </c>
      <c r="B20" s="8" t="s">
        <v>205</v>
      </c>
      <c r="C20" s="8" t="s">
        <v>182</v>
      </c>
      <c r="D20" s="146">
        <v>5000</v>
      </c>
      <c r="E20" s="146">
        <v>25000</v>
      </c>
      <c r="F20" s="4">
        <v>1</v>
      </c>
      <c r="G20" s="2">
        <f t="shared" si="0"/>
        <v>15000</v>
      </c>
      <c r="I20" s="11"/>
    </row>
    <row r="21" spans="1:9" x14ac:dyDescent="0.3">
      <c r="A21" s="8" t="s">
        <v>203</v>
      </c>
      <c r="B21" s="8" t="s">
        <v>206</v>
      </c>
      <c r="C21" s="8" t="s">
        <v>182</v>
      </c>
      <c r="D21" s="146">
        <v>5000</v>
      </c>
      <c r="E21" s="146">
        <v>10000</v>
      </c>
      <c r="F21" s="4">
        <v>1</v>
      </c>
      <c r="G21" s="2">
        <f>((D21*F21)+(E21*F21))/2</f>
        <v>7500</v>
      </c>
      <c r="I21" s="101"/>
    </row>
    <row r="22" spans="1:9" x14ac:dyDescent="0.3">
      <c r="G22" s="6">
        <f>SUM(G3:G21)</f>
        <v>351000</v>
      </c>
      <c r="I22" s="3"/>
    </row>
    <row r="23" spans="1:9" x14ac:dyDescent="0.3">
      <c r="I23" s="3"/>
    </row>
    <row r="24" spans="1:9" x14ac:dyDescent="0.3">
      <c r="A24" s="8" t="s">
        <v>39</v>
      </c>
      <c r="B24" s="2">
        <f ca="1">SUMIF(C3:G21,A24,G3:G21)</f>
        <v>95000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B629-587A-457A-BF73-5443D9E8603E}">
  <dimension ref="A1:J64"/>
  <sheetViews>
    <sheetView topLeftCell="A43" workbookViewId="0">
      <selection activeCell="B62" sqref="B62:B64"/>
    </sheetView>
  </sheetViews>
  <sheetFormatPr defaultRowHeight="14.4" x14ac:dyDescent="0.3"/>
  <cols>
    <col min="1" max="1" width="27.6640625" bestFit="1" customWidth="1"/>
    <col min="2" max="5" width="19.5546875" bestFit="1" customWidth="1"/>
    <col min="6" max="6" width="34.44140625" customWidth="1"/>
    <col min="7" max="7" width="15.88671875" bestFit="1" customWidth="1"/>
    <col min="8" max="8" width="16.33203125" bestFit="1" customWidth="1"/>
    <col min="9" max="10" width="15.88671875" bestFit="1" customWidth="1"/>
  </cols>
  <sheetData>
    <row r="1" spans="1:10" x14ac:dyDescent="0.3">
      <c r="A1" s="1" t="s">
        <v>40</v>
      </c>
    </row>
    <row r="2" spans="1:10" x14ac:dyDescent="0.3">
      <c r="B2" s="129" t="s">
        <v>41</v>
      </c>
      <c r="C2" s="129" t="s">
        <v>42</v>
      </c>
      <c r="D2" s="129" t="s">
        <v>43</v>
      </c>
      <c r="E2" s="129" t="s">
        <v>44</v>
      </c>
      <c r="F2" s="1" t="s">
        <v>38</v>
      </c>
      <c r="G2" s="129" t="s">
        <v>45</v>
      </c>
      <c r="H2" s="129" t="s">
        <v>46</v>
      </c>
    </row>
    <row r="3" spans="1:10" x14ac:dyDescent="0.3">
      <c r="A3" s="150" t="s">
        <v>214</v>
      </c>
      <c r="B3" s="2">
        <v>716924000000</v>
      </c>
      <c r="C3" s="2">
        <v>637959000000</v>
      </c>
      <c r="D3" s="2">
        <v>574785000000</v>
      </c>
      <c r="E3" s="2">
        <v>513983000000</v>
      </c>
      <c r="F3" s="3" t="s">
        <v>216</v>
      </c>
      <c r="G3" s="67">
        <f>(B3-E3)/E3</f>
        <v>0.39483990715646239</v>
      </c>
      <c r="H3" t="str">
        <f ca="1">_xlfn.FORMULATEXT(G3)</f>
        <v>=(B3-E3)/E3</v>
      </c>
      <c r="I3" s="2"/>
      <c r="J3" s="2"/>
    </row>
    <row r="4" spans="1:10" x14ac:dyDescent="0.3">
      <c r="A4" s="151" t="s">
        <v>215</v>
      </c>
      <c r="B4" s="2">
        <v>713163000000</v>
      </c>
      <c r="C4" s="2">
        <v>680985000000</v>
      </c>
      <c r="D4" s="2">
        <v>648125000000</v>
      </c>
      <c r="E4" s="2">
        <v>611289000000</v>
      </c>
      <c r="F4" s="3" t="s">
        <v>218</v>
      </c>
      <c r="G4" s="67">
        <f>(B4-E4)/E4</f>
        <v>0.16665439751083366</v>
      </c>
      <c r="H4" t="str">
        <f ca="1">_xlfn.FORMULATEXT(G4)</f>
        <v>=(B4-E4)/E4</v>
      </c>
      <c r="I4" s="2"/>
      <c r="J4" s="2"/>
    </row>
    <row r="5" spans="1:10" x14ac:dyDescent="0.3">
      <c r="A5" s="150" t="s">
        <v>217</v>
      </c>
      <c r="B5" s="2">
        <v>996347000000</v>
      </c>
      <c r="C5" s="2">
        <v>941168000000</v>
      </c>
      <c r="D5" s="2">
        <v>868687000000</v>
      </c>
      <c r="E5" s="2">
        <v>853062000000</v>
      </c>
      <c r="F5" s="3" t="s">
        <v>229</v>
      </c>
      <c r="G5" s="67">
        <f>(B5-E5)/E5</f>
        <v>0.16796551716053465</v>
      </c>
      <c r="H5" t="str">
        <f ca="1">_xlfn.FORMULATEXT(G5)</f>
        <v>=(B5-E5)/E5</v>
      </c>
    </row>
    <row r="6" spans="1:10" x14ac:dyDescent="0.3">
      <c r="B6" s="65"/>
    </row>
    <row r="7" spans="1:10" x14ac:dyDescent="0.3">
      <c r="A7" s="152" t="s">
        <v>47</v>
      </c>
      <c r="B7" s="65"/>
      <c r="C7" s="65"/>
      <c r="D7" s="65"/>
      <c r="E7" s="65"/>
      <c r="G7" s="68">
        <f>AVERAGE(G3:G4)</f>
        <v>0.280747152333648</v>
      </c>
      <c r="H7" t="str">
        <f ca="1">_xlfn.FORMULATEXT(G7)</f>
        <v>=AVERAGE(G3:G4)</v>
      </c>
    </row>
    <row r="8" spans="1:10" x14ac:dyDescent="0.3">
      <c r="A8" s="152" t="s">
        <v>48</v>
      </c>
      <c r="B8" s="65"/>
      <c r="C8" s="65"/>
      <c r="D8" s="65"/>
      <c r="E8" s="65"/>
      <c r="G8" s="68">
        <f>AVERAGE(G3:G4)</f>
        <v>0.280747152333648</v>
      </c>
      <c r="H8" t="str">
        <f ca="1">_xlfn.FORMULATEXT(G8)</f>
        <v>=AVERAGE(G3:G4)</v>
      </c>
    </row>
    <row r="9" spans="1:10" x14ac:dyDescent="0.3">
      <c r="A9" s="65"/>
      <c r="B9" s="65"/>
    </row>
    <row r="10" spans="1:10" x14ac:dyDescent="0.3">
      <c r="A10" s="66" t="s">
        <v>49</v>
      </c>
      <c r="F10" s="1" t="s">
        <v>46</v>
      </c>
    </row>
    <row r="11" spans="1:10" x14ac:dyDescent="0.3">
      <c r="B11" t="s">
        <v>50</v>
      </c>
      <c r="C11" t="s">
        <v>51</v>
      </c>
      <c r="D11" t="s">
        <v>52</v>
      </c>
      <c r="G11" t="s">
        <v>50</v>
      </c>
      <c r="H11" t="s">
        <v>51</v>
      </c>
      <c r="I11" t="s">
        <v>52</v>
      </c>
    </row>
    <row r="12" spans="1:10" x14ac:dyDescent="0.3">
      <c r="A12" s="150" t="s">
        <v>214</v>
      </c>
      <c r="B12">
        <f t="shared" ref="B12:D14" si="0">(B3-C3)/C3</f>
        <v>0.12377754683294695</v>
      </c>
      <c r="C12">
        <f t="shared" si="0"/>
        <v>0.10990892246666145</v>
      </c>
      <c r="D12">
        <f t="shared" si="0"/>
        <v>0.11829574129883673</v>
      </c>
      <c r="F12" s="150" t="s">
        <v>214</v>
      </c>
      <c r="G12" t="str">
        <f t="shared" ref="G12:I13" ca="1" si="1">_xlfn.FORMULATEXT(B12)</f>
        <v>=(B3-C3)/C3</v>
      </c>
      <c r="H12" t="str">
        <f t="shared" ca="1" si="1"/>
        <v>=(C3-D3)/D3</v>
      </c>
      <c r="I12" t="str">
        <f t="shared" ca="1" si="1"/>
        <v>=(D3-E3)/E3</v>
      </c>
    </row>
    <row r="13" spans="1:10" x14ac:dyDescent="0.3">
      <c r="A13" s="151" t="s">
        <v>215</v>
      </c>
      <c r="B13">
        <f t="shared" si="0"/>
        <v>4.7252142117667789E-2</v>
      </c>
      <c r="C13">
        <f t="shared" si="0"/>
        <v>5.070009643201543E-2</v>
      </c>
      <c r="D13">
        <f t="shared" si="0"/>
        <v>6.0259549901928548E-2</v>
      </c>
      <c r="F13" s="151" t="s">
        <v>215</v>
      </c>
      <c r="G13" t="str">
        <f t="shared" ca="1" si="1"/>
        <v>=(B4-C4)/C4</v>
      </c>
      <c r="H13" t="str">
        <f t="shared" ca="1" si="1"/>
        <v>=(C4-D4)/D4</v>
      </c>
      <c r="I13" t="str">
        <f t="shared" ca="1" si="1"/>
        <v>=(D4-E4)/E4</v>
      </c>
    </row>
    <row r="14" spans="1:10" x14ac:dyDescent="0.3">
      <c r="A14" s="150" t="s">
        <v>217</v>
      </c>
      <c r="B14">
        <f t="shared" si="0"/>
        <v>5.8628215153936389E-2</v>
      </c>
      <c r="C14">
        <f t="shared" si="0"/>
        <v>8.343741761992525E-2</v>
      </c>
      <c r="D14">
        <f t="shared" si="0"/>
        <v>1.8316370908562331E-2</v>
      </c>
      <c r="F14" s="150" t="s">
        <v>217</v>
      </c>
      <c r="G14" t="str">
        <f t="shared" ref="G14" ca="1" si="2">_xlfn.FORMULATEXT(B14)</f>
        <v>=(B5-C5)/C5</v>
      </c>
      <c r="H14" t="str">
        <f t="shared" ref="H14" ca="1" si="3">_xlfn.FORMULATEXT(C14)</f>
        <v>=(C5-D5)/D5</v>
      </c>
      <c r="I14" t="str">
        <f t="shared" ref="I14" ca="1" si="4">_xlfn.FORMULATEXT(D14)</f>
        <v>=(D5-E5)/E5</v>
      </c>
    </row>
    <row r="16" spans="1:10" x14ac:dyDescent="0.3">
      <c r="A16" s="152" t="s">
        <v>47</v>
      </c>
      <c r="D16" s="68">
        <f>AVERAGE(B12:D14)</f>
        <v>7.4508444748053432E-2</v>
      </c>
      <c r="F16" t="str">
        <f ca="1">_xlfn.FORMULATEXT(D16)</f>
        <v>=AVERAGE(B12:D14)</v>
      </c>
    </row>
    <row r="17" spans="1:9" x14ac:dyDescent="0.3">
      <c r="A17" s="152" t="s">
        <v>48</v>
      </c>
      <c r="D17" s="68">
        <f>AVERAGE(D12:D14)</f>
        <v>6.5623887369775868E-2</v>
      </c>
      <c r="F17" t="str">
        <f ca="1">_xlfn.FORMULATEXT(D17)</f>
        <v>=AVERAGE(D12:D14)</v>
      </c>
    </row>
    <row r="20" spans="1:9" x14ac:dyDescent="0.3">
      <c r="A20" s="66" t="s">
        <v>219</v>
      </c>
    </row>
    <row r="21" spans="1:9" x14ac:dyDescent="0.3">
      <c r="A21" s="150" t="s">
        <v>214</v>
      </c>
      <c r="B21" s="2">
        <v>360510000000</v>
      </c>
      <c r="C21" s="2">
        <v>311671000000</v>
      </c>
      <c r="D21" s="2">
        <v>270046000000</v>
      </c>
      <c r="E21" s="2">
        <v>225152000000</v>
      </c>
      <c r="F21" s="3" t="s">
        <v>216</v>
      </c>
      <c r="G21" s="2"/>
    </row>
    <row r="22" spans="1:9" x14ac:dyDescent="0.3">
      <c r="A22" s="151" t="s">
        <v>215</v>
      </c>
      <c r="B22" s="2">
        <v>177768000000</v>
      </c>
      <c r="C22" s="2">
        <v>169232000000</v>
      </c>
      <c r="D22" s="2">
        <v>157983000000</v>
      </c>
      <c r="E22" s="2">
        <v>147568000000</v>
      </c>
      <c r="F22" s="3" t="s">
        <v>218</v>
      </c>
      <c r="G22" s="2"/>
      <c r="H22" s="65"/>
    </row>
    <row r="23" spans="1:9" x14ac:dyDescent="0.3">
      <c r="A23" s="150" t="s">
        <v>217</v>
      </c>
      <c r="B23" s="2">
        <v>398062000000</v>
      </c>
      <c r="C23" s="2">
        <v>354845000000</v>
      </c>
      <c r="D23" s="2">
        <v>318992000000</v>
      </c>
      <c r="E23" s="2">
        <v>313612000000</v>
      </c>
      <c r="F23" s="3" t="s">
        <v>229</v>
      </c>
      <c r="H23" s="65"/>
    </row>
    <row r="24" spans="1:9" x14ac:dyDescent="0.3">
      <c r="B24" s="2"/>
      <c r="H24" s="65"/>
    </row>
    <row r="25" spans="1:9" x14ac:dyDescent="0.3">
      <c r="A25" s="1" t="s">
        <v>220</v>
      </c>
      <c r="H25" s="65"/>
    </row>
    <row r="26" spans="1:9" x14ac:dyDescent="0.3">
      <c r="A26" s="150" t="s">
        <v>214</v>
      </c>
      <c r="B26" s="148">
        <f t="shared" ref="B26:E28" si="5">B21/B3</f>
        <v>0.50285664868242663</v>
      </c>
      <c r="C26" s="148">
        <f t="shared" si="5"/>
        <v>0.48854393464156787</v>
      </c>
      <c r="D26" s="148">
        <f t="shared" si="5"/>
        <v>0.46982088955000567</v>
      </c>
      <c r="E26" s="148">
        <f t="shared" si="5"/>
        <v>0.43805339865326287</v>
      </c>
      <c r="F26" s="155"/>
      <c r="G26" s="155"/>
      <c r="H26" s="155"/>
      <c r="I26" s="155"/>
    </row>
    <row r="27" spans="1:9" x14ac:dyDescent="0.3">
      <c r="A27" s="151" t="s">
        <v>215</v>
      </c>
      <c r="B27" s="148">
        <f t="shared" si="5"/>
        <v>0.24926699786724774</v>
      </c>
      <c r="C27" s="148">
        <f t="shared" si="5"/>
        <v>0.24851061330278934</v>
      </c>
      <c r="D27" s="148">
        <f t="shared" si="5"/>
        <v>0.24375390549662487</v>
      </c>
      <c r="E27" s="148">
        <f t="shared" si="5"/>
        <v>0.24140463839525986</v>
      </c>
      <c r="F27" s="155"/>
      <c r="G27" s="155"/>
      <c r="H27" s="155"/>
      <c r="I27" s="155"/>
    </row>
    <row r="28" spans="1:9" x14ac:dyDescent="0.3">
      <c r="A28" s="150" t="s">
        <v>217</v>
      </c>
      <c r="B28" s="148">
        <f t="shared" si="5"/>
        <v>0.39952145186365795</v>
      </c>
      <c r="C28" s="148">
        <f t="shared" si="5"/>
        <v>0.37702620573585161</v>
      </c>
      <c r="D28" s="148">
        <f t="shared" si="5"/>
        <v>0.36721166542149242</v>
      </c>
      <c r="E28" s="148">
        <f t="shared" si="5"/>
        <v>0.36763095765606718</v>
      </c>
      <c r="F28" s="155"/>
      <c r="G28" s="155"/>
      <c r="H28" s="155"/>
      <c r="I28" s="155"/>
    </row>
    <row r="30" spans="1:9" x14ac:dyDescent="0.3">
      <c r="A30" s="152" t="s">
        <v>47</v>
      </c>
      <c r="B30" s="46">
        <f>AVERAGE(B26:E27)</f>
        <v>0.36027637832364812</v>
      </c>
    </row>
    <row r="33" spans="1:3" x14ac:dyDescent="0.3">
      <c r="A33" s="1" t="s">
        <v>221</v>
      </c>
    </row>
    <row r="34" spans="1:3" x14ac:dyDescent="0.3">
      <c r="A34" s="150" t="s">
        <v>214</v>
      </c>
      <c r="B34" s="46">
        <v>0.19600000000000001</v>
      </c>
      <c r="C34" s="3" t="s">
        <v>227</v>
      </c>
    </row>
    <row r="35" spans="1:3" x14ac:dyDescent="0.3">
      <c r="A35" s="150" t="s">
        <v>215</v>
      </c>
      <c r="B35" s="149">
        <v>0.23400000000000001</v>
      </c>
      <c r="C35" s="3" t="s">
        <v>226</v>
      </c>
    </row>
    <row r="36" spans="1:3" x14ac:dyDescent="0.3">
      <c r="A36" s="150" t="s">
        <v>222</v>
      </c>
      <c r="B36" s="149">
        <v>0.25519999999999998</v>
      </c>
      <c r="C36" t="s">
        <v>228</v>
      </c>
    </row>
    <row r="38" spans="1:3" x14ac:dyDescent="0.3">
      <c r="A38" s="153" t="s">
        <v>47</v>
      </c>
      <c r="B38" s="149">
        <f>AVERAGE(B34:B36)</f>
        <v>0.22840000000000002</v>
      </c>
    </row>
    <row r="41" spans="1:3" x14ac:dyDescent="0.3">
      <c r="A41" s="1" t="s">
        <v>175</v>
      </c>
    </row>
    <row r="42" spans="1:3" x14ac:dyDescent="0.3">
      <c r="A42" s="150" t="s">
        <v>214</v>
      </c>
      <c r="B42" s="2">
        <v>67729000000</v>
      </c>
      <c r="C42" s="3" t="s">
        <v>233</v>
      </c>
    </row>
    <row r="43" spans="1:3" x14ac:dyDescent="0.3">
      <c r="A43" s="151" t="s">
        <v>215</v>
      </c>
      <c r="B43" s="2">
        <v>9975000000</v>
      </c>
      <c r="C43" s="3" t="s">
        <v>226</v>
      </c>
    </row>
    <row r="44" spans="1:3" x14ac:dyDescent="0.3">
      <c r="A44" s="150" t="s">
        <v>217</v>
      </c>
      <c r="B44" s="2">
        <v>129075000000</v>
      </c>
      <c r="C44" s="3" t="s">
        <v>234</v>
      </c>
    </row>
    <row r="46" spans="1:3" x14ac:dyDescent="0.3">
      <c r="A46" s="1" t="s">
        <v>145</v>
      </c>
    </row>
    <row r="47" spans="1:3" x14ac:dyDescent="0.3">
      <c r="A47" s="150" t="s">
        <v>214</v>
      </c>
      <c r="B47" s="148">
        <f>B42/B3</f>
        <v>9.4471659478550032E-2</v>
      </c>
    </row>
    <row r="48" spans="1:3" x14ac:dyDescent="0.3">
      <c r="A48" s="151" t="s">
        <v>215</v>
      </c>
      <c r="B48" s="148">
        <f t="shared" ref="B48:B49" si="6">B43/B4</f>
        <v>1.3986984742618447E-2</v>
      </c>
    </row>
    <row r="49" spans="1:2" x14ac:dyDescent="0.3">
      <c r="A49" s="150" t="s">
        <v>217</v>
      </c>
      <c r="B49" s="148">
        <f t="shared" si="6"/>
        <v>0.12954823971969606</v>
      </c>
    </row>
    <row r="51" spans="1:2" x14ac:dyDescent="0.3">
      <c r="A51" s="1" t="s">
        <v>235</v>
      </c>
    </row>
    <row r="52" spans="1:2" x14ac:dyDescent="0.3">
      <c r="A52" s="150" t="s">
        <v>214</v>
      </c>
      <c r="B52" s="2">
        <v>94363000000</v>
      </c>
    </row>
    <row r="53" spans="1:2" x14ac:dyDescent="0.3">
      <c r="A53" s="151" t="s">
        <v>215</v>
      </c>
      <c r="B53" s="2">
        <v>58666000000</v>
      </c>
    </row>
    <row r="54" spans="1:2" x14ac:dyDescent="0.3">
      <c r="A54" s="150" t="s">
        <v>217</v>
      </c>
      <c r="B54" s="2">
        <v>249158000000</v>
      </c>
    </row>
    <row r="56" spans="1:2" x14ac:dyDescent="0.3">
      <c r="A56" s="1" t="s">
        <v>236</v>
      </c>
    </row>
    <row r="57" spans="1:2" x14ac:dyDescent="0.3">
      <c r="A57" s="150" t="s">
        <v>214</v>
      </c>
      <c r="B57" s="2">
        <v>304739000000</v>
      </c>
    </row>
    <row r="58" spans="1:2" x14ac:dyDescent="0.3">
      <c r="A58" s="151" t="s">
        <v>215</v>
      </c>
      <c r="B58" s="2">
        <v>511753000000</v>
      </c>
    </row>
    <row r="59" spans="1:2" x14ac:dyDescent="0.3">
      <c r="A59" s="150" t="s">
        <v>217</v>
      </c>
      <c r="B59" s="2">
        <v>598285000000</v>
      </c>
    </row>
    <row r="61" spans="1:2" x14ac:dyDescent="0.3">
      <c r="A61" s="1" t="s">
        <v>146</v>
      </c>
    </row>
    <row r="62" spans="1:2" x14ac:dyDescent="0.3">
      <c r="A62" s="150" t="s">
        <v>214</v>
      </c>
      <c r="B62" s="148">
        <f>B52/B57</f>
        <v>0.30965186602305578</v>
      </c>
    </row>
    <row r="63" spans="1:2" x14ac:dyDescent="0.3">
      <c r="A63" s="151" t="s">
        <v>215</v>
      </c>
      <c r="B63" s="148">
        <f t="shared" ref="B63:B64" si="7">B53/B58</f>
        <v>0.11463733480800307</v>
      </c>
    </row>
    <row r="64" spans="1:2" x14ac:dyDescent="0.3">
      <c r="A64" s="150" t="s">
        <v>217</v>
      </c>
      <c r="B64" s="148">
        <f t="shared" si="7"/>
        <v>0.4164536968167345</v>
      </c>
    </row>
  </sheetData>
  <hyperlinks>
    <hyperlink ref="F3" r:id="rId1" display="https://finance.yahoo.com/quote/AMZN/financials/" xr:uid="{893B3DE4-2F16-49F8-AF73-AC4AFBD9CB94}"/>
    <hyperlink ref="F4" r:id="rId2" display="https://finance.yahoo.com/quote/WMT/financials/" xr:uid="{8F16A254-2290-47DE-9D7E-F2753FF4F8F8}"/>
    <hyperlink ref="C35" r:id="rId3" display="https://stock.walmart.com/_assets/_d172a7918f5003c834c91e68d309d655/walmart/db/950/9949/annual_report/Walmart+2025+Annual+Report.pdf" xr:uid="{3F514231-6889-4342-860E-5BAFB4E2DD65}"/>
    <hyperlink ref="C34" r:id="rId4" display="https://www.politico.com/news/2026/02/06/amazon-emerges-a-big-winner-from-gop-tax-cuts-00768985" xr:uid="{56BF1152-0522-42D8-8A2F-F0866FD14D45}"/>
    <hyperlink ref="F5" r:id="rId5" display="https://finance.yahoo.com/quote/BABA/financials/" xr:uid="{FAE31A57-EAA4-4C50-8EC9-0BFB607021E0}"/>
    <hyperlink ref="F21" r:id="rId6" display="https://finance.yahoo.com/quote/AMZN/financials/" xr:uid="{3D67F65D-E4C6-4163-B508-3EE74CE89B92}"/>
    <hyperlink ref="F22" r:id="rId7" display="https://finance.yahoo.com/quote/WMT/financials/" xr:uid="{0CEE621C-ECD1-4FFA-B245-9F4C02C93763}"/>
    <hyperlink ref="F23" r:id="rId8" display="https://finance.yahoo.com/quote/BABA/financials/" xr:uid="{0F1B9134-18E6-495C-81CA-3C34AB03436C}"/>
    <hyperlink ref="C42" r:id="rId9" display="https://fintel.io/doc/sec-amazon-com-inc-1018724-10k-2026-february-06-20490-10" xr:uid="{83F6CAED-30C9-4669-A5E5-B1B717C3344C}"/>
    <hyperlink ref="C44" r:id="rId10" display="https://finance.yahoo.com/quote/BABA/balance-sheet/?err=1" xr:uid="{C5B37C03-A5F2-4D56-A019-87AB9A338973}"/>
    <hyperlink ref="C43" r:id="rId11" display="https://stock.walmart.com/_assets/_d172a7918f5003c834c91e68d309d655/walmart/db/950/9949/annual_report/Walmart+2025+Annual+Report.pdf" xr:uid="{F9ADB098-4AB9-4C08-8DFB-19540EB7864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ADF21-0F4A-4DB3-8CC5-3242B32CC313}">
  <dimension ref="A1:F6"/>
  <sheetViews>
    <sheetView workbookViewId="0">
      <selection activeCell="A2" sqref="A2:A4"/>
    </sheetView>
  </sheetViews>
  <sheetFormatPr defaultRowHeight="14.4" x14ac:dyDescent="0.3"/>
  <cols>
    <col min="1" max="1" width="14" customWidth="1"/>
    <col min="2" max="2" width="9.33203125" bestFit="1" customWidth="1"/>
    <col min="4" max="4" width="9.33203125" bestFit="1" customWidth="1"/>
  </cols>
  <sheetData>
    <row r="1" spans="1:6" s="1" customFormat="1" x14ac:dyDescent="0.3">
      <c r="A1" s="1" t="s">
        <v>57</v>
      </c>
      <c r="B1" s="1" t="s">
        <v>53</v>
      </c>
      <c r="C1" s="1" t="s">
        <v>58</v>
      </c>
      <c r="D1" s="1" t="s">
        <v>38</v>
      </c>
      <c r="E1" s="1" t="s">
        <v>54</v>
      </c>
      <c r="F1" s="1" t="s">
        <v>38</v>
      </c>
    </row>
    <row r="2" spans="1:6" x14ac:dyDescent="0.3">
      <c r="A2" t="s">
        <v>214</v>
      </c>
      <c r="B2" t="s">
        <v>59</v>
      </c>
      <c r="C2" t="s">
        <v>223</v>
      </c>
      <c r="D2" s="8" t="s">
        <v>61</v>
      </c>
      <c r="E2" s="46">
        <v>4.82E-2</v>
      </c>
      <c r="F2" s="3" t="s">
        <v>225</v>
      </c>
    </row>
    <row r="3" spans="1:6" x14ac:dyDescent="0.3">
      <c r="A3" t="s">
        <v>215</v>
      </c>
      <c r="B3" t="s">
        <v>224</v>
      </c>
      <c r="C3" t="s">
        <v>223</v>
      </c>
      <c r="D3" s="8" t="s">
        <v>61</v>
      </c>
      <c r="E3" s="46">
        <v>4.82E-2</v>
      </c>
      <c r="F3" s="3" t="s">
        <v>225</v>
      </c>
    </row>
    <row r="4" spans="1:6" x14ac:dyDescent="0.3">
      <c r="A4" t="s">
        <v>217</v>
      </c>
      <c r="B4" t="s">
        <v>59</v>
      </c>
      <c r="C4" t="s">
        <v>56</v>
      </c>
      <c r="D4" s="8" t="s">
        <v>61</v>
      </c>
      <c r="E4" s="46">
        <v>4.82E-2</v>
      </c>
      <c r="F4" s="3" t="s">
        <v>225</v>
      </c>
    </row>
    <row r="5" spans="1:6" x14ac:dyDescent="0.3">
      <c r="D5" s="8"/>
      <c r="E5" s="46"/>
      <c r="F5" s="3"/>
    </row>
    <row r="6" spans="1:6" x14ac:dyDescent="0.3">
      <c r="B6" s="6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16165-5F86-471D-8CC0-A7B4A804F501}">
  <dimension ref="B1:X58"/>
  <sheetViews>
    <sheetView zoomScale="75" zoomScaleNormal="60" workbookViewId="0">
      <selection activeCell="I23" sqref="I23"/>
    </sheetView>
  </sheetViews>
  <sheetFormatPr defaultRowHeight="14.4" x14ac:dyDescent="0.3"/>
  <cols>
    <col min="2" max="2" width="19.5546875" bestFit="1" customWidth="1"/>
    <col min="3" max="3" width="17.5546875" customWidth="1"/>
    <col min="4" max="5" width="23.6640625" bestFit="1" customWidth="1"/>
    <col min="6" max="6" width="8.88671875" customWidth="1"/>
    <col min="7" max="7" width="12" bestFit="1" customWidth="1"/>
    <col min="8" max="8" width="13.33203125" customWidth="1"/>
    <col min="9" max="9" width="20.33203125" customWidth="1"/>
    <col min="10" max="10" width="17.44140625" bestFit="1" customWidth="1"/>
    <col min="12" max="12" width="15.5546875" bestFit="1" customWidth="1"/>
    <col min="14" max="14" width="19.5546875" bestFit="1" customWidth="1"/>
    <col min="15" max="15" width="17.5546875" customWidth="1"/>
    <col min="16" max="17" width="21.5546875" bestFit="1" customWidth="1"/>
    <col min="19" max="19" width="11.6640625" bestFit="1" customWidth="1"/>
    <col min="20" max="20" width="13.33203125" customWidth="1"/>
    <col min="21" max="21" width="20.33203125" customWidth="1"/>
    <col min="22" max="22" width="17.44140625" bestFit="1" customWidth="1"/>
  </cols>
  <sheetData>
    <row r="1" spans="2:24" x14ac:dyDescent="0.3">
      <c r="B1" s="80" t="s">
        <v>57</v>
      </c>
      <c r="C1" s="81" t="s">
        <v>62</v>
      </c>
      <c r="D1" s="80" t="s">
        <v>63</v>
      </c>
      <c r="E1" s="80" t="s">
        <v>64</v>
      </c>
      <c r="F1" s="81" t="s">
        <v>65</v>
      </c>
      <c r="G1" s="81" t="s">
        <v>66</v>
      </c>
      <c r="H1" s="81" t="s">
        <v>67</v>
      </c>
      <c r="I1" s="87" t="s">
        <v>68</v>
      </c>
      <c r="J1" s="82" t="s">
        <v>69</v>
      </c>
      <c r="K1" s="81" t="s">
        <v>70</v>
      </c>
      <c r="L1" s="81" t="s">
        <v>71</v>
      </c>
    </row>
    <row r="2" spans="2:24" x14ac:dyDescent="0.3">
      <c r="B2" s="83" t="s">
        <v>214</v>
      </c>
      <c r="C2" s="135">
        <v>1.38</v>
      </c>
      <c r="D2" s="136">
        <v>0</v>
      </c>
      <c r="E2" s="136">
        <v>2690000000000</v>
      </c>
      <c r="F2" s="84">
        <f>D2/E2</f>
        <v>0</v>
      </c>
      <c r="G2" s="84">
        <f>F2/(F2+1)</f>
        <v>0</v>
      </c>
      <c r="H2" s="84">
        <f>1-G2</f>
        <v>1</v>
      </c>
      <c r="I2" s="137" t="s">
        <v>60</v>
      </c>
      <c r="J2" s="137" t="s">
        <v>72</v>
      </c>
      <c r="K2" s="137">
        <v>0.05</v>
      </c>
      <c r="L2" s="84">
        <f>G2*K2+H2*C2</f>
        <v>1.38</v>
      </c>
      <c r="N2" s="3" t="s">
        <v>231</v>
      </c>
    </row>
    <row r="3" spans="2:24" x14ac:dyDescent="0.3">
      <c r="B3" s="83" t="s">
        <v>215</v>
      </c>
      <c r="C3" s="135">
        <v>0.66</v>
      </c>
      <c r="D3" s="136">
        <v>30030000</v>
      </c>
      <c r="E3" s="136">
        <v>994640000000</v>
      </c>
      <c r="F3" s="84">
        <f>D3/E3</f>
        <v>3.0191828199147432E-5</v>
      </c>
      <c r="G3" s="84">
        <f>F3/(F3+1)</f>
        <v>3.0190916680177851E-5</v>
      </c>
      <c r="H3" s="84">
        <f>1-G3</f>
        <v>0.99996980908331978</v>
      </c>
      <c r="I3" s="137" t="s">
        <v>60</v>
      </c>
      <c r="J3" s="137" t="s">
        <v>72</v>
      </c>
      <c r="K3" s="137">
        <v>0.05</v>
      </c>
      <c r="L3" s="89">
        <f>G3*K3+H3*C3</f>
        <v>0.65998158354082503</v>
      </c>
      <c r="N3" s="3" t="s">
        <v>218</v>
      </c>
    </row>
    <row r="4" spans="2:24" ht="15" thickBot="1" x14ac:dyDescent="0.35">
      <c r="B4" s="83" t="s">
        <v>217</v>
      </c>
      <c r="C4" s="135">
        <v>0.49</v>
      </c>
      <c r="D4" s="136">
        <v>0</v>
      </c>
      <c r="E4" s="136">
        <v>314090000000</v>
      </c>
      <c r="F4" s="84"/>
      <c r="G4" s="84"/>
      <c r="H4" s="84"/>
      <c r="I4" s="137"/>
      <c r="J4" s="137"/>
      <c r="K4" s="154"/>
      <c r="L4" s="12"/>
      <c r="N4" s="3" t="s">
        <v>230</v>
      </c>
    </row>
    <row r="5" spans="2:24" ht="15" thickBot="1" x14ac:dyDescent="0.35">
      <c r="B5" s="83" t="s">
        <v>47</v>
      </c>
      <c r="C5" s="86"/>
      <c r="D5" s="86"/>
      <c r="E5" s="86"/>
      <c r="F5" s="86"/>
      <c r="G5" s="86"/>
      <c r="H5" s="86"/>
      <c r="I5" s="86"/>
      <c r="J5" s="86"/>
      <c r="K5" s="88"/>
      <c r="L5" s="90">
        <f>AVERAGE(L2:L4)</f>
        <v>1.0199907917704125</v>
      </c>
    </row>
    <row r="7" spans="2:24" x14ac:dyDescent="0.3">
      <c r="B7" s="80" t="s">
        <v>57</v>
      </c>
      <c r="C7" s="81" t="s">
        <v>62</v>
      </c>
      <c r="D7" s="80" t="s">
        <v>63</v>
      </c>
      <c r="E7" s="80" t="s">
        <v>64</v>
      </c>
      <c r="F7" s="81" t="s">
        <v>65</v>
      </c>
      <c r="G7" s="81" t="s">
        <v>66</v>
      </c>
      <c r="H7" s="81" t="s">
        <v>67</v>
      </c>
      <c r="I7" s="87" t="s">
        <v>68</v>
      </c>
      <c r="J7" s="82" t="s">
        <v>69</v>
      </c>
      <c r="K7" s="81" t="s">
        <v>70</v>
      </c>
      <c r="L7" s="81" t="s">
        <v>71</v>
      </c>
    </row>
    <row r="8" spans="2:24" x14ac:dyDescent="0.3">
      <c r="B8" s="83" t="s">
        <v>214</v>
      </c>
      <c r="C8" s="84">
        <f t="shared" ref="C8:L8" ca="1" si="0">IFERROR(_xlfn.FORMULATEXT(C2),C2)</f>
        <v>1.38</v>
      </c>
      <c r="D8" s="84">
        <f t="shared" ca="1" si="0"/>
        <v>0</v>
      </c>
      <c r="E8" s="84">
        <f t="shared" ca="1" si="0"/>
        <v>2690000000000</v>
      </c>
      <c r="F8" s="84" t="str">
        <f t="shared" ca="1" si="0"/>
        <v>=D2/E2</v>
      </c>
      <c r="G8" s="84" t="str">
        <f t="shared" ca="1" si="0"/>
        <v>=F2/(F2+1)</v>
      </c>
      <c r="H8" s="84" t="str">
        <f t="shared" ca="1" si="0"/>
        <v>=1-G2</v>
      </c>
      <c r="I8" s="84" t="str">
        <f t="shared" ca="1" si="0"/>
        <v>BBB</v>
      </c>
      <c r="J8" s="84" t="str">
        <f t="shared" ca="1" si="0"/>
        <v>~5%</v>
      </c>
      <c r="K8" s="84">
        <f t="shared" ca="1" si="0"/>
        <v>0.05</v>
      </c>
      <c r="L8" s="84" t="str">
        <f t="shared" ca="1" si="0"/>
        <v>=G2*K2+H2*C2</v>
      </c>
    </row>
    <row r="9" spans="2:24" x14ac:dyDescent="0.3">
      <c r="B9" s="83" t="s">
        <v>215</v>
      </c>
      <c r="C9" s="84">
        <f t="shared" ref="C9:L10" ca="1" si="1">IFERROR(_xlfn.FORMULATEXT(C3),C3)</f>
        <v>0.66</v>
      </c>
      <c r="D9" s="84">
        <f t="shared" ca="1" si="1"/>
        <v>30030000</v>
      </c>
      <c r="E9" s="84">
        <f t="shared" ca="1" si="1"/>
        <v>994640000000</v>
      </c>
      <c r="F9" s="84" t="str">
        <f t="shared" ca="1" si="1"/>
        <v>=D3/E3</v>
      </c>
      <c r="G9" s="84" t="str">
        <f t="shared" ca="1" si="1"/>
        <v>=F3/(F3+1)</v>
      </c>
      <c r="H9" s="84" t="str">
        <f t="shared" ca="1" si="1"/>
        <v>=1-G3</v>
      </c>
      <c r="I9" s="84" t="str">
        <f t="shared" ca="1" si="1"/>
        <v>BBB</v>
      </c>
      <c r="J9" s="84" t="str">
        <f t="shared" ca="1" si="1"/>
        <v>~5%</v>
      </c>
      <c r="K9" s="84">
        <f t="shared" ca="1" si="1"/>
        <v>0.05</v>
      </c>
      <c r="L9" s="84" t="str">
        <f t="shared" ca="1" si="1"/>
        <v>=G3*K3+H3*C3</v>
      </c>
    </row>
    <row r="10" spans="2:24" x14ac:dyDescent="0.3">
      <c r="B10" s="83" t="s">
        <v>217</v>
      </c>
      <c r="C10" s="84">
        <f t="shared" ca="1" si="1"/>
        <v>0.49</v>
      </c>
      <c r="D10" s="84">
        <f t="shared" ca="1" si="1"/>
        <v>0</v>
      </c>
      <c r="E10" s="84">
        <f t="shared" ca="1" si="1"/>
        <v>314090000000</v>
      </c>
      <c r="F10" s="84">
        <f t="shared" ca="1" si="1"/>
        <v>0</v>
      </c>
      <c r="G10" s="84">
        <f t="shared" ca="1" si="1"/>
        <v>0</v>
      </c>
      <c r="H10" s="84">
        <f t="shared" ca="1" si="1"/>
        <v>0</v>
      </c>
      <c r="I10" s="84">
        <f t="shared" ca="1" si="1"/>
        <v>0</v>
      </c>
      <c r="J10" s="84">
        <f t="shared" ca="1" si="1"/>
        <v>0</v>
      </c>
      <c r="K10" s="84">
        <f t="shared" ca="1" si="1"/>
        <v>0</v>
      </c>
      <c r="L10" s="84">
        <f t="shared" ca="1" si="1"/>
        <v>0</v>
      </c>
    </row>
    <row r="11" spans="2:24" x14ac:dyDescent="0.3">
      <c r="B11" s="83" t="s">
        <v>47</v>
      </c>
      <c r="C11" s="84"/>
      <c r="D11" s="84"/>
      <c r="E11" s="84"/>
      <c r="F11" s="84"/>
      <c r="G11" s="84"/>
      <c r="H11" s="84"/>
      <c r="I11" s="84"/>
      <c r="J11" s="84"/>
      <c r="K11" s="84"/>
      <c r="L11" s="84" t="str">
        <f ca="1">IFERROR(_xlfn.FORMULATEXT(L5),L5)</f>
        <v>=AVERAGE(L2:L4)</v>
      </c>
    </row>
    <row r="14" spans="2:24" x14ac:dyDescent="0.3">
      <c r="B14" s="80" t="s">
        <v>73</v>
      </c>
      <c r="C14" s="81" t="s">
        <v>62</v>
      </c>
      <c r="D14" s="80" t="s">
        <v>63</v>
      </c>
      <c r="E14" s="80" t="s">
        <v>64</v>
      </c>
      <c r="F14" s="81" t="s">
        <v>65</v>
      </c>
      <c r="G14" s="81" t="s">
        <v>66</v>
      </c>
      <c r="H14" s="81" t="s">
        <v>67</v>
      </c>
      <c r="I14" s="81" t="s">
        <v>68</v>
      </c>
      <c r="J14" s="81" t="s">
        <v>69</v>
      </c>
      <c r="K14" s="81" t="s">
        <v>70</v>
      </c>
      <c r="L14" s="81" t="s">
        <v>71</v>
      </c>
    </row>
    <row r="15" spans="2:24" x14ac:dyDescent="0.3">
      <c r="B15" s="83" t="s">
        <v>73</v>
      </c>
      <c r="C15" s="135">
        <f>AVERAGE(C2:C4)</f>
        <v>0.84333333333333338</v>
      </c>
      <c r="D15" s="136">
        <f>'NPV Calculation_Payoff'!D12</f>
        <v>10010000</v>
      </c>
      <c r="E15" s="136">
        <f>'NPV Calculation_Payoff'!D11</f>
        <v>1332910000000</v>
      </c>
      <c r="F15" s="84">
        <f>D15/E15</f>
        <v>7.509884388293283E-6</v>
      </c>
      <c r="G15" s="122">
        <f>F15/(F15+1)</f>
        <v>7.5098279903532989E-6</v>
      </c>
      <c r="H15" s="122">
        <f>1-G15</f>
        <v>0.99999249017200964</v>
      </c>
      <c r="I15" s="137" t="s">
        <v>56</v>
      </c>
      <c r="J15" s="137" t="s">
        <v>72</v>
      </c>
      <c r="K15" s="137">
        <v>0.05</v>
      </c>
      <c r="L15" s="84">
        <f>G15*K15+H15*C15</f>
        <v>0.84332737553646109</v>
      </c>
    </row>
    <row r="16" spans="2:24" x14ac:dyDescent="0.3">
      <c r="B16" s="118"/>
      <c r="C16" s="12"/>
      <c r="D16" s="119"/>
      <c r="E16" s="119"/>
      <c r="F16" s="12"/>
      <c r="G16" s="12"/>
      <c r="H16" s="12"/>
      <c r="L16" s="12"/>
      <c r="N16" s="118"/>
      <c r="O16" s="12"/>
      <c r="P16" s="12"/>
      <c r="Q16" s="12"/>
      <c r="R16" s="12"/>
      <c r="S16" s="12"/>
      <c r="T16" s="12"/>
      <c r="U16" s="12"/>
      <c r="V16" s="12"/>
      <c r="W16" s="12"/>
      <c r="X16" s="12"/>
    </row>
    <row r="17" spans="2:24" x14ac:dyDescent="0.3">
      <c r="B17" s="80" t="s">
        <v>73</v>
      </c>
      <c r="C17" s="81" t="s">
        <v>62</v>
      </c>
      <c r="D17" s="80" t="s">
        <v>63</v>
      </c>
      <c r="E17" s="80" t="s">
        <v>64</v>
      </c>
      <c r="F17" s="81" t="s">
        <v>65</v>
      </c>
      <c r="G17" s="81" t="s">
        <v>66</v>
      </c>
      <c r="H17" s="81" t="s">
        <v>67</v>
      </c>
      <c r="I17" s="81" t="s">
        <v>68</v>
      </c>
      <c r="J17" s="81" t="s">
        <v>69</v>
      </c>
      <c r="K17" s="81" t="s">
        <v>70</v>
      </c>
      <c r="L17" s="81" t="s">
        <v>71</v>
      </c>
      <c r="N17" s="118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 spans="2:24" x14ac:dyDescent="0.3">
      <c r="B18" s="83" t="s">
        <v>73</v>
      </c>
      <c r="C18" s="84" t="str">
        <f t="shared" ref="C18:L18" ca="1" si="2">IFERROR(_xlfn.FORMULATEXT(C15),C15)</f>
        <v>=AVERAGE(C2:C4)</v>
      </c>
      <c r="D18" s="84" t="str">
        <f t="shared" ca="1" si="2"/>
        <v>='NPV Calculation_Payoff'!D12</v>
      </c>
      <c r="E18" s="84" t="str">
        <f t="shared" ca="1" si="2"/>
        <v>='NPV Calculation_Payoff'!D11</v>
      </c>
      <c r="F18" s="84" t="str">
        <f t="shared" ca="1" si="2"/>
        <v>=D15/E15</v>
      </c>
      <c r="G18" s="84" t="str">
        <f t="shared" ca="1" si="2"/>
        <v>=F15/(F15+1)</v>
      </c>
      <c r="H18" s="84" t="str">
        <f t="shared" ca="1" si="2"/>
        <v>=1-G15</v>
      </c>
      <c r="I18" s="84" t="str">
        <f t="shared" ca="1" si="2"/>
        <v>A</v>
      </c>
      <c r="J18" s="84" t="str">
        <f t="shared" ca="1" si="2"/>
        <v>~5%</v>
      </c>
      <c r="K18" s="84">
        <f t="shared" ca="1" si="2"/>
        <v>0.05</v>
      </c>
      <c r="L18" s="84" t="str">
        <f t="shared" ca="1" si="2"/>
        <v>=G15*K15+H15*C15</v>
      </c>
      <c r="N18" s="118"/>
      <c r="O18" s="12"/>
      <c r="P18" s="12"/>
      <c r="Q18" s="12"/>
      <c r="R18" s="12"/>
      <c r="S18" s="12"/>
      <c r="T18" s="12"/>
      <c r="U18" s="12"/>
      <c r="V18" s="12"/>
      <c r="W18" s="12"/>
      <c r="X18" s="12"/>
    </row>
    <row r="19" spans="2:24" x14ac:dyDescent="0.3">
      <c r="B19" s="118"/>
      <c r="C19" s="12"/>
      <c r="D19" s="119"/>
      <c r="E19" s="119"/>
      <c r="F19" s="12"/>
      <c r="G19" s="12"/>
      <c r="H19" s="12"/>
      <c r="L19" s="12"/>
    </row>
    <row r="20" spans="2:24" ht="18" x14ac:dyDescent="0.35">
      <c r="B20" s="123" t="s">
        <v>74</v>
      </c>
      <c r="C20" s="12"/>
      <c r="D20" s="119"/>
      <c r="E20" s="119"/>
      <c r="F20" s="12"/>
      <c r="G20" s="12"/>
      <c r="H20" s="12"/>
      <c r="L20" s="12"/>
    </row>
    <row r="21" spans="2:24" x14ac:dyDescent="0.3">
      <c r="B21" s="80" t="s">
        <v>75</v>
      </c>
      <c r="C21" s="86"/>
      <c r="D21" s="86"/>
      <c r="E21" s="86"/>
      <c r="F21" s="86"/>
      <c r="G21" s="86"/>
      <c r="H21" s="86"/>
      <c r="I21" s="1"/>
    </row>
    <row r="22" spans="2:24" x14ac:dyDescent="0.3">
      <c r="B22" s="86" t="s">
        <v>76</v>
      </c>
      <c r="C22" s="86"/>
      <c r="D22" s="86" t="s">
        <v>77</v>
      </c>
      <c r="E22" s="86"/>
      <c r="F22" s="86"/>
      <c r="G22" s="86" t="s">
        <v>78</v>
      </c>
      <c r="H22" s="144">
        <v>4.2099999999999999E-2</v>
      </c>
      <c r="L22" s="11"/>
      <c r="M22" s="12"/>
      <c r="N22" t="s">
        <v>79</v>
      </c>
    </row>
    <row r="23" spans="2:24" x14ac:dyDescent="0.3">
      <c r="B23" s="86" t="s">
        <v>80</v>
      </c>
      <c r="C23" s="85">
        <f>'NPV Calculation_Payoff'!$D$16*D23</f>
        <v>350997.36405037536</v>
      </c>
      <c r="D23" s="86">
        <f>'NPV Calculation_Payoff'!J6</f>
        <v>0.99999249017200964</v>
      </c>
      <c r="E23" s="86"/>
      <c r="F23" s="86"/>
      <c r="G23" s="86" t="s">
        <v>81</v>
      </c>
      <c r="H23" s="144">
        <v>9.5399999999999999E-2</v>
      </c>
      <c r="L23" s="11"/>
      <c r="M23" s="12"/>
      <c r="N23" s="11" t="s">
        <v>82</v>
      </c>
    </row>
    <row r="24" spans="2:24" x14ac:dyDescent="0.3">
      <c r="B24" s="86" t="s">
        <v>83</v>
      </c>
      <c r="C24" s="85">
        <f>'NPV Calculation_Payoff'!$D$16*D24</f>
        <v>2.6359496246162184</v>
      </c>
      <c r="D24" s="86">
        <f>1-D23</f>
        <v>7.5098279903595966E-6</v>
      </c>
      <c r="E24" s="86"/>
      <c r="F24" s="86"/>
      <c r="G24" s="86" t="s">
        <v>84</v>
      </c>
      <c r="H24" s="93">
        <f>H23-H22</f>
        <v>5.33E-2</v>
      </c>
      <c r="L24" s="11"/>
      <c r="M24" s="12"/>
      <c r="N24" s="13"/>
    </row>
    <row r="25" spans="2:24" x14ac:dyDescent="0.3">
      <c r="B25" s="86" t="s">
        <v>85</v>
      </c>
      <c r="C25" s="85">
        <f>'FCFE Calculations'!K55</f>
        <v>276292.12987378141</v>
      </c>
      <c r="D25" s="85" t="s">
        <v>86</v>
      </c>
      <c r="E25" s="86"/>
      <c r="F25" s="86"/>
      <c r="G25" s="86"/>
      <c r="H25" s="86"/>
    </row>
    <row r="27" spans="2:24" x14ac:dyDescent="0.3">
      <c r="B27" s="86"/>
      <c r="C27" s="81" t="s">
        <v>71</v>
      </c>
      <c r="D27" s="81" t="s">
        <v>65</v>
      </c>
      <c r="E27" s="81" t="s">
        <v>66</v>
      </c>
      <c r="F27" s="81" t="s">
        <v>67</v>
      </c>
      <c r="G27" s="81" t="s">
        <v>62</v>
      </c>
      <c r="H27" s="81" t="s">
        <v>87</v>
      </c>
      <c r="I27" s="81" t="s">
        <v>88</v>
      </c>
      <c r="J27" s="82" t="s">
        <v>89</v>
      </c>
    </row>
    <row r="28" spans="2:24" x14ac:dyDescent="0.3">
      <c r="B28" s="86" t="s">
        <v>90</v>
      </c>
      <c r="C28" s="84">
        <f t="shared" ref="C28:C38" si="3">$L$5</f>
        <v>1.0199907917704125</v>
      </c>
      <c r="D28" s="84">
        <f>C24/C23</f>
        <v>7.5098843882995807E-6</v>
      </c>
      <c r="E28" s="84">
        <f>D28/(D28+1)</f>
        <v>7.5098279903595966E-6</v>
      </c>
      <c r="F28" s="84">
        <f>1-E28</f>
        <v>0.99999249017200964</v>
      </c>
      <c r="G28" s="84">
        <f>(C28-E28*K2)/F28</f>
        <v>1.0199980762891163</v>
      </c>
      <c r="H28" s="84">
        <f t="shared" ref="H28:H38" si="4">$H$22+G28*$H$24</f>
        <v>9.6465897466209899E-2</v>
      </c>
      <c r="I28" s="94">
        <f>$C$25/(H28-'FCFE Calculations'!$D$14)</f>
        <v>3391506.6115656649</v>
      </c>
    </row>
    <row r="29" spans="2:24" x14ac:dyDescent="0.3">
      <c r="B29" s="86" t="s">
        <v>91</v>
      </c>
      <c r="C29" s="84">
        <f>$L$5</f>
        <v>1.0199907917704125</v>
      </c>
      <c r="D29" s="84">
        <f t="shared" ref="D29:D38" si="5">$C$24/I28</f>
        <v>7.772208420962951E-7</v>
      </c>
      <c r="E29" s="84">
        <f>D29/(D29+1)</f>
        <v>7.772202380245272E-7</v>
      </c>
      <c r="F29" s="84">
        <f>1-E29</f>
        <v>0.99999922277976194</v>
      </c>
      <c r="G29" s="84">
        <f t="shared" ref="G29:G38" si="6">(C29-E29*$K$2)/F29</f>
        <v>1.0199915456674724</v>
      </c>
      <c r="H29" s="84">
        <f t="shared" si="4"/>
        <v>9.6465549384076282E-2</v>
      </c>
      <c r="I29" s="94">
        <f>$C$25/(H29-'FCFE Calculations'!$D$14)</f>
        <v>3391521.1026341771</v>
      </c>
    </row>
    <row r="30" spans="2:24" x14ac:dyDescent="0.3">
      <c r="B30" s="86" t="s">
        <v>92</v>
      </c>
      <c r="C30" s="84">
        <f t="shared" si="3"/>
        <v>1.0199907917704125</v>
      </c>
      <c r="D30" s="84">
        <f t="shared" si="5"/>
        <v>7.7721752123815176E-7</v>
      </c>
      <c r="E30" s="84">
        <f t="shared" ref="E30:E38" si="7">D30/(D30+1)</f>
        <v>7.7721691717154588E-7</v>
      </c>
      <c r="F30" s="84">
        <f>1-E30</f>
        <v>0.99999922278308284</v>
      </c>
      <c r="G30" s="84">
        <f t="shared" si="6"/>
        <v>1.0199915456642512</v>
      </c>
      <c r="H30" s="84">
        <f t="shared" si="4"/>
        <v>9.6465549383904586E-2</v>
      </c>
      <c r="I30" s="94">
        <f>$C$25/(H30-'FCFE Calculations'!$D$14)</f>
        <v>3391521.102641325</v>
      </c>
    </row>
    <row r="31" spans="2:24" x14ac:dyDescent="0.3">
      <c r="B31" s="86" t="s">
        <v>93</v>
      </c>
      <c r="C31" s="84">
        <f t="shared" si="3"/>
        <v>1.0199907917704125</v>
      </c>
      <c r="D31" s="84">
        <f t="shared" si="5"/>
        <v>7.772175212365137E-7</v>
      </c>
      <c r="E31" s="84">
        <f>D31/(D31+1)</f>
        <v>7.7721691716990783E-7</v>
      </c>
      <c r="F31" s="84">
        <f t="shared" ref="F31:F38" si="8">1-E31</f>
        <v>0.99999922278308284</v>
      </c>
      <c r="G31" s="84">
        <f t="shared" si="6"/>
        <v>1.0199915456642512</v>
      </c>
      <c r="H31" s="84">
        <f t="shared" si="4"/>
        <v>9.6465549383904586E-2</v>
      </c>
      <c r="I31" s="94">
        <f>$C$25/(H31-'FCFE Calculations'!$D$14)</f>
        <v>3391521.102641325</v>
      </c>
    </row>
    <row r="32" spans="2:24" x14ac:dyDescent="0.3">
      <c r="B32" s="86" t="s">
        <v>94</v>
      </c>
      <c r="C32" s="84">
        <f t="shared" si="3"/>
        <v>1.0199907917704125</v>
      </c>
      <c r="D32" s="84">
        <f t="shared" si="5"/>
        <v>7.772175212365137E-7</v>
      </c>
      <c r="E32" s="84">
        <f t="shared" si="7"/>
        <v>7.7721691716990783E-7</v>
      </c>
      <c r="F32" s="84">
        <f t="shared" si="8"/>
        <v>0.99999922278308284</v>
      </c>
      <c r="G32" s="84">
        <f t="shared" si="6"/>
        <v>1.0199915456642512</v>
      </c>
      <c r="H32" s="95">
        <f t="shared" si="4"/>
        <v>9.6465549383904586E-2</v>
      </c>
      <c r="I32" s="117">
        <f>$C$25/(H32-'FCFE Calculations'!$D$14)</f>
        <v>3391521.102641325</v>
      </c>
      <c r="J32" s="10">
        <f>I32/(1+'FCFE Calculations'!D9)^'FCFE Calculations'!K22</f>
        <v>1951748.0381023861</v>
      </c>
    </row>
    <row r="33" spans="2:10" x14ac:dyDescent="0.3">
      <c r="B33" s="86" t="s">
        <v>95</v>
      </c>
      <c r="C33" s="84">
        <f t="shared" si="3"/>
        <v>1.0199907917704125</v>
      </c>
      <c r="D33" s="84">
        <f t="shared" si="5"/>
        <v>7.772175212365137E-7</v>
      </c>
      <c r="E33" s="84">
        <f t="shared" si="7"/>
        <v>7.7721691716990783E-7</v>
      </c>
      <c r="F33" s="84">
        <f t="shared" si="8"/>
        <v>0.99999922278308284</v>
      </c>
      <c r="G33" s="84">
        <f t="shared" si="6"/>
        <v>1.0199915456642512</v>
      </c>
      <c r="H33" s="84">
        <f t="shared" si="4"/>
        <v>9.6465549383904586E-2</v>
      </c>
      <c r="I33" s="94">
        <f>$C$25/(H33-'FCFE Calculations'!$D$14)</f>
        <v>3391521.102641325</v>
      </c>
    </row>
    <row r="34" spans="2:10" x14ac:dyDescent="0.3">
      <c r="B34" s="86" t="s">
        <v>96</v>
      </c>
      <c r="C34" s="84">
        <f t="shared" si="3"/>
        <v>1.0199907917704125</v>
      </c>
      <c r="D34" s="84">
        <f t="shared" si="5"/>
        <v>7.772175212365137E-7</v>
      </c>
      <c r="E34" s="84">
        <f t="shared" si="7"/>
        <v>7.7721691716990783E-7</v>
      </c>
      <c r="F34" s="84">
        <f t="shared" si="8"/>
        <v>0.99999922278308284</v>
      </c>
      <c r="G34" s="84">
        <f t="shared" si="6"/>
        <v>1.0199915456642512</v>
      </c>
      <c r="H34" s="84">
        <f t="shared" si="4"/>
        <v>9.6465549383904586E-2</v>
      </c>
      <c r="I34" s="94">
        <f>$C$25/(H34-'FCFE Calculations'!$D$14)</f>
        <v>3391521.102641325</v>
      </c>
    </row>
    <row r="35" spans="2:10" x14ac:dyDescent="0.3">
      <c r="B35" s="86" t="s">
        <v>97</v>
      </c>
      <c r="C35" s="84">
        <f t="shared" si="3"/>
        <v>1.0199907917704125</v>
      </c>
      <c r="D35" s="84">
        <f t="shared" si="5"/>
        <v>7.772175212365137E-7</v>
      </c>
      <c r="E35" s="84">
        <f t="shared" si="7"/>
        <v>7.7721691716990783E-7</v>
      </c>
      <c r="F35" s="84">
        <f t="shared" si="8"/>
        <v>0.99999922278308284</v>
      </c>
      <c r="G35" s="84">
        <f t="shared" si="6"/>
        <v>1.0199915456642512</v>
      </c>
      <c r="H35" s="84">
        <f t="shared" si="4"/>
        <v>9.6465549383904586E-2</v>
      </c>
      <c r="I35" s="94">
        <f>$C$25/(H35-'FCFE Calculations'!$D$14)</f>
        <v>3391521.102641325</v>
      </c>
    </row>
    <row r="36" spans="2:10" x14ac:dyDescent="0.3">
      <c r="B36" s="86" t="s">
        <v>98</v>
      </c>
      <c r="C36" s="84">
        <f t="shared" si="3"/>
        <v>1.0199907917704125</v>
      </c>
      <c r="D36" s="84">
        <f t="shared" si="5"/>
        <v>7.772175212365137E-7</v>
      </c>
      <c r="E36" s="84">
        <f t="shared" si="7"/>
        <v>7.7721691716990783E-7</v>
      </c>
      <c r="F36" s="84">
        <f t="shared" si="8"/>
        <v>0.99999922278308284</v>
      </c>
      <c r="G36" s="84">
        <f t="shared" si="6"/>
        <v>1.0199915456642512</v>
      </c>
      <c r="H36" s="84">
        <f t="shared" si="4"/>
        <v>9.6465549383904586E-2</v>
      </c>
      <c r="I36" s="94">
        <f>$C$25/(H36-'FCFE Calculations'!$D$14)</f>
        <v>3391521.102641325</v>
      </c>
    </row>
    <row r="37" spans="2:10" x14ac:dyDescent="0.3">
      <c r="B37" s="86" t="s">
        <v>99</v>
      </c>
      <c r="C37" s="84">
        <f t="shared" si="3"/>
        <v>1.0199907917704125</v>
      </c>
      <c r="D37" s="84">
        <f t="shared" si="5"/>
        <v>7.772175212365137E-7</v>
      </c>
      <c r="E37" s="84">
        <f t="shared" si="7"/>
        <v>7.7721691716990783E-7</v>
      </c>
      <c r="F37" s="84">
        <f t="shared" si="8"/>
        <v>0.99999922278308284</v>
      </c>
      <c r="G37" s="84">
        <f t="shared" si="6"/>
        <v>1.0199915456642512</v>
      </c>
      <c r="H37" s="84">
        <f t="shared" si="4"/>
        <v>9.6465549383904586E-2</v>
      </c>
      <c r="I37" s="94">
        <f>$C$25/(H37-'FCFE Calculations'!$D$14)</f>
        <v>3391521.102641325</v>
      </c>
    </row>
    <row r="38" spans="2:10" x14ac:dyDescent="0.3">
      <c r="B38" s="86" t="s">
        <v>100</v>
      </c>
      <c r="C38" s="84">
        <f t="shared" si="3"/>
        <v>1.0199907917704125</v>
      </c>
      <c r="D38" s="84">
        <f t="shared" si="5"/>
        <v>7.772175212365137E-7</v>
      </c>
      <c r="E38" s="84">
        <f t="shared" si="7"/>
        <v>7.7721691716990783E-7</v>
      </c>
      <c r="F38" s="84">
        <f t="shared" si="8"/>
        <v>0.99999922278308284</v>
      </c>
      <c r="G38" s="84">
        <f t="shared" si="6"/>
        <v>1.0199915456642512</v>
      </c>
      <c r="H38" s="84">
        <f t="shared" si="4"/>
        <v>9.6465549383904586E-2</v>
      </c>
      <c r="I38" s="94">
        <f>$C$25/(H38-'FCFE Calculations'!$D$14)</f>
        <v>3391521.102641325</v>
      </c>
    </row>
    <row r="39" spans="2:10" x14ac:dyDescent="0.3">
      <c r="C39" s="12"/>
      <c r="D39" s="12"/>
      <c r="E39" s="12"/>
      <c r="F39" s="12"/>
      <c r="G39" s="12"/>
      <c r="H39" s="12"/>
      <c r="I39" s="10"/>
    </row>
    <row r="40" spans="2:10" ht="18" x14ac:dyDescent="0.35">
      <c r="B40" s="123" t="s">
        <v>101</v>
      </c>
    </row>
    <row r="41" spans="2:10" x14ac:dyDescent="0.3">
      <c r="B41" s="80" t="s">
        <v>75</v>
      </c>
      <c r="C41" s="86"/>
      <c r="D41" s="86"/>
      <c r="E41" s="86"/>
      <c r="F41" s="86"/>
      <c r="G41" s="86"/>
      <c r="H41" s="86"/>
      <c r="I41" s="1"/>
    </row>
    <row r="42" spans="2:10" x14ac:dyDescent="0.3">
      <c r="B42" s="86" t="s">
        <v>76</v>
      </c>
      <c r="C42" s="86"/>
      <c r="D42" s="86" t="s">
        <v>102</v>
      </c>
      <c r="E42" s="86"/>
      <c r="F42" s="86"/>
      <c r="G42" s="86" t="s">
        <v>78</v>
      </c>
      <c r="H42" s="144">
        <f>H22</f>
        <v>4.2099999999999999E-2</v>
      </c>
    </row>
    <row r="43" spans="2:10" x14ac:dyDescent="0.3">
      <c r="B43" s="86" t="s">
        <v>80</v>
      </c>
      <c r="C43" s="85">
        <f>'NPV Calculation_Payoff'!$D$16*D43</f>
        <v>2.6359496246140082</v>
      </c>
      <c r="D43" s="86">
        <f>'NPV Calculation_Payoff'!J7</f>
        <v>7.5098279903532997E-6</v>
      </c>
      <c r="E43" s="86"/>
      <c r="F43" s="86"/>
      <c r="G43" s="86" t="s">
        <v>81</v>
      </c>
      <c r="H43" s="144">
        <v>9.5399999999999999E-2</v>
      </c>
    </row>
    <row r="44" spans="2:10" x14ac:dyDescent="0.3">
      <c r="B44" s="86" t="s">
        <v>83</v>
      </c>
      <c r="C44" s="85">
        <f>'NPV Calculation_Payoff'!$D$16*D44</f>
        <v>350997.36405037536</v>
      </c>
      <c r="D44" s="86">
        <f>1-D43</f>
        <v>0.99999249017200964</v>
      </c>
      <c r="E44" s="86"/>
      <c r="F44" s="86"/>
      <c r="G44" s="86" t="s">
        <v>84</v>
      </c>
      <c r="H44" s="93">
        <f>H43-H42</f>
        <v>5.33E-2</v>
      </c>
    </row>
    <row r="45" spans="2:10" x14ac:dyDescent="0.3">
      <c r="B45" s="121" t="s">
        <v>85</v>
      </c>
      <c r="C45" s="120">
        <f>'FCFE Calculations'!K55</f>
        <v>276292.12987378141</v>
      </c>
      <c r="D45" s="120" t="s">
        <v>86</v>
      </c>
      <c r="E45" s="121"/>
      <c r="F45" s="121"/>
      <c r="G45" s="121"/>
      <c r="H45" s="121"/>
    </row>
    <row r="46" spans="2:10" x14ac:dyDescent="0.3">
      <c r="C46" s="119"/>
      <c r="D46" s="119"/>
    </row>
    <row r="47" spans="2:10" x14ac:dyDescent="0.3">
      <c r="B47" s="86"/>
      <c r="C47" s="81" t="s">
        <v>71</v>
      </c>
      <c r="D47" s="81" t="s">
        <v>65</v>
      </c>
      <c r="E47" s="81" t="s">
        <v>66</v>
      </c>
      <c r="F47" s="81" t="s">
        <v>67</v>
      </c>
      <c r="G47" s="81" t="s">
        <v>62</v>
      </c>
      <c r="H47" s="81" t="s">
        <v>87</v>
      </c>
      <c r="I47" s="81" t="s">
        <v>88</v>
      </c>
      <c r="J47" s="82" t="s">
        <v>89</v>
      </c>
    </row>
    <row r="48" spans="2:10" x14ac:dyDescent="0.3">
      <c r="B48" s="86" t="s">
        <v>90</v>
      </c>
      <c r="C48" s="84">
        <f>$L$5</f>
        <v>1.0199907917704125</v>
      </c>
      <c r="D48" s="84">
        <f>C44/C43</f>
        <v>133157.84215784215</v>
      </c>
      <c r="E48" s="84">
        <f>D48/(D48+1)</f>
        <v>0.99999249017200964</v>
      </c>
      <c r="F48" s="84">
        <f>1-E48</f>
        <v>7.5098279903595966E-6</v>
      </c>
      <c r="G48" s="84">
        <f>(C48-E48*$K$2)/F48</f>
        <v>129162.90073580839</v>
      </c>
      <c r="H48" s="84">
        <f t="shared" ref="H48:H58" si="9">$H$42+G48*$H$44</f>
        <v>6884.4247092185869</v>
      </c>
      <c r="I48" s="94">
        <f>$C$45/(H48-'FCFE Calculations'!$D$14)</f>
        <v>40.133016706401378</v>
      </c>
    </row>
    <row r="49" spans="2:10" x14ac:dyDescent="0.3">
      <c r="B49" s="86" t="s">
        <v>91</v>
      </c>
      <c r="C49" s="84">
        <f t="shared" ref="C49:C58" si="10">$L$5</f>
        <v>1.0199907917704125</v>
      </c>
      <c r="D49" s="84">
        <f t="shared" ref="D49:D58" si="11">$C$44/I48</f>
        <v>8745.850495569397</v>
      </c>
      <c r="E49" s="84">
        <f>D49/(D49+1)</f>
        <v>0.99988567313451782</v>
      </c>
      <c r="F49" s="84">
        <f>1-E49</f>
        <v>1.1432686548218385E-4</v>
      </c>
      <c r="G49" s="84">
        <f t="shared" ref="G49:G58" si="12">(C49-E49*$K$2)/F49</f>
        <v>8484.4144376970289</v>
      </c>
      <c r="H49" s="84">
        <f t="shared" si="9"/>
        <v>452.26138952925163</v>
      </c>
      <c r="I49" s="94">
        <f>$C$45/(H49-'FCFE Calculations'!$D$14)</f>
        <v>610.93274876417922</v>
      </c>
    </row>
    <row r="50" spans="2:10" x14ac:dyDescent="0.3">
      <c r="B50" s="86" t="s">
        <v>92</v>
      </c>
      <c r="C50" s="84">
        <f t="shared" si="10"/>
        <v>1.0199907917704125</v>
      </c>
      <c r="D50" s="84">
        <f t="shared" si="11"/>
        <v>574.52700769501678</v>
      </c>
      <c r="E50" s="84">
        <f t="shared" ref="E50:E58" si="13">D50/(D50+1)</f>
        <v>0.99826246207974667</v>
      </c>
      <c r="F50" s="84">
        <f>1-E50</f>
        <v>1.7375379202533292E-3</v>
      </c>
      <c r="G50" s="84">
        <f t="shared" si="12"/>
        <v>558.30589787933377</v>
      </c>
      <c r="H50" s="84">
        <f t="shared" si="9"/>
        <v>29.79980435696849</v>
      </c>
      <c r="I50" s="94">
        <f>$C$45/(H50-'FCFE Calculations'!$D$14)</f>
        <v>9276.2781505106559</v>
      </c>
    </row>
    <row r="51" spans="2:10" x14ac:dyDescent="0.3">
      <c r="B51" s="86" t="s">
        <v>93</v>
      </c>
      <c r="C51" s="84">
        <f t="shared" si="10"/>
        <v>1.0199907917704125</v>
      </c>
      <c r="D51" s="84">
        <f t="shared" si="11"/>
        <v>37.838167242867016</v>
      </c>
      <c r="E51" s="84">
        <f>D51/(D51+1)</f>
        <v>0.97425213209092254</v>
      </c>
      <c r="F51" s="84">
        <f t="shared" ref="F51:F58" si="14">1-E51</f>
        <v>2.574786790907746E-2</v>
      </c>
      <c r="G51" s="84">
        <f t="shared" si="12"/>
        <v>37.722664594820316</v>
      </c>
      <c r="H51" s="84">
        <f t="shared" si="9"/>
        <v>2.0527180229039228</v>
      </c>
      <c r="I51" s="94">
        <f>$C$45/(H51-'FCFE Calculations'!$D$14)</f>
        <v>135588.99061021282</v>
      </c>
    </row>
    <row r="52" spans="2:10" x14ac:dyDescent="0.3">
      <c r="B52" s="86" t="s">
        <v>94</v>
      </c>
      <c r="C52" s="84">
        <f t="shared" si="10"/>
        <v>1.0199907917704125</v>
      </c>
      <c r="D52" s="84">
        <f t="shared" si="11"/>
        <v>2.5886863119986794</v>
      </c>
      <c r="E52" s="84">
        <f t="shared" si="13"/>
        <v>0.72134650034567638</v>
      </c>
      <c r="F52" s="84">
        <f t="shared" si="14"/>
        <v>0.27865349965432362</v>
      </c>
      <c r="G52" s="84">
        <f t="shared" si="12"/>
        <v>3.5309926771912408</v>
      </c>
      <c r="H52" s="95">
        <f t="shared" si="9"/>
        <v>0.23030190969429312</v>
      </c>
      <c r="I52" s="117">
        <f>$C$45/(H52-'FCFE Calculations'!$D$14)</f>
        <v>1283277.6553913907</v>
      </c>
      <c r="J52" s="10">
        <f>I52-I32</f>
        <v>-2108243.4472499341</v>
      </c>
    </row>
    <row r="53" spans="2:10" x14ac:dyDescent="0.3">
      <c r="B53" s="86" t="s">
        <v>95</v>
      </c>
      <c r="C53" s="84">
        <f t="shared" si="10"/>
        <v>1.0199907917704125</v>
      </c>
      <c r="D53" s="84">
        <f t="shared" si="11"/>
        <v>0.27351630613666661</v>
      </c>
      <c r="E53" s="84">
        <f t="shared" si="13"/>
        <v>0.21477251984813958</v>
      </c>
      <c r="F53" s="84">
        <f t="shared" si="14"/>
        <v>0.78522748015186039</v>
      </c>
      <c r="G53" s="84">
        <f t="shared" si="12"/>
        <v>1.2852990901220365</v>
      </c>
      <c r="H53" s="84">
        <f t="shared" si="9"/>
        <v>0.11060644150350454</v>
      </c>
      <c r="I53" s="94">
        <f>$C$45/(H53-'FCFE Calculations'!$D$14)</f>
        <v>2889890.3204514068</v>
      </c>
    </row>
    <row r="54" spans="2:10" x14ac:dyDescent="0.3">
      <c r="B54" s="86" t="s">
        <v>96</v>
      </c>
      <c r="C54" s="84">
        <f t="shared" si="10"/>
        <v>1.0199907917704125</v>
      </c>
      <c r="D54" s="84">
        <f t="shared" si="11"/>
        <v>0.12145698456664918</v>
      </c>
      <c r="E54" s="84">
        <f t="shared" si="13"/>
        <v>0.10830284731213503</v>
      </c>
      <c r="F54" s="84">
        <f t="shared" si="14"/>
        <v>0.89169715268786498</v>
      </c>
      <c r="G54" s="84">
        <f t="shared" si="12"/>
        <v>1.1378029483962633</v>
      </c>
      <c r="H54" s="84">
        <f t="shared" si="9"/>
        <v>0.10274489714952084</v>
      </c>
      <c r="I54" s="94">
        <f>$C$45/(H54-'FCFE Calculations'!$D$14)</f>
        <v>3148811.3707965091</v>
      </c>
    </row>
    <row r="55" spans="2:10" x14ac:dyDescent="0.3">
      <c r="B55" s="86" t="s">
        <v>97</v>
      </c>
      <c r="C55" s="84">
        <f t="shared" si="10"/>
        <v>1.0199907917704125</v>
      </c>
      <c r="D55" s="84">
        <f t="shared" si="11"/>
        <v>0.11146979692263645</v>
      </c>
      <c r="E55" s="84">
        <f t="shared" si="13"/>
        <v>0.10029044174773494</v>
      </c>
      <c r="F55" s="84">
        <f t="shared" si="14"/>
        <v>0.89970955825226506</v>
      </c>
      <c r="G55" s="84">
        <f t="shared" si="12"/>
        <v>1.1281154683458878</v>
      </c>
      <c r="H55" s="84">
        <f t="shared" si="9"/>
        <v>0.10222855446283582</v>
      </c>
      <c r="I55" s="94">
        <f>$C$45/(H55-'FCFE Calculations'!$D$14)</f>
        <v>3167450.5163500914</v>
      </c>
    </row>
    <row r="56" spans="2:10" x14ac:dyDescent="0.3">
      <c r="B56" s="86" t="s">
        <v>98</v>
      </c>
      <c r="C56" s="84">
        <f t="shared" si="10"/>
        <v>1.0199907917704125</v>
      </c>
      <c r="D56" s="84">
        <f t="shared" si="11"/>
        <v>0.11081384294357841</v>
      </c>
      <c r="E56" s="84">
        <f t="shared" si="13"/>
        <v>9.9759148346521803E-2</v>
      </c>
      <c r="F56" s="84">
        <f t="shared" si="14"/>
        <v>0.90024085165347822</v>
      </c>
      <c r="G56" s="84">
        <f t="shared" si="12"/>
        <v>1.1274791990263762</v>
      </c>
      <c r="H56" s="84">
        <f t="shared" si="9"/>
        <v>0.10219464130810585</v>
      </c>
      <c r="I56" s="94">
        <f>$C$45/(H56-'FCFE Calculations'!$D$14)</f>
        <v>3168682.4526004046</v>
      </c>
    </row>
    <row r="57" spans="2:10" x14ac:dyDescent="0.3">
      <c r="B57" s="86" t="s">
        <v>99</v>
      </c>
      <c r="C57" s="84">
        <f t="shared" si="10"/>
        <v>1.0199907917704125</v>
      </c>
      <c r="D57" s="84">
        <f t="shared" si="11"/>
        <v>0.11077076018214654</v>
      </c>
      <c r="E57" s="84">
        <f t="shared" si="13"/>
        <v>9.9724231275211198E-2</v>
      </c>
      <c r="F57" s="84">
        <f t="shared" si="14"/>
        <v>0.90027576872478876</v>
      </c>
      <c r="G57" s="84">
        <f t="shared" si="12"/>
        <v>1.1274374091445032</v>
      </c>
      <c r="H57" s="84">
        <f t="shared" si="9"/>
        <v>0.10219241390740202</v>
      </c>
      <c r="I57" s="94">
        <f>$C$45/(H57-'FCFE Calculations'!$D$14)</f>
        <v>3168763.3991553723</v>
      </c>
    </row>
    <row r="58" spans="2:10" x14ac:dyDescent="0.3">
      <c r="B58" s="86" t="s">
        <v>100</v>
      </c>
      <c r="C58" s="84">
        <f t="shared" si="10"/>
        <v>1.0199907917704125</v>
      </c>
      <c r="D58" s="84">
        <f t="shared" si="11"/>
        <v>0.11076793052581112</v>
      </c>
      <c r="E58" s="84">
        <f t="shared" si="13"/>
        <v>9.9721937842926572E-2</v>
      </c>
      <c r="F58" s="84">
        <f t="shared" si="14"/>
        <v>0.9002780621570734</v>
      </c>
      <c r="G58" s="84">
        <f t="shared" si="12"/>
        <v>1.1274346644039142</v>
      </c>
      <c r="H58" s="84">
        <f t="shared" si="9"/>
        <v>0.10219226761272862</v>
      </c>
      <c r="I58" s="94">
        <f>$C$45/(H58-'FCFE Calculations'!$D$14)</f>
        <v>3168768.7158333217</v>
      </c>
    </row>
  </sheetData>
  <phoneticPr fontId="17" type="noConversion"/>
  <hyperlinks>
    <hyperlink ref="N23" r:id="rId1" xr:uid="{3E757F6C-C052-4DD8-A026-E771B73F47AB}"/>
    <hyperlink ref="N4" r:id="rId2" display="https://finance.yahoo.com/quote/BABA/" xr:uid="{3D107562-87C9-4134-BB27-7C06205A5B10}"/>
    <hyperlink ref="N3" r:id="rId3" display="https://finance.yahoo.com/quote/WMT/financials/" xr:uid="{1B0617A2-6764-47E1-B9B5-B905E118352E}"/>
  </hyperlinks>
  <pageMargins left="0.7" right="0.7" top="0.75" bottom="0.75" header="0.3" footer="0.3"/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A4D7-80FE-4EDB-BFBC-08C933A4C995}">
  <dimension ref="A1:M70"/>
  <sheetViews>
    <sheetView topLeftCell="B24" zoomScale="71" zoomScaleNormal="50" workbookViewId="0">
      <selection activeCell="B41" sqref="B41:B42"/>
    </sheetView>
  </sheetViews>
  <sheetFormatPr defaultRowHeight="15.6" x14ac:dyDescent="0.3"/>
  <cols>
    <col min="1" max="1" width="3.5546875" style="29" customWidth="1"/>
    <col min="2" max="2" width="24.88671875" style="29" customWidth="1"/>
    <col min="3" max="3" width="26.109375" style="29" customWidth="1"/>
    <col min="4" max="4" width="22.109375" style="45" customWidth="1"/>
    <col min="5" max="5" width="16.33203125" style="29" customWidth="1"/>
    <col min="6" max="6" width="15.6640625" style="29" customWidth="1"/>
    <col min="7" max="7" width="16.109375" style="29" customWidth="1"/>
    <col min="8" max="8" width="16.88671875" style="29" customWidth="1"/>
    <col min="9" max="9" width="20.33203125" style="29" customWidth="1"/>
    <col min="10" max="10" width="16.33203125" style="29" customWidth="1"/>
    <col min="11" max="11" width="19.44140625" style="29" customWidth="1"/>
    <col min="12" max="12" width="15.33203125" customWidth="1"/>
    <col min="13" max="13" width="17.109375" customWidth="1"/>
    <col min="14" max="14" width="9.88671875" bestFit="1" customWidth="1"/>
    <col min="15" max="15" width="11.33203125" customWidth="1"/>
    <col min="16" max="16" width="15.6640625" bestFit="1" customWidth="1"/>
    <col min="17" max="19" width="15.88671875" bestFit="1" customWidth="1"/>
    <col min="20" max="20" width="15.6640625" bestFit="1" customWidth="1"/>
    <col min="21" max="21" width="14.6640625" bestFit="1" customWidth="1"/>
    <col min="22" max="25" width="10" bestFit="1" customWidth="1"/>
  </cols>
  <sheetData>
    <row r="1" spans="1:11" ht="17.399999999999999" x14ac:dyDescent="0.4">
      <c r="A1" s="14"/>
      <c r="B1" s="15"/>
      <c r="C1" s="15"/>
      <c r="D1" s="16"/>
      <c r="E1" s="16"/>
      <c r="F1" s="16"/>
      <c r="G1" s="16"/>
      <c r="H1" s="14"/>
      <c r="I1" s="15"/>
      <c r="J1" s="15"/>
      <c r="K1" s="19"/>
    </row>
    <row r="2" spans="1:11" ht="17.399999999999999" x14ac:dyDescent="0.4">
      <c r="A2" s="15"/>
      <c r="B2" s="17" t="s">
        <v>103</v>
      </c>
      <c r="C2" s="18"/>
      <c r="D2" s="18"/>
      <c r="E2" s="18"/>
      <c r="F2" s="16"/>
      <c r="G2" s="16"/>
      <c r="H2" s="15"/>
      <c r="I2" s="17"/>
      <c r="J2" s="18"/>
      <c r="K2" s="19"/>
    </row>
    <row r="3" spans="1:11" ht="15" x14ac:dyDescent="0.35">
      <c r="A3" s="19"/>
      <c r="B3" s="20"/>
      <c r="C3" s="19"/>
      <c r="D3" s="21"/>
      <c r="E3" s="22"/>
      <c r="F3" s="22"/>
      <c r="G3" s="22"/>
      <c r="H3" s="22"/>
      <c r="I3" s="22"/>
      <c r="J3" s="19"/>
      <c r="K3" s="19"/>
    </row>
    <row r="4" spans="1:11" ht="15" x14ac:dyDescent="0.35">
      <c r="A4" s="19"/>
      <c r="B4" s="23" t="s">
        <v>75</v>
      </c>
      <c r="C4" s="24"/>
      <c r="D4" s="24"/>
      <c r="E4" s="22"/>
      <c r="F4" s="19"/>
      <c r="G4" s="55"/>
      <c r="H4" s="55"/>
      <c r="I4" s="42" t="s">
        <v>28</v>
      </c>
      <c r="J4" s="61">
        <f>Assumptions!B6</f>
        <v>0.36</v>
      </c>
      <c r="K4" s="42"/>
    </row>
    <row r="5" spans="1:11" ht="16.2" x14ac:dyDescent="0.35">
      <c r="A5" s="19"/>
      <c r="B5" s="25" t="s">
        <v>32</v>
      </c>
      <c r="C5" s="26"/>
      <c r="D5" s="59">
        <f>Assumptions!B9</f>
        <v>0.22840000000000002</v>
      </c>
      <c r="F5" s="19"/>
      <c r="G5" s="55"/>
      <c r="H5" s="55"/>
      <c r="I5" t="s">
        <v>24</v>
      </c>
      <c r="J5" s="42">
        <f>Assumptions!B3</f>
        <v>695000</v>
      </c>
      <c r="K5" s="19"/>
    </row>
    <row r="6" spans="1:11" ht="15" x14ac:dyDescent="0.35">
      <c r="A6" s="19"/>
      <c r="B6" s="25" t="s">
        <v>104</v>
      </c>
      <c r="C6" s="26"/>
      <c r="D6" s="47">
        <f>('Ba Calculation'!L5-('Ba Calculation'!K3*J7))/J6</f>
        <v>1.0199980762891163</v>
      </c>
      <c r="E6" s="47"/>
      <c r="F6" s="19"/>
      <c r="G6" s="55"/>
      <c r="H6" s="55"/>
      <c r="I6" s="19" t="s">
        <v>105</v>
      </c>
      <c r="J6" s="53">
        <f>D11/SUM($D$11:$D$12)</f>
        <v>0.99999249017200964</v>
      </c>
      <c r="K6" s="62"/>
    </row>
    <row r="7" spans="1:11" ht="15" x14ac:dyDescent="0.35">
      <c r="A7" s="19"/>
      <c r="B7" s="25" t="s">
        <v>106</v>
      </c>
      <c r="C7" s="26"/>
      <c r="D7" s="48">
        <f>'Ba Calculation'!H24</f>
        <v>5.33E-2</v>
      </c>
      <c r="E7" s="22"/>
      <c r="F7" s="19"/>
      <c r="G7" s="55"/>
      <c r="H7" s="55"/>
      <c r="I7" s="19" t="s">
        <v>107</v>
      </c>
      <c r="J7" s="53">
        <f>D12/SUM($D$11:$D$12)</f>
        <v>7.5098279903532997E-6</v>
      </c>
      <c r="K7" s="62"/>
    </row>
    <row r="8" spans="1:11" ht="16.2" x14ac:dyDescent="0.35">
      <c r="A8" s="19"/>
      <c r="B8" s="25" t="s">
        <v>108</v>
      </c>
      <c r="C8" s="26"/>
      <c r="D8" s="48">
        <f>'Ba Calculation'!H22</f>
        <v>4.2099999999999999E-2</v>
      </c>
      <c r="E8" s="22"/>
      <c r="F8" s="19"/>
      <c r="G8" s="55"/>
      <c r="H8" s="55"/>
      <c r="I8" s="29" t="s">
        <v>109</v>
      </c>
      <c r="J8" s="140">
        <v>0</v>
      </c>
      <c r="K8" s="19"/>
    </row>
    <row r="9" spans="1:11" ht="15" x14ac:dyDescent="0.35">
      <c r="A9" s="19"/>
      <c r="B9" s="25" t="s">
        <v>110</v>
      </c>
      <c r="C9" s="26"/>
      <c r="D9" s="48">
        <f>D8+D6*D7</f>
        <v>9.6465897466209899E-2</v>
      </c>
      <c r="E9" s="22"/>
      <c r="F9" s="19"/>
      <c r="G9" s="55"/>
      <c r="H9" s="55"/>
      <c r="I9" s="19"/>
      <c r="J9" s="19"/>
      <c r="K9" s="19"/>
    </row>
    <row r="10" spans="1:11" ht="15" x14ac:dyDescent="0.35">
      <c r="A10" s="19"/>
      <c r="B10" s="25" t="s">
        <v>111</v>
      </c>
      <c r="C10" s="26"/>
      <c r="D10" s="138">
        <f>'Bond Ratings'!E4</f>
        <v>4.82E-2</v>
      </c>
      <c r="E10" s="64" t="s">
        <v>232</v>
      </c>
      <c r="F10" s="19"/>
      <c r="G10" s="55"/>
      <c r="H10" s="55"/>
      <c r="I10" s="19"/>
      <c r="J10" s="19"/>
      <c r="K10" s="19"/>
    </row>
    <row r="11" spans="1:11" ht="15" x14ac:dyDescent="0.35">
      <c r="A11" s="19"/>
      <c r="B11" s="25" t="s">
        <v>112</v>
      </c>
      <c r="C11" s="26"/>
      <c r="D11" s="133">
        <f>AVERAGE('Ba Calculation'!E2:E4)</f>
        <v>1332910000000</v>
      </c>
      <c r="E11" s="52" t="s">
        <v>232</v>
      </c>
      <c r="F11" s="19"/>
      <c r="G11" s="55"/>
      <c r="H11" s="55"/>
      <c r="I11" s="19"/>
      <c r="J11" s="19"/>
      <c r="K11" s="19"/>
    </row>
    <row r="12" spans="1:11" ht="15.75" customHeight="1" x14ac:dyDescent="0.35">
      <c r="A12" s="19"/>
      <c r="B12" s="25" t="s">
        <v>114</v>
      </c>
      <c r="C12" s="26"/>
      <c r="D12" s="134">
        <f>AVERAGE('Ba Calculation'!D2:D4)</f>
        <v>10010000</v>
      </c>
      <c r="E12" s="52" t="s">
        <v>232</v>
      </c>
      <c r="F12" s="19"/>
      <c r="G12" s="19"/>
      <c r="H12" s="19"/>
      <c r="I12" s="19"/>
      <c r="J12" s="19"/>
      <c r="K12" s="19"/>
    </row>
    <row r="13" spans="1:11" ht="15" x14ac:dyDescent="0.35">
      <c r="A13" s="19"/>
      <c r="B13" s="27" t="s">
        <v>116</v>
      </c>
      <c r="C13" s="19"/>
      <c r="D13" s="48">
        <f>D12/(D12+D11)*D10*(1-D5)+(D11/(D12+D11))*D9</f>
        <v>9.6465452322826967E-2</v>
      </c>
      <c r="E13" s="50">
        <f>J6*D9+J7*D10*(1-D5)</f>
        <v>9.6465452322826967E-2</v>
      </c>
      <c r="F13" s="49"/>
      <c r="G13" s="50"/>
      <c r="H13" s="19"/>
      <c r="I13" s="19"/>
      <c r="J13" s="19"/>
      <c r="K13" s="19"/>
    </row>
    <row r="14" spans="1:11" ht="16.2" x14ac:dyDescent="0.35">
      <c r="A14" s="19"/>
      <c r="B14" s="19" t="s">
        <v>27</v>
      </c>
      <c r="C14" s="19"/>
      <c r="D14" s="60">
        <f>Assumptions!B5</f>
        <v>1.4999999999999999E-2</v>
      </c>
      <c r="F14" s="19"/>
      <c r="G14" s="19"/>
      <c r="H14" s="19"/>
      <c r="I14" s="19"/>
      <c r="J14" s="19"/>
      <c r="K14" s="19"/>
    </row>
    <row r="15" spans="1:11" ht="15" x14ac:dyDescent="0.35">
      <c r="A15" s="19"/>
      <c r="B15" s="19" t="s">
        <v>25</v>
      </c>
      <c r="C15" s="19"/>
      <c r="D15" s="60">
        <f>Assumptions!B4</f>
        <v>7.0000000000000007E-2</v>
      </c>
      <c r="E15" s="51"/>
      <c r="F15" s="19"/>
      <c r="G15" s="107"/>
      <c r="H15" s="19"/>
      <c r="I15" s="19"/>
      <c r="J15" s="19"/>
      <c r="K15" s="19"/>
    </row>
    <row r="16" spans="1:11" ht="15" x14ac:dyDescent="0.35">
      <c r="A16" s="19"/>
      <c r="B16" s="19" t="s">
        <v>117</v>
      </c>
      <c r="C16" s="19"/>
      <c r="D16" s="54">
        <f>'Cost Data'!G22</f>
        <v>351000</v>
      </c>
      <c r="E16" s="19"/>
      <c r="F16" s="19"/>
      <c r="G16" s="19"/>
      <c r="H16" s="19"/>
      <c r="I16" s="19"/>
      <c r="J16" s="19"/>
      <c r="K16" s="19"/>
    </row>
    <row r="17" spans="1:13" ht="16.2" x14ac:dyDescent="0.35">
      <c r="A17" s="19"/>
      <c r="B17" s="19" t="s">
        <v>118</v>
      </c>
      <c r="C17" s="19"/>
      <c r="D17" s="139">
        <v>46387</v>
      </c>
      <c r="E17" s="19"/>
      <c r="F17" s="19"/>
      <c r="G17" s="19"/>
      <c r="I17" s="19"/>
      <c r="J17" s="19"/>
      <c r="K17" s="19"/>
    </row>
    <row r="18" spans="1:13" ht="15" x14ac:dyDescent="0.35">
      <c r="A18" s="19"/>
      <c r="B18" s="19" t="s">
        <v>119</v>
      </c>
      <c r="C18" s="19"/>
      <c r="D18" s="139">
        <v>46660</v>
      </c>
      <c r="E18" s="19"/>
      <c r="F18" s="19"/>
      <c r="G18" s="19"/>
      <c r="H18" s="19"/>
      <c r="I18" s="19"/>
      <c r="J18" s="19"/>
      <c r="K18" s="19"/>
    </row>
    <row r="19" spans="1:13" ht="23.4" x14ac:dyDescent="0.45">
      <c r="A19" s="19"/>
      <c r="B19" s="77" t="s">
        <v>120</v>
      </c>
      <c r="C19" s="19"/>
      <c r="D19" s="28"/>
      <c r="J19" s="19"/>
      <c r="K19" s="19" t="s">
        <v>121</v>
      </c>
    </row>
    <row r="20" spans="1:13" ht="15" x14ac:dyDescent="0.35">
      <c r="A20" s="19"/>
      <c r="B20" s="23" t="s">
        <v>122</v>
      </c>
      <c r="C20" s="23"/>
      <c r="D20" s="23" t="s">
        <v>123</v>
      </c>
      <c r="E20" s="30">
        <f>YEAR(E21)</f>
        <v>2027</v>
      </c>
      <c r="F20" s="30">
        <f t="shared" ref="F20:M20" si="0">YEAR(F21)</f>
        <v>2028</v>
      </c>
      <c r="G20" s="30">
        <f t="shared" si="0"/>
        <v>2029</v>
      </c>
      <c r="H20" s="30">
        <f t="shared" si="0"/>
        <v>2030</v>
      </c>
      <c r="I20" s="30">
        <f t="shared" si="0"/>
        <v>2031</v>
      </c>
      <c r="J20" s="30">
        <f t="shared" si="0"/>
        <v>2032</v>
      </c>
      <c r="K20" s="30">
        <f t="shared" si="0"/>
        <v>2033</v>
      </c>
      <c r="L20" s="30">
        <f t="shared" si="0"/>
        <v>2034</v>
      </c>
      <c r="M20" s="30">
        <f t="shared" si="0"/>
        <v>2035</v>
      </c>
    </row>
    <row r="21" spans="1:13" ht="15" x14ac:dyDescent="0.35">
      <c r="A21" s="19"/>
      <c r="B21" s="31" t="s">
        <v>124</v>
      </c>
      <c r="C21" s="31"/>
      <c r="D21" s="32">
        <f>D17</f>
        <v>46387</v>
      </c>
      <c r="E21" s="33">
        <f>DATE(YEAR($D$18)+E22,9,30)</f>
        <v>46660</v>
      </c>
      <c r="F21" s="33">
        <f t="shared" ref="F21:M21" si="1">DATE(YEAR($D$18)+F22,9,30)</f>
        <v>47026</v>
      </c>
      <c r="G21" s="33">
        <f t="shared" si="1"/>
        <v>47391</v>
      </c>
      <c r="H21" s="33">
        <f t="shared" si="1"/>
        <v>47756</v>
      </c>
      <c r="I21" s="33">
        <f t="shared" si="1"/>
        <v>48121</v>
      </c>
      <c r="J21" s="33">
        <f>DATE(YEAR($D$18)+J22,9,30)</f>
        <v>48487</v>
      </c>
      <c r="K21" s="33">
        <f t="shared" si="1"/>
        <v>48852</v>
      </c>
      <c r="L21" s="33">
        <f t="shared" si="1"/>
        <v>49217</v>
      </c>
      <c r="M21" s="33">
        <f t="shared" si="1"/>
        <v>49582</v>
      </c>
    </row>
    <row r="22" spans="1:13" ht="15" x14ac:dyDescent="0.35">
      <c r="A22" s="19"/>
      <c r="B22" s="34" t="s">
        <v>125</v>
      </c>
      <c r="C22" s="34"/>
      <c r="D22" s="32"/>
      <c r="E22" s="35">
        <v>0</v>
      </c>
      <c r="F22" s="36">
        <f>E22+1</f>
        <v>1</v>
      </c>
      <c r="G22" s="36">
        <f>F22+1</f>
        <v>2</v>
      </c>
      <c r="H22" s="36">
        <f t="shared" ref="H22:M22" si="2">G22+1</f>
        <v>3</v>
      </c>
      <c r="I22" s="36">
        <f t="shared" si="2"/>
        <v>4</v>
      </c>
      <c r="J22" s="36">
        <f t="shared" si="2"/>
        <v>5</v>
      </c>
      <c r="K22" s="36">
        <f t="shared" si="2"/>
        <v>6</v>
      </c>
      <c r="L22" s="36">
        <f t="shared" si="2"/>
        <v>7</v>
      </c>
      <c r="M22" s="36">
        <f t="shared" si="2"/>
        <v>8</v>
      </c>
    </row>
    <row r="23" spans="1:13" ht="15" x14ac:dyDescent="0.35">
      <c r="A23" s="19"/>
      <c r="B23" s="37" t="s">
        <v>126</v>
      </c>
      <c r="C23" s="19"/>
      <c r="D23" s="19"/>
      <c r="E23" s="38">
        <f t="shared" ref="E23:J23" si="3">YEARFRAC(D21,E21)</f>
        <v>0.75</v>
      </c>
      <c r="F23" s="38">
        <f t="shared" si="3"/>
        <v>1</v>
      </c>
      <c r="G23" s="38">
        <f t="shared" si="3"/>
        <v>1</v>
      </c>
      <c r="H23" s="38">
        <f t="shared" si="3"/>
        <v>1</v>
      </c>
      <c r="I23" s="38">
        <f t="shared" si="3"/>
        <v>1</v>
      </c>
      <c r="J23" s="38">
        <f t="shared" si="3"/>
        <v>1</v>
      </c>
      <c r="K23" s="19"/>
      <c r="L23" s="19"/>
      <c r="M23" s="19"/>
    </row>
    <row r="24" spans="1:13" ht="15" x14ac:dyDescent="0.35">
      <c r="A24" s="19"/>
      <c r="B24" s="19" t="s">
        <v>127</v>
      </c>
      <c r="C24" s="19"/>
      <c r="D24" s="19"/>
      <c r="E24" s="58">
        <f>J5</f>
        <v>695000</v>
      </c>
      <c r="F24" s="58">
        <f>E24*(1+$D$15)</f>
        <v>743650</v>
      </c>
      <c r="G24" s="58">
        <f>F24*(1+$D$15)</f>
        <v>795705.5</v>
      </c>
      <c r="H24" s="58">
        <f>G24*(1+$D$15)</f>
        <v>851404.88500000001</v>
      </c>
      <c r="I24" s="58">
        <f>H24*(1+$D$15)</f>
        <v>911003.22695000004</v>
      </c>
      <c r="J24" s="58">
        <f>I24*(1+$D$15)</f>
        <v>974773.45283650013</v>
      </c>
      <c r="K24" s="58">
        <f>J24*(1+$D$14)</f>
        <v>989395.05462904752</v>
      </c>
      <c r="L24" s="58">
        <f>K24*(1+$D$14)</f>
        <v>1004235.9804484831</v>
      </c>
      <c r="M24" s="58">
        <f>L24*(1+$D$14)</f>
        <v>1019299.5201552103</v>
      </c>
    </row>
    <row r="25" spans="1:13" ht="15" x14ac:dyDescent="0.35">
      <c r="A25" s="19"/>
      <c r="B25" s="19" t="s">
        <v>128</v>
      </c>
      <c r="C25" s="19"/>
      <c r="D25" s="19"/>
      <c r="E25" s="58">
        <f t="shared" ref="E25:M25" si="4">(1-$J$4)*E24</f>
        <v>444800</v>
      </c>
      <c r="F25" s="58">
        <f t="shared" si="4"/>
        <v>475936</v>
      </c>
      <c r="G25" s="58">
        <f t="shared" si="4"/>
        <v>509251.52</v>
      </c>
      <c r="H25" s="58">
        <f t="shared" si="4"/>
        <v>544899.12640000007</v>
      </c>
      <c r="I25" s="58">
        <f t="shared" si="4"/>
        <v>583042.06524800009</v>
      </c>
      <c r="J25" s="58">
        <f t="shared" si="4"/>
        <v>623855.00981536007</v>
      </c>
      <c r="K25" s="58">
        <f t="shared" si="4"/>
        <v>633212.83496259048</v>
      </c>
      <c r="L25" s="58">
        <f t="shared" si="4"/>
        <v>642711.02748702921</v>
      </c>
      <c r="M25" s="58">
        <f t="shared" si="4"/>
        <v>652351.69289933459</v>
      </c>
    </row>
    <row r="26" spans="1:13" ht="15" x14ac:dyDescent="0.35">
      <c r="A26" s="19"/>
      <c r="B26" s="39" t="s">
        <v>33</v>
      </c>
      <c r="C26" s="39"/>
      <c r="D26" s="39"/>
      <c r="E26" s="141">
        <v>0</v>
      </c>
      <c r="F26" s="141">
        <v>0</v>
      </c>
      <c r="G26" s="141">
        <v>0</v>
      </c>
      <c r="H26" s="141">
        <v>0</v>
      </c>
      <c r="I26" s="141">
        <v>0</v>
      </c>
      <c r="J26" s="141">
        <v>0</v>
      </c>
      <c r="K26" s="141">
        <v>0</v>
      </c>
      <c r="L26" s="141">
        <v>0</v>
      </c>
      <c r="M26" s="141">
        <v>0</v>
      </c>
    </row>
    <row r="27" spans="1:13" ht="15" x14ac:dyDescent="0.35">
      <c r="A27" s="19"/>
      <c r="B27" s="19" t="s">
        <v>129</v>
      </c>
      <c r="C27" s="19"/>
      <c r="D27" s="19"/>
      <c r="E27" s="26">
        <f>E24-E25-E26</f>
        <v>250200</v>
      </c>
      <c r="F27" s="26">
        <f t="shared" ref="F27:K27" si="5">F24-F25-F26</f>
        <v>267714</v>
      </c>
      <c r="G27" s="26">
        <f t="shared" si="5"/>
        <v>286453.98</v>
      </c>
      <c r="H27" s="26">
        <f t="shared" si="5"/>
        <v>306505.75859999994</v>
      </c>
      <c r="I27" s="26">
        <f t="shared" si="5"/>
        <v>327961.16170199995</v>
      </c>
      <c r="J27" s="26">
        <f t="shared" si="5"/>
        <v>350918.44302114006</v>
      </c>
      <c r="K27" s="26">
        <f t="shared" si="5"/>
        <v>356182.21966645704</v>
      </c>
      <c r="L27" s="26">
        <f>L24-L25-L26</f>
        <v>361524.95296145394</v>
      </c>
      <c r="M27" s="26">
        <f>M24-M25-M26</f>
        <v>366947.82725587569</v>
      </c>
    </row>
    <row r="28" spans="1:13" ht="15" x14ac:dyDescent="0.35">
      <c r="A28" s="19"/>
      <c r="B28" s="19" t="s">
        <v>130</v>
      </c>
      <c r="C28" s="19"/>
      <c r="D28" s="19"/>
      <c r="E28" s="40">
        <f>-E27*$D$5</f>
        <v>-57145.680000000008</v>
      </c>
      <c r="F28" s="40">
        <f t="shared" ref="F28:K28" si="6">-F27*$D$5</f>
        <v>-61145.877600000007</v>
      </c>
      <c r="G28" s="40">
        <f t="shared" si="6"/>
        <v>-65426.089032000003</v>
      </c>
      <c r="H28" s="40">
        <f t="shared" si="6"/>
        <v>-70005.915264239986</v>
      </c>
      <c r="I28" s="40">
        <f t="shared" si="6"/>
        <v>-74906.329332736801</v>
      </c>
      <c r="J28" s="40">
        <f t="shared" si="6"/>
        <v>-80149.772386028402</v>
      </c>
      <c r="K28" s="40">
        <f t="shared" si="6"/>
        <v>-81352.01897181879</v>
      </c>
      <c r="L28" s="40">
        <f>-L27*$D$5</f>
        <v>-82572.299256396087</v>
      </c>
      <c r="M28" s="40">
        <f>-M27*$D$5</f>
        <v>-83810.883745242012</v>
      </c>
    </row>
    <row r="29" spans="1:13" ht="15" x14ac:dyDescent="0.35">
      <c r="A29" s="19"/>
      <c r="B29" s="19" t="s">
        <v>131</v>
      </c>
      <c r="C29" s="19"/>
      <c r="D29" s="19"/>
      <c r="E29" s="41">
        <f t="shared" ref="E29:M29" si="7">E26</f>
        <v>0</v>
      </c>
      <c r="F29" s="41">
        <f t="shared" si="7"/>
        <v>0</v>
      </c>
      <c r="G29" s="41">
        <f t="shared" si="7"/>
        <v>0</v>
      </c>
      <c r="H29" s="41">
        <f t="shared" si="7"/>
        <v>0</v>
      </c>
      <c r="I29" s="41">
        <f t="shared" si="7"/>
        <v>0</v>
      </c>
      <c r="J29" s="41">
        <f t="shared" si="7"/>
        <v>0</v>
      </c>
      <c r="K29" s="41">
        <f t="shared" si="7"/>
        <v>0</v>
      </c>
      <c r="L29" s="41">
        <f t="shared" si="7"/>
        <v>0</v>
      </c>
      <c r="M29" s="41">
        <f t="shared" si="7"/>
        <v>0</v>
      </c>
    </row>
    <row r="30" spans="1:13" ht="15" x14ac:dyDescent="0.35">
      <c r="A30" s="19"/>
      <c r="B30" s="19" t="s">
        <v>132</v>
      </c>
      <c r="C30" s="19"/>
      <c r="D30" s="19"/>
      <c r="E30" s="142">
        <v>0</v>
      </c>
      <c r="F30" s="142">
        <v>0</v>
      </c>
      <c r="G30" s="142">
        <v>0</v>
      </c>
      <c r="H30" s="142">
        <v>0</v>
      </c>
      <c r="I30" s="142">
        <v>0</v>
      </c>
      <c r="J30" s="142">
        <v>0</v>
      </c>
      <c r="K30" s="142">
        <v>0</v>
      </c>
      <c r="L30" s="142">
        <v>0</v>
      </c>
      <c r="M30" s="142">
        <v>0</v>
      </c>
    </row>
    <row r="31" spans="1:13" ht="15" x14ac:dyDescent="0.35">
      <c r="A31" s="19"/>
      <c r="B31" s="19" t="s">
        <v>133</v>
      </c>
      <c r="C31" s="19"/>
      <c r="D31" s="19">
        <f>-D16</f>
        <v>-351000</v>
      </c>
      <c r="E31" s="27"/>
      <c r="F31" s="27"/>
      <c r="G31" s="27"/>
      <c r="H31" s="27"/>
      <c r="I31" s="27"/>
      <c r="J31" s="19"/>
      <c r="K31" s="19"/>
      <c r="L31" s="19"/>
      <c r="M31" s="19"/>
    </row>
    <row r="32" spans="1:13" ht="15" x14ac:dyDescent="0.35">
      <c r="A32" s="19"/>
      <c r="B32" s="19" t="s">
        <v>134</v>
      </c>
      <c r="C32" s="19"/>
      <c r="D32" s="39"/>
      <c r="E32" s="57">
        <f t="shared" ref="E32:M32" si="8">-E44</f>
        <v>69515.88551161252</v>
      </c>
      <c r="F32" s="57">
        <f t="shared" si="8"/>
        <v>4866.1119858128804</v>
      </c>
      <c r="G32" s="57">
        <f t="shared" si="8"/>
        <v>5206.7398248197715</v>
      </c>
      <c r="H32" s="57">
        <f t="shared" si="8"/>
        <v>5571.2116125572065</v>
      </c>
      <c r="I32" s="57">
        <f t="shared" si="8"/>
        <v>5961.1964254361665</v>
      </c>
      <c r="J32" s="57">
        <f t="shared" si="8"/>
        <v>6378.4801752166823</v>
      </c>
      <c r="K32" s="57">
        <f t="shared" si="8"/>
        <v>1462.4943830318371</v>
      </c>
      <c r="L32" s="57">
        <f t="shared" si="8"/>
        <v>1484.4317987772665</v>
      </c>
      <c r="M32" s="57">
        <f t="shared" si="8"/>
        <v>1506.6982757589431</v>
      </c>
    </row>
    <row r="33" spans="1:13" ht="15" x14ac:dyDescent="0.35">
      <c r="A33" s="19"/>
      <c r="B33" s="19" t="s">
        <v>135</v>
      </c>
      <c r="C33" s="19"/>
      <c r="D33" s="42">
        <f t="shared" ref="D33:I33" si="9">D27+SUM(D28:D32)</f>
        <v>-351000</v>
      </c>
      <c r="E33" s="42">
        <f t="shared" si="9"/>
        <v>262570.20551161253</v>
      </c>
      <c r="F33" s="42">
        <f t="shared" si="9"/>
        <v>211434.23438581289</v>
      </c>
      <c r="G33" s="42">
        <f t="shared" si="9"/>
        <v>226234.63079281975</v>
      </c>
      <c r="H33" s="42">
        <f t="shared" si="9"/>
        <v>242071.05494831718</v>
      </c>
      <c r="I33" s="42">
        <f t="shared" si="9"/>
        <v>259016.02879469932</v>
      </c>
      <c r="J33" s="42">
        <f>J27+SUM(J28:J32)+J34</f>
        <v>3668679.2321985476</v>
      </c>
      <c r="K33" s="42">
        <f>K27+SUM(K28:K32)</f>
        <v>276292.6950776701</v>
      </c>
      <c r="L33" s="42">
        <f>L27+SUM(L28:L32)</f>
        <v>280437.08550383511</v>
      </c>
      <c r="M33" s="42">
        <f>M27+SUM(M28:M32)</f>
        <v>284643.6417863926</v>
      </c>
    </row>
    <row r="34" spans="1:13" ht="16.2" x14ac:dyDescent="0.35">
      <c r="A34" s="19"/>
      <c r="B34" s="19" t="s">
        <v>136</v>
      </c>
      <c r="C34" s="19"/>
      <c r="D34" s="21"/>
      <c r="J34" s="19">
        <f>K33/(D13-D14)</f>
        <v>3391532.0813882193</v>
      </c>
      <c r="L34" s="29">
        <f>M33/(D13-D14)</f>
        <v>3494041.1385481777</v>
      </c>
      <c r="M34" s="29"/>
    </row>
    <row r="35" spans="1:13" ht="16.8" thickBot="1" x14ac:dyDescent="0.4">
      <c r="A35" s="19"/>
      <c r="E35" s="19"/>
      <c r="F35" s="19"/>
      <c r="G35" s="19"/>
      <c r="H35" s="19"/>
      <c r="I35" s="19" t="s">
        <v>137</v>
      </c>
      <c r="J35" s="19">
        <f>J27+SUM(J28:J32)</f>
        <v>277147.15081032831</v>
      </c>
      <c r="L35" s="29">
        <f>SUM(L33:L34)</f>
        <v>3774478.2240520129</v>
      </c>
      <c r="M35" s="29" t="s">
        <v>138</v>
      </c>
    </row>
    <row r="36" spans="1:13" ht="16.8" thickBot="1" x14ac:dyDescent="0.4">
      <c r="A36" s="19"/>
      <c r="B36" s="20" t="s">
        <v>139</v>
      </c>
      <c r="D36" s="92">
        <f>XNPV(D13,D33:J33,D21:J21)</f>
        <v>2747998.7618246786</v>
      </c>
      <c r="E36" s="19">
        <f>NPV(D13,E33:J33)+D33</f>
        <v>2678128.9561188095</v>
      </c>
      <c r="F36" s="19"/>
      <c r="G36" s="19"/>
      <c r="H36" s="19"/>
      <c r="I36" s="19"/>
      <c r="J36" s="19"/>
      <c r="L36" s="29"/>
      <c r="M36" s="29"/>
    </row>
    <row r="37" spans="1:13" ht="16.2" x14ac:dyDescent="0.35">
      <c r="A37" s="19"/>
      <c r="B37" s="19"/>
      <c r="C37" s="19"/>
      <c r="D37" s="19"/>
      <c r="E37" s="19"/>
      <c r="F37" s="19"/>
      <c r="G37" s="19"/>
      <c r="H37" s="19"/>
      <c r="I37" s="19"/>
      <c r="J37" s="19"/>
      <c r="L37" s="29"/>
      <c r="M37" s="29"/>
    </row>
    <row r="38" spans="1:13" ht="15" x14ac:dyDescent="0.35">
      <c r="A38" s="19"/>
      <c r="B38" s="20" t="s">
        <v>140</v>
      </c>
      <c r="C38" s="19"/>
      <c r="D38" s="20" t="s">
        <v>123</v>
      </c>
      <c r="E38" s="20">
        <v>2026</v>
      </c>
      <c r="F38" s="20">
        <v>2027</v>
      </c>
      <c r="G38" s="20">
        <v>2028</v>
      </c>
      <c r="H38" s="20">
        <v>2029</v>
      </c>
      <c r="I38" s="20">
        <v>2030</v>
      </c>
      <c r="J38" s="20">
        <v>2031</v>
      </c>
      <c r="K38" s="20">
        <v>2032</v>
      </c>
      <c r="L38" s="20">
        <v>2032</v>
      </c>
      <c r="M38" s="20">
        <v>2032</v>
      </c>
    </row>
    <row r="39" spans="1:13" ht="15" x14ac:dyDescent="0.35">
      <c r="A39" s="19"/>
      <c r="B39" s="19" t="s">
        <v>141</v>
      </c>
      <c r="C39" s="19"/>
      <c r="D39" s="130">
        <v>0</v>
      </c>
      <c r="E39" s="130">
        <v>0</v>
      </c>
      <c r="F39" s="130">
        <v>0</v>
      </c>
      <c r="G39" s="130">
        <v>0</v>
      </c>
      <c r="H39" s="130">
        <v>0</v>
      </c>
      <c r="I39" s="130">
        <v>0</v>
      </c>
      <c r="J39" s="130">
        <v>0</v>
      </c>
      <c r="K39" s="130">
        <v>0</v>
      </c>
      <c r="L39" s="130">
        <v>0</v>
      </c>
      <c r="M39" s="130">
        <v>0</v>
      </c>
    </row>
    <row r="40" spans="1:13" ht="15" x14ac:dyDescent="0.35">
      <c r="A40" s="19"/>
      <c r="B40" s="19" t="s">
        <v>142</v>
      </c>
      <c r="C40" s="19"/>
      <c r="D40" s="130">
        <v>0</v>
      </c>
      <c r="E40" s="130">
        <v>0</v>
      </c>
      <c r="F40" s="130">
        <v>0</v>
      </c>
      <c r="G40" s="130">
        <v>0</v>
      </c>
      <c r="H40" s="130">
        <v>0</v>
      </c>
      <c r="I40" s="130">
        <v>0</v>
      </c>
      <c r="J40" s="130">
        <v>0</v>
      </c>
      <c r="K40" s="130">
        <v>0</v>
      </c>
      <c r="L40" s="130">
        <v>0</v>
      </c>
      <c r="M40" s="130">
        <v>0</v>
      </c>
    </row>
    <row r="41" spans="1:13" ht="16.2" x14ac:dyDescent="0.35">
      <c r="A41" s="19"/>
      <c r="B41" s="29" t="s">
        <v>166</v>
      </c>
      <c r="C41" s="19"/>
      <c r="D41" s="143">
        <v>0</v>
      </c>
      <c r="E41" s="42">
        <f>E24*$C$46</f>
        <v>55138.26144630029</v>
      </c>
      <c r="F41" s="42">
        <f>F24*$C$46</f>
        <v>58997.939747541313</v>
      </c>
      <c r="G41" s="42">
        <f t="shared" ref="G41:K41" si="10">G24*$C$46</f>
        <v>63127.795529869203</v>
      </c>
      <c r="H41" s="42">
        <f t="shared" si="10"/>
        <v>67546.741216960043</v>
      </c>
      <c r="I41" s="42">
        <f t="shared" si="10"/>
        <v>72275.013102147248</v>
      </c>
      <c r="J41" s="42">
        <f t="shared" si="10"/>
        <v>77334.264019297567</v>
      </c>
      <c r="K41" s="42">
        <f t="shared" si="10"/>
        <v>78494.27797958703</v>
      </c>
      <c r="L41" s="42">
        <f>L24*$C$46</f>
        <v>79671.692149280818</v>
      </c>
      <c r="M41" s="42">
        <f>M24*$C$46</f>
        <v>80866.767531520032</v>
      </c>
    </row>
    <row r="42" spans="1:13" x14ac:dyDescent="0.3">
      <c r="B42" s="29" t="s">
        <v>167</v>
      </c>
      <c r="D42" s="140">
        <v>0</v>
      </c>
      <c r="E42" s="91">
        <f>-E25*$C$47</f>
        <v>-124654.14695791282</v>
      </c>
      <c r="F42" s="91">
        <f t="shared" ref="F42:K42" si="11">-F25*$C$47</f>
        <v>-133379.93724496671</v>
      </c>
      <c r="G42" s="91">
        <f t="shared" si="11"/>
        <v>-142716.53285211438</v>
      </c>
      <c r="H42" s="91">
        <f t="shared" si="11"/>
        <v>-152706.69015176242</v>
      </c>
      <c r="I42" s="91">
        <f t="shared" si="11"/>
        <v>-163396.15846238579</v>
      </c>
      <c r="J42" s="91">
        <f t="shared" si="11"/>
        <v>-174833.88955475279</v>
      </c>
      <c r="K42" s="91">
        <f t="shared" si="11"/>
        <v>-177456.39789807409</v>
      </c>
      <c r="L42" s="91">
        <f>-L25*$C$47</f>
        <v>-180118.24386654515</v>
      </c>
      <c r="M42" s="91">
        <f>-M25*$C$47</f>
        <v>-182820.01752454331</v>
      </c>
    </row>
    <row r="43" spans="1:13" x14ac:dyDescent="0.3">
      <c r="B43" s="56" t="s">
        <v>143</v>
      </c>
      <c r="C43" s="56"/>
      <c r="D43" s="56">
        <f t="shared" ref="D43:M43" si="12">SUM(D39:D42)</f>
        <v>0</v>
      </c>
      <c r="E43" s="56">
        <f t="shared" si="12"/>
        <v>-69515.88551161252</v>
      </c>
      <c r="F43" s="56">
        <f t="shared" si="12"/>
        <v>-74381.9974974254</v>
      </c>
      <c r="G43" s="56">
        <f t="shared" si="12"/>
        <v>-79588.737322245172</v>
      </c>
      <c r="H43" s="56">
        <f t="shared" si="12"/>
        <v>-85159.948934802378</v>
      </c>
      <c r="I43" s="56">
        <f t="shared" si="12"/>
        <v>-91121.145360238545</v>
      </c>
      <c r="J43" s="56">
        <f t="shared" si="12"/>
        <v>-97499.625535455227</v>
      </c>
      <c r="K43" s="56">
        <f t="shared" si="12"/>
        <v>-98962.119918487064</v>
      </c>
      <c r="L43" s="56">
        <f t="shared" si="12"/>
        <v>-100446.55171726433</v>
      </c>
      <c r="M43" s="56">
        <f t="shared" si="12"/>
        <v>-101953.24999302327</v>
      </c>
    </row>
    <row r="44" spans="1:13" ht="15" x14ac:dyDescent="0.35">
      <c r="A44" s="19"/>
      <c r="B44" s="19" t="s">
        <v>144</v>
      </c>
      <c r="C44" s="19"/>
      <c r="D44" s="21"/>
      <c r="E44" s="19">
        <f>E43-D43</f>
        <v>-69515.88551161252</v>
      </c>
      <c r="F44" s="19">
        <f>F43-E43</f>
        <v>-4866.1119858128804</v>
      </c>
      <c r="G44" s="19">
        <f t="shared" ref="G44:M44" si="13">G43-F43</f>
        <v>-5206.7398248197715</v>
      </c>
      <c r="H44" s="19">
        <f t="shared" si="13"/>
        <v>-5571.2116125572065</v>
      </c>
      <c r="I44" s="19">
        <f t="shared" si="13"/>
        <v>-5961.1964254361665</v>
      </c>
      <c r="J44" s="19">
        <f t="shared" si="13"/>
        <v>-6378.4801752166823</v>
      </c>
      <c r="K44" s="19">
        <f t="shared" si="13"/>
        <v>-1462.4943830318371</v>
      </c>
      <c r="L44" s="19">
        <f t="shared" si="13"/>
        <v>-1484.4317987772665</v>
      </c>
      <c r="M44" s="19">
        <f t="shared" si="13"/>
        <v>-1506.6982757589431</v>
      </c>
    </row>
    <row r="45" spans="1:13" ht="16.2" x14ac:dyDescent="0.35">
      <c r="A45" s="19"/>
      <c r="B45" s="19"/>
      <c r="C45" s="19"/>
      <c r="D45" s="21"/>
      <c r="E45" s="19"/>
      <c r="F45" s="19"/>
      <c r="G45" s="19"/>
      <c r="H45" s="19"/>
    </row>
    <row r="46" spans="1:13" ht="16.2" x14ac:dyDescent="0.35">
      <c r="A46" s="19"/>
      <c r="B46" s="29" t="s">
        <v>145</v>
      </c>
      <c r="C46" s="132">
        <f>AVERAGE('Average Industry Growth'!B47:B49)</f>
        <v>7.933562798028819E-2</v>
      </c>
      <c r="D46" s="21"/>
      <c r="E46" s="19"/>
      <c r="F46" s="19"/>
      <c r="G46" s="19"/>
      <c r="H46" s="19"/>
    </row>
    <row r="47" spans="1:13" ht="16.2" x14ac:dyDescent="0.35">
      <c r="A47" s="19"/>
      <c r="B47" s="29" t="s">
        <v>146</v>
      </c>
      <c r="C47" s="132">
        <f>AVERAGE('Average Industry Growth'!B62:B64)</f>
        <v>0.28024763254926444</v>
      </c>
      <c r="D47" s="21"/>
      <c r="E47" s="19"/>
      <c r="F47" s="19"/>
      <c r="G47" s="19"/>
      <c r="H47" s="19"/>
    </row>
    <row r="48" spans="1:13" ht="16.2" x14ac:dyDescent="0.35">
      <c r="A48" s="19"/>
      <c r="B48" s="44"/>
      <c r="C48" s="19"/>
      <c r="D48" s="21"/>
      <c r="E48" s="19"/>
      <c r="F48" s="19"/>
      <c r="G48" s="19"/>
      <c r="H48" s="19"/>
    </row>
    <row r="49" spans="1:12" ht="16.2" x14ac:dyDescent="0.35">
      <c r="A49" s="19"/>
      <c r="B49" s="29" t="s">
        <v>147</v>
      </c>
      <c r="D49" s="29">
        <f>(E33+E49)/(1+$D$13)</f>
        <v>3029128.9561188095</v>
      </c>
      <c r="E49" s="29">
        <f>(F33+F49)/(1+$D$13)</f>
        <v>3058765.0455033709</v>
      </c>
      <c r="F49" s="29">
        <f>(G33+G49)/(1+$D$13)</f>
        <v>3142395.9647812936</v>
      </c>
      <c r="G49" s="29">
        <f>(H33+H49)/(1+$D$13)</f>
        <v>3219293.9821085273</v>
      </c>
      <c r="H49" s="29">
        <f>(I33+I49)/(1+$D$13)</f>
        <v>3287773.5773044638</v>
      </c>
      <c r="I49" s="29">
        <f>(J35+J49)/(1+$D$13)</f>
        <v>3345914.1137794787</v>
      </c>
      <c r="J49" s="29">
        <f>(K33+K49)/(1+$D$13)</f>
        <v>3391532.0813882188</v>
      </c>
      <c r="K49" s="29">
        <f>L35/(1+$D$13)</f>
        <v>3442405.062609042</v>
      </c>
    </row>
    <row r="50" spans="1:12" ht="15" x14ac:dyDescent="0.35">
      <c r="A50" s="19"/>
      <c r="B50" s="19" t="s">
        <v>148</v>
      </c>
      <c r="C50" s="19"/>
      <c r="D50" s="21">
        <f t="shared" ref="D50:I50" si="14">D49*$J$7</f>
        <v>22.748237421050707</v>
      </c>
      <c r="E50" s="21">
        <f t="shared" si="14"/>
        <v>22.970799354635499</v>
      </c>
      <c r="F50" s="21">
        <f t="shared" si="14"/>
        <v>23.598853173087821</v>
      </c>
      <c r="G50" s="21">
        <f t="shared" si="14"/>
        <v>24.176344056014553</v>
      </c>
      <c r="H50" s="21">
        <f t="shared" si="14"/>
        <v>24.69061403678506</v>
      </c>
      <c r="I50" s="21">
        <f t="shared" si="14"/>
        <v>25.127239464979283</v>
      </c>
      <c r="J50" s="21">
        <f>J49*$J$7</f>
        <v>25.469822554990429</v>
      </c>
      <c r="K50" s="21">
        <f>K49*$J$7</f>
        <v>25.851869893315286</v>
      </c>
    </row>
    <row r="51" spans="1:12" ht="16.2" x14ac:dyDescent="0.35">
      <c r="A51" s="19"/>
      <c r="C51" s="19"/>
    </row>
    <row r="52" spans="1:12" ht="16.2" x14ac:dyDescent="0.35">
      <c r="A52" s="19"/>
      <c r="B52" s="19"/>
      <c r="C52" s="19"/>
      <c r="D52" s="21"/>
      <c r="E52" s="19"/>
      <c r="F52" s="19"/>
      <c r="G52" s="19"/>
      <c r="H52" s="19"/>
    </row>
    <row r="53" spans="1:12" ht="15" x14ac:dyDescent="0.35">
      <c r="A53" s="19"/>
      <c r="B53" s="19" t="s">
        <v>149</v>
      </c>
      <c r="C53" s="19"/>
      <c r="D53" s="21"/>
      <c r="E53" s="19">
        <f t="shared" ref="E53:L53" si="15">-D50*$D$10*(1-$D$5)</f>
        <v>-0.84603242771478737</v>
      </c>
      <c r="F53" s="19">
        <f t="shared" si="15"/>
        <v>-0.8543097552941713</v>
      </c>
      <c r="G53" s="19">
        <f t="shared" si="15"/>
        <v>-0.87766778022268988</v>
      </c>
      <c r="H53" s="19">
        <f t="shared" si="15"/>
        <v>-0.89914531294852396</v>
      </c>
      <c r="I53" s="19">
        <f t="shared" si="15"/>
        <v>-0.9182715895157576</v>
      </c>
      <c r="J53" s="19">
        <f t="shared" si="15"/>
        <v>-0.9345101782107802</v>
      </c>
      <c r="K53" s="19">
        <f t="shared" si="15"/>
        <v>-0.94725122702135556</v>
      </c>
      <c r="L53" s="19">
        <f t="shared" si="15"/>
        <v>-0.96145999542667593</v>
      </c>
    </row>
    <row r="54" spans="1:12" thickBot="1" x14ac:dyDescent="0.4">
      <c r="A54" s="19"/>
      <c r="B54" s="19" t="s">
        <v>150</v>
      </c>
      <c r="C54" s="19"/>
      <c r="D54" s="21">
        <f>D50</f>
        <v>22.748237421050707</v>
      </c>
      <c r="E54" s="19">
        <f t="shared" ref="E54:L54" si="16">E50-D50</f>
        <v>0.22256193358479237</v>
      </c>
      <c r="F54" s="19">
        <f t="shared" si="16"/>
        <v>0.62805381845232233</v>
      </c>
      <c r="G54" s="19">
        <f t="shared" si="16"/>
        <v>0.57749088292673179</v>
      </c>
      <c r="H54" s="19">
        <f t="shared" si="16"/>
        <v>0.51426998077050712</v>
      </c>
      <c r="I54" s="19">
        <f t="shared" si="16"/>
        <v>0.43662542819422256</v>
      </c>
      <c r="J54" s="19">
        <f t="shared" si="16"/>
        <v>0.3425830900111464</v>
      </c>
      <c r="K54" s="19">
        <f t="shared" si="16"/>
        <v>0.38204733832485616</v>
      </c>
      <c r="L54" s="19">
        <f t="shared" si="16"/>
        <v>-25.851869893315286</v>
      </c>
    </row>
    <row r="55" spans="1:12" thickBot="1" x14ac:dyDescent="0.4">
      <c r="A55" s="19"/>
      <c r="B55" s="104" t="s">
        <v>151</v>
      </c>
      <c r="C55" s="104"/>
      <c r="D55" s="105">
        <f t="shared" ref="D55:I55" si="17">D33+SUM(D53:D54)</f>
        <v>-350977.25176257896</v>
      </c>
      <c r="E55" s="105">
        <f t="shared" si="17"/>
        <v>262569.58204111841</v>
      </c>
      <c r="F55" s="105">
        <f t="shared" si="17"/>
        <v>211434.00812987605</v>
      </c>
      <c r="G55" s="105">
        <f t="shared" si="17"/>
        <v>226234.33061592246</v>
      </c>
      <c r="H55" s="105">
        <f t="shared" si="17"/>
        <v>242070.670072985</v>
      </c>
      <c r="I55" s="105">
        <f t="shared" si="17"/>
        <v>259015.547148538</v>
      </c>
      <c r="J55" s="105">
        <f>J35+SUM(J53:J54)</f>
        <v>277146.5588832401</v>
      </c>
      <c r="K55" s="124">
        <f>K33+SUM(K53:K54)</f>
        <v>276292.12987378141</v>
      </c>
      <c r="L55" s="105">
        <f>L35+SUM(L53:L54)</f>
        <v>3774451.4107221239</v>
      </c>
    </row>
    <row r="56" spans="1:12" ht="15" x14ac:dyDescent="0.35">
      <c r="A56" s="19"/>
      <c r="B56" s="19"/>
      <c r="C56" s="19"/>
      <c r="D56" s="21"/>
      <c r="E56" s="19"/>
      <c r="F56" s="19"/>
      <c r="G56" s="19"/>
      <c r="H56" s="19"/>
      <c r="I56" s="19"/>
      <c r="J56" s="19"/>
      <c r="K56" s="106"/>
    </row>
    <row r="57" spans="1:12" ht="16.2" x14ac:dyDescent="0.35">
      <c r="A57" s="19"/>
      <c r="B57" s="19" t="s">
        <v>152</v>
      </c>
      <c r="C57" s="19">
        <f>XNPV(D9,D55:L55,D21:L21)</f>
        <v>2747998.5500525218</v>
      </c>
      <c r="D57" s="21">
        <f>NPV(D9,E55:L55)+D55</f>
        <v>2678128.9561188119</v>
      </c>
      <c r="E57" s="19"/>
      <c r="F57" s="19"/>
      <c r="G57" s="19"/>
      <c r="H57" s="19"/>
      <c r="I57" s="19"/>
      <c r="L57" s="10"/>
    </row>
    <row r="58" spans="1:12" ht="16.2" x14ac:dyDescent="0.35">
      <c r="A58" s="19"/>
      <c r="B58" s="19"/>
      <c r="C58" s="19">
        <f>C57-D36</f>
        <v>-0.21177215687930584</v>
      </c>
      <c r="D58" s="19">
        <f>D57-E36</f>
        <v>0</v>
      </c>
      <c r="E58" s="19" t="s">
        <v>153</v>
      </c>
      <c r="F58" s="19"/>
      <c r="G58" s="19"/>
      <c r="H58" s="19"/>
      <c r="I58" s="19"/>
      <c r="J58" s="29" t="s">
        <v>154</v>
      </c>
      <c r="K58" s="29" t="s">
        <v>87</v>
      </c>
      <c r="L58" s="10"/>
    </row>
    <row r="59" spans="1:12" ht="15" x14ac:dyDescent="0.35">
      <c r="A59" s="19"/>
      <c r="B59" s="108" t="s">
        <v>155</v>
      </c>
      <c r="C59" s="108" t="s">
        <v>156</v>
      </c>
      <c r="D59" s="109" t="s">
        <v>44</v>
      </c>
      <c r="E59" s="108" t="s">
        <v>43</v>
      </c>
      <c r="F59" s="108" t="s">
        <v>42</v>
      </c>
      <c r="G59" s="108" t="s">
        <v>41</v>
      </c>
      <c r="H59" s="19"/>
      <c r="I59" s="19" t="s">
        <v>157</v>
      </c>
      <c r="J59" s="19">
        <f>K55/(D9-D14)</f>
        <v>3391506.6115656649</v>
      </c>
      <c r="K59" s="19">
        <f>K55/('Ba Calculation'!H32-D14)</f>
        <v>3391521.102641325</v>
      </c>
    </row>
    <row r="60" spans="1:12" ht="15" x14ac:dyDescent="0.35">
      <c r="A60" s="19"/>
      <c r="B60" s="108" t="s">
        <v>135</v>
      </c>
      <c r="C60" s="108">
        <v>-29</v>
      </c>
      <c r="D60" s="109">
        <v>21</v>
      </c>
      <c r="E60" s="108">
        <v>21</v>
      </c>
      <c r="F60" s="108">
        <v>21</v>
      </c>
      <c r="G60" s="108">
        <v>21</v>
      </c>
      <c r="H60" s="19"/>
      <c r="I60" s="19" t="s">
        <v>158</v>
      </c>
      <c r="J60" s="19">
        <f>J59/(1+D9)^J22</f>
        <v>2140016.0204624352</v>
      </c>
      <c r="K60" s="19">
        <f>J59/(1+'Ba Calculation'!H32)^J22</f>
        <v>2140019.4172959374</v>
      </c>
    </row>
    <row r="61" spans="1:12" ht="16.2" x14ac:dyDescent="0.35">
      <c r="A61" s="19"/>
      <c r="B61" s="110"/>
      <c r="C61" s="110"/>
      <c r="D61" s="111"/>
      <c r="E61" s="110"/>
      <c r="F61" s="110"/>
      <c r="G61" s="110"/>
      <c r="H61" s="19"/>
      <c r="I61" s="19"/>
      <c r="J61" s="19"/>
      <c r="K61" s="19"/>
    </row>
    <row r="62" spans="1:12" ht="15" x14ac:dyDescent="0.35">
      <c r="A62" s="19"/>
      <c r="B62" s="108" t="s">
        <v>159</v>
      </c>
      <c r="C62" s="112">
        <f>(D60+D62)/(1.0725)</f>
        <v>70.731822629961158</v>
      </c>
      <c r="D62" s="112">
        <f>(E60+E62)/(1.0725)</f>
        <v>54.859879770633349</v>
      </c>
      <c r="E62" s="112">
        <f>(F60+F62)/(1.0725)</f>
        <v>37.837221054004267</v>
      </c>
      <c r="F62" s="112">
        <f>G60/(1.0725)</f>
        <v>19.58041958041958</v>
      </c>
      <c r="G62" s="108"/>
      <c r="H62" s="19"/>
      <c r="I62" s="19"/>
      <c r="J62" s="19"/>
      <c r="K62" s="19"/>
    </row>
    <row r="63" spans="1:12" ht="16.2" x14ac:dyDescent="0.35">
      <c r="B63" s="108" t="s">
        <v>160</v>
      </c>
      <c r="C63" s="112">
        <f>C62*0.5</f>
        <v>35.365911314980579</v>
      </c>
      <c r="D63" s="112">
        <f>D62*0.5</f>
        <v>27.429939885316674</v>
      </c>
      <c r="E63" s="112">
        <f>E62*0.5</f>
        <v>18.918610527002134</v>
      </c>
      <c r="F63" s="112">
        <f>F62*0.5</f>
        <v>9.79020979020979</v>
      </c>
      <c r="G63" s="108"/>
      <c r="H63" s="103"/>
      <c r="I63" s="19"/>
      <c r="J63" s="19"/>
      <c r="K63" s="19"/>
    </row>
    <row r="64" spans="1:12" x14ac:dyDescent="0.3">
      <c r="B64" s="110"/>
      <c r="C64" s="110"/>
      <c r="D64" s="111"/>
      <c r="E64" s="110"/>
      <c r="F64" s="110"/>
      <c r="G64" s="110"/>
    </row>
    <row r="65" spans="2:7" ht="16.2" x14ac:dyDescent="0.35">
      <c r="B65" s="108" t="s">
        <v>161</v>
      </c>
      <c r="C65" s="110"/>
      <c r="D65" s="112">
        <f>-C63*0.06*(1-0.25)</f>
        <v>-1.591466009174126</v>
      </c>
      <c r="E65" s="112">
        <f>-D63*0.06*(1-0.25)</f>
        <v>-1.2343472948392504</v>
      </c>
      <c r="F65" s="112">
        <f>-E63*0.06*(1-0.25)</f>
        <v>-0.85133747371509605</v>
      </c>
      <c r="G65" s="112">
        <f>-F63*0.06*(1-0.25)</f>
        <v>-0.44055944055944052</v>
      </c>
    </row>
    <row r="66" spans="2:7" x14ac:dyDescent="0.3">
      <c r="B66" s="110" t="s">
        <v>150</v>
      </c>
      <c r="C66" s="113">
        <f>C63</f>
        <v>35.365911314980579</v>
      </c>
      <c r="D66" s="114">
        <f>D63-C63</f>
        <v>-7.9359714296639048</v>
      </c>
      <c r="E66" s="114">
        <f>E63-D63</f>
        <v>-8.5113293583145406</v>
      </c>
      <c r="F66" s="114">
        <f>F63-E63</f>
        <v>-9.1284007367923437</v>
      </c>
      <c r="G66" s="114">
        <f>G63-F63</f>
        <v>-9.79020979020979</v>
      </c>
    </row>
    <row r="67" spans="2:7" x14ac:dyDescent="0.3">
      <c r="B67" s="115" t="s">
        <v>162</v>
      </c>
      <c r="C67" s="116">
        <f>C60+SUM(C65:C66)</f>
        <v>6.365911314980579</v>
      </c>
      <c r="D67" s="116">
        <f>D60+SUM(D65:D66)</f>
        <v>11.472562561161968</v>
      </c>
      <c r="E67" s="116">
        <f>E60+SUM(E65:E66)</f>
        <v>11.25432334684621</v>
      </c>
      <c r="F67" s="116">
        <f>F60+SUM(F65:F66)</f>
        <v>11.02026178949256</v>
      </c>
      <c r="G67" s="116">
        <f>G60+SUM(G65:G66)</f>
        <v>10.76923076923077</v>
      </c>
    </row>
    <row r="68" spans="2:7" x14ac:dyDescent="0.3">
      <c r="B68" s="110"/>
      <c r="C68" s="110"/>
      <c r="D68" s="111"/>
      <c r="E68" s="110"/>
      <c r="F68" s="110"/>
      <c r="G68" s="110"/>
    </row>
    <row r="69" spans="2:7" x14ac:dyDescent="0.3">
      <c r="B69" s="110" t="s">
        <v>152</v>
      </c>
      <c r="C69" s="113">
        <f>NPV(0.1,D67:G67)+C67</f>
        <v>41.731822629961158</v>
      </c>
      <c r="D69" s="111"/>
      <c r="E69" s="110"/>
      <c r="F69" s="110"/>
      <c r="G69" s="110"/>
    </row>
    <row r="70" spans="2:7" x14ac:dyDescent="0.3">
      <c r="B70" s="110" t="s">
        <v>163</v>
      </c>
      <c r="C70" s="113">
        <f>NPV(0.0725,D60:G60)+C60</f>
        <v>41.731822629961172</v>
      </c>
      <c r="D70" s="111"/>
      <c r="E70" s="110"/>
      <c r="F70" s="110"/>
      <c r="G70" s="110"/>
    </row>
  </sheetData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25CC7-6FBC-4B6D-BF07-13737229723D}">
  <dimension ref="A1:W68"/>
  <sheetViews>
    <sheetView topLeftCell="A2" zoomScale="63" zoomScaleNormal="50" workbookViewId="0">
      <selection activeCell="D11" sqref="D11:D12"/>
    </sheetView>
  </sheetViews>
  <sheetFormatPr defaultRowHeight="15.6" x14ac:dyDescent="0.3"/>
  <cols>
    <col min="1" max="1" width="3.5546875" style="29" customWidth="1"/>
    <col min="2" max="2" width="12.5546875" style="29" customWidth="1"/>
    <col min="3" max="3" width="26.109375" style="29" customWidth="1"/>
    <col min="4" max="4" width="22.109375" style="45" customWidth="1"/>
    <col min="5" max="5" width="16.33203125" style="29" customWidth="1"/>
    <col min="6" max="6" width="15.6640625" style="29" customWidth="1"/>
    <col min="7" max="7" width="16.109375" style="29" customWidth="1"/>
    <col min="8" max="8" width="16.88671875" style="29" customWidth="1"/>
    <col min="9" max="9" width="20.33203125" style="29" customWidth="1"/>
    <col min="10" max="10" width="16.33203125" style="29" customWidth="1"/>
    <col min="11" max="11" width="19.44140625" style="29" customWidth="1"/>
    <col min="12" max="12" width="11.33203125" customWidth="1"/>
    <col min="13" max="13" width="15.6640625" bestFit="1" customWidth="1"/>
    <col min="14" max="16" width="15.88671875" bestFit="1" customWidth="1"/>
    <col min="17" max="17" width="15.6640625" bestFit="1" customWidth="1"/>
    <col min="18" max="18" width="14.6640625" bestFit="1" customWidth="1"/>
    <col min="19" max="22" width="10.44140625" bestFit="1" customWidth="1"/>
    <col min="23" max="23" width="9" bestFit="1" customWidth="1"/>
  </cols>
  <sheetData>
    <row r="1" spans="1:11" ht="17.399999999999999" x14ac:dyDescent="0.4">
      <c r="A1" s="14"/>
      <c r="B1" s="15"/>
      <c r="C1" s="15"/>
      <c r="D1" s="16"/>
      <c r="E1" s="16"/>
      <c r="F1" s="16"/>
      <c r="G1" s="16"/>
      <c r="H1" s="14"/>
      <c r="I1" s="15"/>
      <c r="J1" s="15"/>
      <c r="K1" s="19"/>
    </row>
    <row r="2" spans="1:11" ht="17.399999999999999" x14ac:dyDescent="0.4">
      <c r="A2" s="15"/>
      <c r="B2" s="17" t="s">
        <v>103</v>
      </c>
      <c r="C2" s="18"/>
      <c r="D2" s="18"/>
      <c r="E2" s="18"/>
      <c r="F2" s="16"/>
      <c r="G2" s="16"/>
      <c r="H2" s="15"/>
      <c r="I2" s="17"/>
      <c r="J2" s="18"/>
      <c r="K2" s="19"/>
    </row>
    <row r="3" spans="1:11" ht="15" x14ac:dyDescent="0.35">
      <c r="A3" s="19"/>
      <c r="B3" s="20"/>
      <c r="C3" s="19"/>
      <c r="D3" s="21"/>
      <c r="E3" s="22"/>
      <c r="F3" s="22"/>
      <c r="G3" s="22"/>
      <c r="H3" s="22"/>
      <c r="I3" s="22"/>
      <c r="J3" s="19"/>
      <c r="K3" s="19"/>
    </row>
    <row r="4" spans="1:11" ht="15" x14ac:dyDescent="0.35">
      <c r="A4" s="19"/>
      <c r="B4" s="23" t="s">
        <v>75</v>
      </c>
      <c r="C4" s="24"/>
      <c r="D4" s="24"/>
      <c r="E4" s="22"/>
      <c r="F4" s="19"/>
      <c r="G4" s="55"/>
      <c r="H4" s="55"/>
      <c r="I4" s="42" t="s">
        <v>28</v>
      </c>
      <c r="J4" s="61">
        <f>Assumptions!B6</f>
        <v>0.36</v>
      </c>
      <c r="K4" s="42"/>
    </row>
    <row r="5" spans="1:11" ht="16.2" x14ac:dyDescent="0.35">
      <c r="A5" s="19"/>
      <c r="B5" s="25" t="s">
        <v>32</v>
      </c>
      <c r="C5" s="26"/>
      <c r="D5" s="59">
        <f>Assumptions!B9</f>
        <v>0.22840000000000002</v>
      </c>
      <c r="F5" s="19"/>
      <c r="G5" s="55"/>
      <c r="H5" s="55"/>
      <c r="I5" t="s">
        <v>24</v>
      </c>
      <c r="J5" s="42">
        <f>Assumptions!B3</f>
        <v>695000</v>
      </c>
      <c r="K5" s="19"/>
    </row>
    <row r="6" spans="1:11" ht="15" x14ac:dyDescent="0.35">
      <c r="A6" s="19"/>
      <c r="B6" s="25" t="s">
        <v>104</v>
      </c>
      <c r="C6" s="26"/>
      <c r="D6" s="47">
        <f>('Ba Calculation'!L5-('Ba Calculation'!K3*J7))/J6</f>
        <v>1.0199980762891163</v>
      </c>
      <c r="E6" s="47"/>
      <c r="F6" s="19"/>
      <c r="G6" s="55"/>
      <c r="H6" s="55"/>
      <c r="I6" s="19" t="s">
        <v>105</v>
      </c>
      <c r="J6" s="53">
        <f>D11/SUM($D$11:$D$12)</f>
        <v>0.99999249017200964</v>
      </c>
      <c r="K6" s="62"/>
    </row>
    <row r="7" spans="1:11" ht="15" x14ac:dyDescent="0.35">
      <c r="A7" s="19"/>
      <c r="B7" s="25" t="s">
        <v>106</v>
      </c>
      <c r="C7" s="26"/>
      <c r="D7" s="48">
        <f>'Ba Calculation'!H24</f>
        <v>5.33E-2</v>
      </c>
      <c r="E7" s="22"/>
      <c r="F7" s="19"/>
      <c r="G7" s="55"/>
      <c r="H7" s="55"/>
      <c r="I7" s="19" t="s">
        <v>107</v>
      </c>
      <c r="J7" s="53">
        <f>D12/SUM($D$11:$D$12)</f>
        <v>7.5098279903532997E-6</v>
      </c>
      <c r="K7" s="62"/>
    </row>
    <row r="8" spans="1:11" ht="16.2" x14ac:dyDescent="0.35">
      <c r="A8" s="19"/>
      <c r="B8" s="25" t="s">
        <v>108</v>
      </c>
      <c r="C8" s="26"/>
      <c r="D8" s="48">
        <f>'Ba Calculation'!H22</f>
        <v>4.2099999999999999E-2</v>
      </c>
      <c r="E8" s="22"/>
      <c r="F8" s="19"/>
      <c r="G8" s="55"/>
      <c r="H8" s="55"/>
      <c r="I8" s="29" t="s">
        <v>109</v>
      </c>
      <c r="J8" s="29">
        <v>0</v>
      </c>
      <c r="K8" s="19"/>
    </row>
    <row r="9" spans="1:11" ht="15" x14ac:dyDescent="0.35">
      <c r="A9" s="19"/>
      <c r="B9" s="25" t="s">
        <v>110</v>
      </c>
      <c r="C9" s="26"/>
      <c r="D9" s="48">
        <f>D8+D6*D7</f>
        <v>9.6465897466209899E-2</v>
      </c>
      <c r="E9" s="22"/>
      <c r="F9" s="19"/>
      <c r="G9" s="55"/>
      <c r="H9" s="55"/>
      <c r="I9" s="19"/>
      <c r="J9" s="19"/>
      <c r="K9" s="19"/>
    </row>
    <row r="10" spans="1:11" ht="15" x14ac:dyDescent="0.35">
      <c r="A10" s="19"/>
      <c r="B10" s="25" t="s">
        <v>111</v>
      </c>
      <c r="C10" s="26"/>
      <c r="D10" s="138">
        <f>'FCFE Calculations'!D10</f>
        <v>4.82E-2</v>
      </c>
      <c r="E10" s="64" t="s">
        <v>55</v>
      </c>
      <c r="F10" s="19"/>
      <c r="G10" s="55"/>
      <c r="H10" s="55"/>
      <c r="I10" s="19"/>
      <c r="J10" s="19"/>
      <c r="K10" s="19"/>
    </row>
    <row r="11" spans="1:11" ht="15" x14ac:dyDescent="0.35">
      <c r="A11" s="19"/>
      <c r="B11" s="25" t="s">
        <v>112</v>
      </c>
      <c r="C11" s="26"/>
      <c r="D11" s="133">
        <f>'FCFE Calculations'!D11</f>
        <v>1332910000000</v>
      </c>
      <c r="E11" s="52" t="s">
        <v>113</v>
      </c>
      <c r="F11" s="19"/>
      <c r="G11" s="55"/>
      <c r="H11" s="55"/>
      <c r="I11" s="19"/>
      <c r="J11" s="19"/>
      <c r="K11" s="19"/>
    </row>
    <row r="12" spans="1:11" ht="15.75" customHeight="1" x14ac:dyDescent="0.35">
      <c r="A12" s="19"/>
      <c r="B12" s="25" t="s">
        <v>114</v>
      </c>
      <c r="C12" s="26"/>
      <c r="D12" s="133">
        <f>'FCFE Calculations'!D12</f>
        <v>10010000</v>
      </c>
      <c r="E12" s="52" t="s">
        <v>115</v>
      </c>
      <c r="F12" s="19"/>
      <c r="G12" s="19"/>
      <c r="H12" s="19"/>
      <c r="I12" s="19"/>
      <c r="J12" s="19"/>
      <c r="K12" s="19"/>
    </row>
    <row r="13" spans="1:11" ht="15" x14ac:dyDescent="0.35">
      <c r="A13" s="19"/>
      <c r="B13" s="27" t="s">
        <v>116</v>
      </c>
      <c r="C13" s="19"/>
      <c r="D13" s="48">
        <f>D12/(D12+D11)*D10*(1-D5)+(D11/(D12+D11))*D9</f>
        <v>9.6465452322826967E-2</v>
      </c>
      <c r="E13" s="50">
        <f>J6*D9+J7*D10*(1-D5)</f>
        <v>9.6465452322826967E-2</v>
      </c>
      <c r="F13" s="49"/>
      <c r="G13" s="50"/>
      <c r="H13" s="19"/>
      <c r="I13" s="19"/>
      <c r="J13" s="19"/>
      <c r="K13" s="19"/>
    </row>
    <row r="14" spans="1:11" ht="16.2" x14ac:dyDescent="0.35">
      <c r="A14" s="19"/>
      <c r="B14" s="19" t="s">
        <v>27</v>
      </c>
      <c r="C14" s="19"/>
      <c r="D14" s="60">
        <f>Assumptions!B5</f>
        <v>1.4999999999999999E-2</v>
      </c>
      <c r="F14" s="19"/>
      <c r="G14" s="19"/>
      <c r="H14" s="19"/>
      <c r="I14" s="19"/>
      <c r="J14" s="19"/>
      <c r="K14" s="19"/>
    </row>
    <row r="15" spans="1:11" ht="15" x14ac:dyDescent="0.35">
      <c r="A15" s="19"/>
      <c r="B15" s="19" t="s">
        <v>25</v>
      </c>
      <c r="C15" s="19"/>
      <c r="D15" s="60">
        <f>Assumptions!B4</f>
        <v>7.0000000000000007E-2</v>
      </c>
      <c r="E15" s="51"/>
      <c r="F15" s="19"/>
      <c r="G15" s="19"/>
      <c r="H15" s="19"/>
      <c r="I15" s="19"/>
      <c r="J15" s="19"/>
      <c r="K15" s="19"/>
    </row>
    <row r="16" spans="1:11" ht="15" x14ac:dyDescent="0.35">
      <c r="A16" s="19"/>
      <c r="B16" s="19" t="s">
        <v>117</v>
      </c>
      <c r="C16" s="19"/>
      <c r="D16" s="54">
        <f>'Cost Data'!G22</f>
        <v>351000</v>
      </c>
      <c r="E16" s="19"/>
      <c r="F16" s="19"/>
      <c r="G16" s="19"/>
      <c r="H16" s="19"/>
      <c r="I16" s="19"/>
      <c r="J16" s="19"/>
      <c r="K16" s="19"/>
    </row>
    <row r="17" spans="1:23" ht="16.2" x14ac:dyDescent="0.35">
      <c r="A17" s="19"/>
      <c r="B17" s="19" t="s">
        <v>118</v>
      </c>
      <c r="C17" s="19"/>
      <c r="D17" s="139">
        <v>46387</v>
      </c>
      <c r="E17" s="19"/>
      <c r="F17" s="19"/>
      <c r="G17" s="19"/>
      <c r="I17" s="19"/>
      <c r="J17" s="19"/>
      <c r="K17" s="19"/>
    </row>
    <row r="18" spans="1:23" ht="15" x14ac:dyDescent="0.35">
      <c r="A18" s="19"/>
      <c r="B18" s="19" t="s">
        <v>119</v>
      </c>
      <c r="C18" s="19"/>
      <c r="D18" s="139">
        <v>46660</v>
      </c>
      <c r="E18" s="19"/>
      <c r="F18" s="19"/>
      <c r="G18" s="19"/>
      <c r="H18" s="19"/>
      <c r="I18" s="19"/>
      <c r="J18" s="19"/>
      <c r="K18" s="19"/>
    </row>
    <row r="19" spans="1:23" ht="23.4" x14ac:dyDescent="0.45">
      <c r="A19" s="19"/>
      <c r="B19" s="77" t="s">
        <v>120</v>
      </c>
      <c r="C19" s="19"/>
      <c r="D19" s="28"/>
      <c r="J19" s="19"/>
      <c r="K19" s="19"/>
      <c r="N19" s="77" t="s">
        <v>164</v>
      </c>
      <c r="O19" s="77"/>
    </row>
    <row r="20" spans="1:23" ht="15" x14ac:dyDescent="0.35">
      <c r="A20" s="19"/>
      <c r="B20" s="23" t="s">
        <v>122</v>
      </c>
      <c r="C20" s="23"/>
      <c r="D20" s="23" t="s">
        <v>123</v>
      </c>
      <c r="E20" s="30">
        <f t="shared" ref="E20:J20" si="0">YEAR(E21)</f>
        <v>2027</v>
      </c>
      <c r="F20" s="30">
        <f t="shared" si="0"/>
        <v>2028</v>
      </c>
      <c r="G20" s="30">
        <f t="shared" si="0"/>
        <v>2029</v>
      </c>
      <c r="H20" s="30">
        <f t="shared" si="0"/>
        <v>2030</v>
      </c>
      <c r="I20" s="30">
        <f t="shared" si="0"/>
        <v>2031</v>
      </c>
      <c r="J20" s="30">
        <f t="shared" si="0"/>
        <v>2032</v>
      </c>
      <c r="K20" s="19"/>
      <c r="N20" s="23" t="s">
        <v>122</v>
      </c>
      <c r="O20" s="23"/>
      <c r="P20" s="23" t="s">
        <v>123</v>
      </c>
      <c r="Q20" s="30">
        <f t="shared" ref="Q20:V20" si="1">YEAR(Q21)</f>
        <v>2027</v>
      </c>
      <c r="R20" s="30">
        <f t="shared" si="1"/>
        <v>2028</v>
      </c>
      <c r="S20" s="30">
        <f t="shared" si="1"/>
        <v>2029</v>
      </c>
      <c r="T20" s="30">
        <f t="shared" si="1"/>
        <v>2030</v>
      </c>
      <c r="U20" s="30">
        <f t="shared" si="1"/>
        <v>2031</v>
      </c>
      <c r="V20" s="30">
        <f t="shared" si="1"/>
        <v>2032</v>
      </c>
      <c r="W20" s="19"/>
    </row>
    <row r="21" spans="1:23" ht="15" x14ac:dyDescent="0.35">
      <c r="A21" s="19"/>
      <c r="B21" s="31" t="s">
        <v>124</v>
      </c>
      <c r="C21" s="31"/>
      <c r="D21" s="32">
        <f>D17</f>
        <v>46387</v>
      </c>
      <c r="E21" s="33">
        <f>DATE(YEAR($D$18)+E22,9,30)</f>
        <v>46660</v>
      </c>
      <c r="F21" s="33">
        <f t="shared" ref="F21:K21" si="2">DATE(YEAR($D$18)+F22,9,30)</f>
        <v>47026</v>
      </c>
      <c r="G21" s="33">
        <f t="shared" si="2"/>
        <v>47391</v>
      </c>
      <c r="H21" s="33">
        <f t="shared" si="2"/>
        <v>47756</v>
      </c>
      <c r="I21" s="33">
        <f t="shared" si="2"/>
        <v>48121</v>
      </c>
      <c r="J21" s="33">
        <f>DATE(YEAR($D$18)+J22,9,30)</f>
        <v>48487</v>
      </c>
      <c r="K21" s="33">
        <f t="shared" si="2"/>
        <v>48852</v>
      </c>
      <c r="N21" s="31" t="s">
        <v>124</v>
      </c>
      <c r="O21" s="31"/>
      <c r="P21" s="32">
        <f>D17</f>
        <v>46387</v>
      </c>
      <c r="Q21" s="33">
        <f t="shared" ref="Q21:V21" si="3">DATE(YEAR($D$18)+Q22,9,30)</f>
        <v>46660</v>
      </c>
      <c r="R21" s="33">
        <f t="shared" si="3"/>
        <v>47026</v>
      </c>
      <c r="S21" s="33">
        <f t="shared" si="3"/>
        <v>47391</v>
      </c>
      <c r="T21" s="33">
        <f t="shared" si="3"/>
        <v>47756</v>
      </c>
      <c r="U21" s="33">
        <f t="shared" si="3"/>
        <v>48121</v>
      </c>
      <c r="V21" s="33">
        <f t="shared" si="3"/>
        <v>48487</v>
      </c>
      <c r="W21" s="19"/>
    </row>
    <row r="22" spans="1:23" ht="15" x14ac:dyDescent="0.35">
      <c r="A22" s="19"/>
      <c r="B22" s="34" t="s">
        <v>125</v>
      </c>
      <c r="C22" s="34"/>
      <c r="D22" s="32"/>
      <c r="E22" s="35">
        <v>0</v>
      </c>
      <c r="F22" s="36">
        <f t="shared" ref="F22:K22" si="4">E22+1</f>
        <v>1</v>
      </c>
      <c r="G22" s="36">
        <f t="shared" si="4"/>
        <v>2</v>
      </c>
      <c r="H22" s="36">
        <f t="shared" si="4"/>
        <v>3</v>
      </c>
      <c r="I22" s="36">
        <f t="shared" si="4"/>
        <v>4</v>
      </c>
      <c r="J22" s="36">
        <f t="shared" si="4"/>
        <v>5</v>
      </c>
      <c r="K22" s="36">
        <f t="shared" si="4"/>
        <v>6</v>
      </c>
      <c r="N22" s="34" t="s">
        <v>125</v>
      </c>
      <c r="O22" s="34"/>
      <c r="P22" s="32"/>
      <c r="Q22" s="35">
        <v>0</v>
      </c>
      <c r="R22" s="36">
        <f>Q22+1</f>
        <v>1</v>
      </c>
      <c r="S22" s="36">
        <f>R22+1</f>
        <v>2</v>
      </c>
      <c r="T22" s="36">
        <f>S22+1</f>
        <v>3</v>
      </c>
      <c r="U22" s="36">
        <f>T22+1</f>
        <v>4</v>
      </c>
      <c r="V22" s="36">
        <v>5</v>
      </c>
      <c r="W22" s="19"/>
    </row>
    <row r="23" spans="1:23" ht="15" x14ac:dyDescent="0.35">
      <c r="A23" s="19"/>
      <c r="B23" s="37" t="s">
        <v>126</v>
      </c>
      <c r="C23" s="19"/>
      <c r="D23" s="19"/>
      <c r="E23" s="38">
        <f t="shared" ref="E23:J23" si="5">YEARFRAC(D21,E21)</f>
        <v>0.75</v>
      </c>
      <c r="F23" s="38">
        <f t="shared" si="5"/>
        <v>1</v>
      </c>
      <c r="G23" s="38">
        <f t="shared" si="5"/>
        <v>1</v>
      </c>
      <c r="H23" s="38">
        <f t="shared" si="5"/>
        <v>1</v>
      </c>
      <c r="I23" s="38">
        <f t="shared" si="5"/>
        <v>1</v>
      </c>
      <c r="J23" s="38">
        <f t="shared" si="5"/>
        <v>1</v>
      </c>
      <c r="K23" s="19"/>
      <c r="N23" s="37" t="s">
        <v>126</v>
      </c>
      <c r="O23" s="19"/>
      <c r="P23" s="19"/>
      <c r="Q23" s="38">
        <f t="shared" ref="Q23:V23" si="6">YEARFRAC(P21,Q21)</f>
        <v>0.75</v>
      </c>
      <c r="R23" s="38">
        <f t="shared" si="6"/>
        <v>1</v>
      </c>
      <c r="S23" s="38">
        <f t="shared" si="6"/>
        <v>1</v>
      </c>
      <c r="T23" s="38">
        <f t="shared" si="6"/>
        <v>1</v>
      </c>
      <c r="U23" s="38">
        <f t="shared" si="6"/>
        <v>1</v>
      </c>
      <c r="V23" s="38">
        <f t="shared" si="6"/>
        <v>1</v>
      </c>
      <c r="W23" s="19"/>
    </row>
    <row r="24" spans="1:23" ht="15" x14ac:dyDescent="0.35">
      <c r="A24" s="19"/>
      <c r="B24" s="19" t="s">
        <v>127</v>
      </c>
      <c r="C24" s="19"/>
      <c r="D24" s="19"/>
      <c r="E24" s="58">
        <f>J5</f>
        <v>695000</v>
      </c>
      <c r="F24" s="58">
        <f>E24*(1+$D$15)</f>
        <v>743650</v>
      </c>
      <c r="G24" s="58">
        <f>F24*(1+$D$15)</f>
        <v>795705.5</v>
      </c>
      <c r="H24" s="58">
        <f>G24*(1+$D$15)</f>
        <v>851404.88500000001</v>
      </c>
      <c r="I24" s="58">
        <f>H24*(1+$D$15)</f>
        <v>911003.22695000004</v>
      </c>
      <c r="J24" s="58">
        <f>I24*(1+$D$15)</f>
        <v>974773.45283650013</v>
      </c>
      <c r="K24" s="58">
        <f>J24*(1+D14)</f>
        <v>989395.05462904752</v>
      </c>
      <c r="N24" s="19" t="s">
        <v>127</v>
      </c>
      <c r="O24" s="19"/>
      <c r="P24" s="19"/>
      <c r="Q24" s="58">
        <f>J5</f>
        <v>695000</v>
      </c>
      <c r="R24" s="58">
        <f>0+J8</f>
        <v>0</v>
      </c>
      <c r="S24" s="58">
        <v>0</v>
      </c>
      <c r="T24" s="58">
        <v>0</v>
      </c>
      <c r="U24" s="58">
        <v>0</v>
      </c>
      <c r="V24" s="58">
        <v>0</v>
      </c>
      <c r="W24" s="58">
        <v>0</v>
      </c>
    </row>
    <row r="25" spans="1:23" ht="15" x14ac:dyDescent="0.35">
      <c r="A25" s="19"/>
      <c r="B25" s="19" t="s">
        <v>128</v>
      </c>
      <c r="C25" s="19"/>
      <c r="D25" s="19"/>
      <c r="E25" s="58">
        <f t="shared" ref="E25:K25" si="7">(1-$J$4)*E24</f>
        <v>444800</v>
      </c>
      <c r="F25" s="58">
        <f t="shared" si="7"/>
        <v>475936</v>
      </c>
      <c r="G25" s="58">
        <f t="shared" si="7"/>
        <v>509251.52</v>
      </c>
      <c r="H25" s="58">
        <f t="shared" si="7"/>
        <v>544899.12640000007</v>
      </c>
      <c r="I25" s="58">
        <f t="shared" si="7"/>
        <v>583042.06524800009</v>
      </c>
      <c r="J25" s="58">
        <f t="shared" si="7"/>
        <v>623855.00981536007</v>
      </c>
      <c r="K25" s="58">
        <f t="shared" si="7"/>
        <v>633212.83496259048</v>
      </c>
      <c r="N25" s="19" t="s">
        <v>128</v>
      </c>
      <c r="O25" s="19"/>
      <c r="P25" s="19"/>
      <c r="Q25" s="58">
        <f>(1-$J$4)*Q24</f>
        <v>444800</v>
      </c>
      <c r="R25" s="58">
        <v>0</v>
      </c>
      <c r="S25" s="58">
        <v>0</v>
      </c>
      <c r="T25" s="58">
        <v>0</v>
      </c>
      <c r="U25" s="58">
        <v>0</v>
      </c>
      <c r="V25" s="58">
        <v>0</v>
      </c>
      <c r="W25" s="58">
        <v>0</v>
      </c>
    </row>
    <row r="26" spans="1:23" ht="15" x14ac:dyDescent="0.35">
      <c r="A26" s="19"/>
      <c r="B26" s="39" t="s">
        <v>33</v>
      </c>
      <c r="C26" s="39"/>
      <c r="D26" s="39"/>
      <c r="E26" s="141">
        <v>0</v>
      </c>
      <c r="F26" s="141">
        <v>0</v>
      </c>
      <c r="G26" s="141">
        <v>0</v>
      </c>
      <c r="H26" s="141">
        <v>0</v>
      </c>
      <c r="I26" s="141">
        <v>0</v>
      </c>
      <c r="J26" s="141">
        <v>0</v>
      </c>
      <c r="K26" s="141">
        <v>0</v>
      </c>
      <c r="N26" s="39" t="s">
        <v>33</v>
      </c>
      <c r="O26" s="39"/>
      <c r="P26" s="39"/>
      <c r="Q26" s="141">
        <v>0</v>
      </c>
      <c r="R26" s="141">
        <v>0</v>
      </c>
      <c r="S26" s="141">
        <v>0</v>
      </c>
      <c r="T26" s="141">
        <v>0</v>
      </c>
      <c r="U26" s="141">
        <v>0</v>
      </c>
      <c r="V26" s="141">
        <v>0</v>
      </c>
      <c r="W26" s="141">
        <v>0</v>
      </c>
    </row>
    <row r="27" spans="1:23" ht="15" x14ac:dyDescent="0.35">
      <c r="A27" s="19"/>
      <c r="B27" s="19" t="s">
        <v>129</v>
      </c>
      <c r="C27" s="19"/>
      <c r="D27" s="19"/>
      <c r="E27" s="26">
        <f>E24-E25-E26</f>
        <v>250200</v>
      </c>
      <c r="F27" s="26">
        <f t="shared" ref="F27:K27" si="8">F24-F25-F26</f>
        <v>267714</v>
      </c>
      <c r="G27" s="26">
        <f t="shared" si="8"/>
        <v>286453.98</v>
      </c>
      <c r="H27" s="26">
        <f t="shared" si="8"/>
        <v>306505.75859999994</v>
      </c>
      <c r="I27" s="26">
        <f t="shared" si="8"/>
        <v>327961.16170199995</v>
      </c>
      <c r="J27" s="26">
        <f t="shared" si="8"/>
        <v>350918.44302114006</v>
      </c>
      <c r="K27" s="26">
        <f t="shared" si="8"/>
        <v>356182.21966645704</v>
      </c>
      <c r="N27" s="19" t="s">
        <v>129</v>
      </c>
      <c r="O27" s="19"/>
      <c r="P27" s="19"/>
      <c r="Q27" s="26">
        <f>Q24-Q25-Q26</f>
        <v>250200</v>
      </c>
      <c r="R27" s="26">
        <f t="shared" ref="R27:W27" si="9">R24-R25-R26</f>
        <v>0</v>
      </c>
      <c r="S27" s="26">
        <f t="shared" si="9"/>
        <v>0</v>
      </c>
      <c r="T27" s="26">
        <f t="shared" si="9"/>
        <v>0</v>
      </c>
      <c r="U27" s="26">
        <f t="shared" si="9"/>
        <v>0</v>
      </c>
      <c r="V27" s="26">
        <f t="shared" si="9"/>
        <v>0</v>
      </c>
      <c r="W27" s="26">
        <f t="shared" si="9"/>
        <v>0</v>
      </c>
    </row>
    <row r="28" spans="1:23" ht="15" x14ac:dyDescent="0.35">
      <c r="A28" s="19"/>
      <c r="B28" s="19" t="s">
        <v>130</v>
      </c>
      <c r="C28" s="19"/>
      <c r="D28" s="19"/>
      <c r="E28" s="40">
        <f>-E27*$D$5</f>
        <v>-57145.680000000008</v>
      </c>
      <c r="F28" s="40">
        <f t="shared" ref="F28:K28" si="10">-F27*$D$5</f>
        <v>-61145.877600000007</v>
      </c>
      <c r="G28" s="40">
        <f t="shared" si="10"/>
        <v>-65426.089032000003</v>
      </c>
      <c r="H28" s="40">
        <f t="shared" si="10"/>
        <v>-70005.915264239986</v>
      </c>
      <c r="I28" s="40">
        <f t="shared" si="10"/>
        <v>-74906.329332736801</v>
      </c>
      <c r="J28" s="40">
        <f t="shared" si="10"/>
        <v>-80149.772386028402</v>
      </c>
      <c r="K28" s="40">
        <f t="shared" si="10"/>
        <v>-81352.01897181879</v>
      </c>
      <c r="N28" s="19" t="s">
        <v>130</v>
      </c>
      <c r="O28" s="19"/>
      <c r="P28" s="19"/>
      <c r="Q28" s="40">
        <f t="shared" ref="Q28:W28" si="11">-Q27*$D$5</f>
        <v>-57145.680000000008</v>
      </c>
      <c r="R28" s="40">
        <f t="shared" si="11"/>
        <v>0</v>
      </c>
      <c r="S28" s="40">
        <f t="shared" si="11"/>
        <v>0</v>
      </c>
      <c r="T28" s="40">
        <f t="shared" si="11"/>
        <v>0</v>
      </c>
      <c r="U28" s="40">
        <f t="shared" si="11"/>
        <v>0</v>
      </c>
      <c r="V28" s="40">
        <f t="shared" si="11"/>
        <v>0</v>
      </c>
      <c r="W28" s="40">
        <f t="shared" si="11"/>
        <v>0</v>
      </c>
    </row>
    <row r="29" spans="1:23" ht="15" x14ac:dyDescent="0.35">
      <c r="A29" s="19"/>
      <c r="B29" s="19" t="s">
        <v>131</v>
      </c>
      <c r="C29" s="19"/>
      <c r="D29" s="19"/>
      <c r="E29" s="41">
        <f t="shared" ref="E29:K29" si="12">E26</f>
        <v>0</v>
      </c>
      <c r="F29" s="41">
        <f t="shared" si="12"/>
        <v>0</v>
      </c>
      <c r="G29" s="41">
        <f t="shared" si="12"/>
        <v>0</v>
      </c>
      <c r="H29" s="41">
        <f t="shared" si="12"/>
        <v>0</v>
      </c>
      <c r="I29" s="41">
        <f t="shared" si="12"/>
        <v>0</v>
      </c>
      <c r="J29" s="41">
        <f t="shared" si="12"/>
        <v>0</v>
      </c>
      <c r="K29" s="41">
        <f t="shared" si="12"/>
        <v>0</v>
      </c>
      <c r="N29" s="19" t="s">
        <v>131</v>
      </c>
      <c r="O29" s="19"/>
      <c r="P29" s="19"/>
      <c r="Q29" s="41">
        <f>Q26</f>
        <v>0</v>
      </c>
      <c r="R29" s="41">
        <f t="shared" ref="R29:W29" si="13">R26</f>
        <v>0</v>
      </c>
      <c r="S29" s="41">
        <f t="shared" si="13"/>
        <v>0</v>
      </c>
      <c r="T29" s="41">
        <f t="shared" si="13"/>
        <v>0</v>
      </c>
      <c r="U29" s="41">
        <f t="shared" si="13"/>
        <v>0</v>
      </c>
      <c r="V29" s="41">
        <f t="shared" si="13"/>
        <v>0</v>
      </c>
      <c r="W29" s="41">
        <f t="shared" si="13"/>
        <v>0</v>
      </c>
    </row>
    <row r="30" spans="1:23" ht="15" x14ac:dyDescent="0.35">
      <c r="A30" s="19"/>
      <c r="B30" s="19" t="s">
        <v>132</v>
      </c>
      <c r="C30" s="19"/>
      <c r="D30" s="19"/>
      <c r="E30" s="142">
        <v>0</v>
      </c>
      <c r="F30" s="142">
        <v>0</v>
      </c>
      <c r="G30" s="142">
        <v>0</v>
      </c>
      <c r="H30" s="142">
        <v>0</v>
      </c>
      <c r="I30" s="142">
        <v>0</v>
      </c>
      <c r="J30" s="142">
        <v>0</v>
      </c>
      <c r="K30" s="142">
        <v>0</v>
      </c>
      <c r="N30" s="19" t="s">
        <v>132</v>
      </c>
      <c r="O30" s="19"/>
      <c r="P30" s="19"/>
      <c r="Q30" s="142">
        <v>0</v>
      </c>
      <c r="R30" s="142">
        <v>0</v>
      </c>
      <c r="S30" s="142">
        <v>0</v>
      </c>
      <c r="T30" s="142">
        <v>0</v>
      </c>
      <c r="U30" s="142">
        <v>0</v>
      </c>
      <c r="V30" s="142">
        <v>0</v>
      </c>
      <c r="W30" s="142">
        <v>0</v>
      </c>
    </row>
    <row r="31" spans="1:23" ht="15" x14ac:dyDescent="0.35">
      <c r="A31" s="19"/>
      <c r="B31" s="19" t="s">
        <v>133</v>
      </c>
      <c r="C31" s="19"/>
      <c r="D31" s="19">
        <f>-D16</f>
        <v>-351000</v>
      </c>
      <c r="E31" s="27"/>
      <c r="F31" s="27"/>
      <c r="G31" s="27"/>
      <c r="H31" s="27"/>
      <c r="I31" s="27"/>
      <c r="J31" s="19"/>
      <c r="K31" s="19"/>
      <c r="N31" s="19" t="s">
        <v>133</v>
      </c>
      <c r="O31" s="19"/>
      <c r="P31" s="19">
        <f>-D16</f>
        <v>-351000</v>
      </c>
      <c r="Q31" s="27"/>
      <c r="R31" s="27"/>
      <c r="S31" s="27"/>
      <c r="T31" s="27"/>
      <c r="U31" s="27"/>
      <c r="V31" s="19"/>
      <c r="W31" s="19"/>
    </row>
    <row r="32" spans="1:23" ht="15" x14ac:dyDescent="0.35">
      <c r="A32" s="19"/>
      <c r="B32" s="19" t="s">
        <v>134</v>
      </c>
      <c r="C32" s="19"/>
      <c r="D32" s="39"/>
      <c r="E32" s="57">
        <f t="shared" ref="E32:K32" si="14">-E44</f>
        <v>69515.88551161252</v>
      </c>
      <c r="F32" s="57">
        <f t="shared" si="14"/>
        <v>4866.1119858128804</v>
      </c>
      <c r="G32" s="57">
        <f t="shared" si="14"/>
        <v>5206.7398248197715</v>
      </c>
      <c r="H32" s="57">
        <f t="shared" si="14"/>
        <v>5571.2116125572065</v>
      </c>
      <c r="I32" s="57">
        <f t="shared" si="14"/>
        <v>5961.1964254361665</v>
      </c>
      <c r="J32" s="57">
        <f t="shared" si="14"/>
        <v>6378.4801752166823</v>
      </c>
      <c r="K32" s="57">
        <f t="shared" si="14"/>
        <v>1462.4943830318371</v>
      </c>
      <c r="N32" s="19" t="s">
        <v>134</v>
      </c>
      <c r="O32" s="19"/>
      <c r="P32" s="39"/>
      <c r="Q32" s="57">
        <f>-Q44</f>
        <v>69515.88551161252</v>
      </c>
      <c r="R32" s="57">
        <f t="shared" ref="R32:W32" si="15">-R44</f>
        <v>-69515.88551161252</v>
      </c>
      <c r="S32" s="57">
        <f t="shared" si="15"/>
        <v>0</v>
      </c>
      <c r="T32" s="57">
        <f t="shared" si="15"/>
        <v>0</v>
      </c>
      <c r="U32" s="57">
        <f t="shared" si="15"/>
        <v>0</v>
      </c>
      <c r="V32" s="57">
        <f t="shared" si="15"/>
        <v>0</v>
      </c>
      <c r="W32" s="57">
        <f t="shared" si="15"/>
        <v>0</v>
      </c>
    </row>
    <row r="33" spans="1:23" ht="15" x14ac:dyDescent="0.35">
      <c r="A33" s="19"/>
      <c r="B33" s="19" t="s">
        <v>135</v>
      </c>
      <c r="C33" s="19"/>
      <c r="D33" s="42">
        <f t="shared" ref="D33:I33" si="16">D27+SUM(D28:D32)</f>
        <v>-351000</v>
      </c>
      <c r="E33" s="42">
        <f t="shared" si="16"/>
        <v>262570.20551161253</v>
      </c>
      <c r="F33" s="42">
        <f t="shared" si="16"/>
        <v>211434.23438581289</v>
      </c>
      <c r="G33" s="42">
        <f t="shared" si="16"/>
        <v>226234.63079281975</v>
      </c>
      <c r="H33" s="42">
        <f t="shared" si="16"/>
        <v>242071.05494831718</v>
      </c>
      <c r="I33" s="42">
        <f t="shared" si="16"/>
        <v>259016.02879469932</v>
      </c>
      <c r="J33" s="42">
        <f>J27+SUM(J28:J32)+J34</f>
        <v>3668679.2321985476</v>
      </c>
      <c r="K33" s="42">
        <f>K27+SUM(K28:K32)</f>
        <v>276292.6950776701</v>
      </c>
      <c r="N33" s="19" t="s">
        <v>135</v>
      </c>
      <c r="O33" s="19"/>
      <c r="P33" s="42">
        <f t="shared" ref="P33:U33" si="17">P27+SUM(P28:P32)</f>
        <v>-351000</v>
      </c>
      <c r="Q33" s="42">
        <f t="shared" si="17"/>
        <v>262570.20551161253</v>
      </c>
      <c r="R33" s="42">
        <f t="shared" si="17"/>
        <v>-69515.88551161252</v>
      </c>
      <c r="S33" s="42">
        <f t="shared" si="17"/>
        <v>0</v>
      </c>
      <c r="T33" s="42">
        <f t="shared" si="17"/>
        <v>0</v>
      </c>
      <c r="U33" s="42">
        <f t="shared" si="17"/>
        <v>0</v>
      </c>
      <c r="V33" s="42">
        <f>V27+SUM(V28:V32)+V34</f>
        <v>0</v>
      </c>
      <c r="W33" s="42">
        <f>W27+SUM(W28:W32)</f>
        <v>0</v>
      </c>
    </row>
    <row r="34" spans="1:23" ht="16.2" x14ac:dyDescent="0.35">
      <c r="A34" s="19"/>
      <c r="B34" s="19" t="s">
        <v>136</v>
      </c>
      <c r="C34" s="19"/>
      <c r="D34" s="21"/>
      <c r="J34" s="19">
        <f>K33/(D13-D14)</f>
        <v>3391532.0813882193</v>
      </c>
      <c r="N34" s="19" t="s">
        <v>136</v>
      </c>
      <c r="O34" s="19"/>
      <c r="P34" s="21"/>
      <c r="Q34" s="19"/>
      <c r="R34" s="29"/>
      <c r="S34" s="19"/>
      <c r="T34" s="19"/>
      <c r="U34" s="19"/>
      <c r="V34" s="19">
        <f>W33/(D13-D14)</f>
        <v>0</v>
      </c>
      <c r="W34" s="29"/>
    </row>
    <row r="35" spans="1:23" ht="16.8" thickBot="1" x14ac:dyDescent="0.4">
      <c r="A35" s="19"/>
      <c r="E35" s="19"/>
      <c r="F35" s="19"/>
      <c r="G35" s="19"/>
      <c r="H35" s="19"/>
      <c r="I35" s="19" t="s">
        <v>137</v>
      </c>
      <c r="J35" s="19">
        <f>J27+SUM(J28:J32)</f>
        <v>277147.15081032831</v>
      </c>
      <c r="N35" s="29"/>
      <c r="O35" s="29"/>
      <c r="P35" s="45"/>
      <c r="Q35" s="19"/>
      <c r="R35" s="19"/>
      <c r="S35" s="19"/>
      <c r="T35" s="19"/>
      <c r="U35" s="19"/>
      <c r="V35" s="19"/>
      <c r="W35" s="29"/>
    </row>
    <row r="36" spans="1:23" ht="16.8" thickBot="1" x14ac:dyDescent="0.4">
      <c r="A36" s="19"/>
      <c r="B36" s="20" t="s">
        <v>139</v>
      </c>
      <c r="D36" s="92">
        <f>XNPV(D13,D33:J33,D21:J21)</f>
        <v>2747998.7618246786</v>
      </c>
      <c r="E36" s="19">
        <f>NPV(D13,E33:J33)+D33</f>
        <v>2678128.9561188095</v>
      </c>
      <c r="F36" s="19"/>
      <c r="G36" s="19"/>
      <c r="H36" s="19"/>
      <c r="I36" s="19"/>
      <c r="J36" s="19"/>
      <c r="N36" s="97" t="s">
        <v>165</v>
      </c>
      <c r="O36" s="91"/>
      <c r="P36" s="98">
        <f>XNPV(D13,P33:V33,P21:V21)</f>
        <v>-165071.801682766</v>
      </c>
      <c r="Q36" s="42"/>
      <c r="R36" s="42"/>
      <c r="S36" s="42"/>
      <c r="T36" s="42"/>
      <c r="U36" s="42"/>
      <c r="V36" s="42"/>
      <c r="W36" s="91"/>
    </row>
    <row r="37" spans="1:23" ht="16.2" x14ac:dyDescent="0.35">
      <c r="A37" s="19"/>
      <c r="B37" s="19"/>
      <c r="C37" s="19"/>
      <c r="D37" s="19"/>
      <c r="E37" s="19"/>
      <c r="F37" s="19"/>
      <c r="G37" s="19"/>
      <c r="H37" s="19"/>
      <c r="I37" s="19"/>
      <c r="J37" s="19"/>
      <c r="N37" s="42"/>
      <c r="O37" s="42"/>
      <c r="P37" s="42"/>
      <c r="Q37" s="42"/>
      <c r="R37" s="42"/>
      <c r="S37" s="42"/>
      <c r="T37" s="42"/>
      <c r="U37" s="42"/>
      <c r="V37" s="42"/>
      <c r="W37" s="91"/>
    </row>
    <row r="38" spans="1:23" ht="16.2" x14ac:dyDescent="0.35">
      <c r="A38" s="19"/>
      <c r="B38" s="20" t="s">
        <v>140</v>
      </c>
      <c r="C38" s="19"/>
      <c r="D38" s="20" t="s">
        <v>123</v>
      </c>
      <c r="E38" s="20">
        <v>2026</v>
      </c>
      <c r="F38" s="20">
        <v>2027</v>
      </c>
      <c r="G38" s="20">
        <v>2028</v>
      </c>
      <c r="H38" s="20">
        <v>2029</v>
      </c>
      <c r="I38" s="20">
        <v>2030</v>
      </c>
      <c r="J38" s="20">
        <v>2031</v>
      </c>
      <c r="K38" s="20">
        <v>2032</v>
      </c>
      <c r="N38" s="97" t="s">
        <v>140</v>
      </c>
      <c r="O38" s="42"/>
      <c r="P38" s="42"/>
      <c r="Q38" s="42"/>
      <c r="R38" s="42"/>
      <c r="S38" s="42"/>
      <c r="T38" s="42"/>
      <c r="U38" s="42"/>
      <c r="V38" s="42"/>
      <c r="W38" s="91"/>
    </row>
    <row r="39" spans="1:23" ht="15" x14ac:dyDescent="0.35">
      <c r="A39" s="19"/>
      <c r="B39" s="19" t="s">
        <v>141</v>
      </c>
      <c r="C39" s="19"/>
      <c r="D39" s="130">
        <v>0</v>
      </c>
      <c r="E39" s="130">
        <v>0</v>
      </c>
      <c r="F39" s="130">
        <v>0</v>
      </c>
      <c r="G39" s="130">
        <v>0</v>
      </c>
      <c r="H39" s="130">
        <v>0</v>
      </c>
      <c r="I39" s="130">
        <v>0</v>
      </c>
      <c r="J39" s="130">
        <v>0</v>
      </c>
      <c r="K39" s="130">
        <v>0</v>
      </c>
      <c r="N39" s="42" t="s">
        <v>141</v>
      </c>
      <c r="O39" s="42"/>
      <c r="P39" s="130">
        <v>0</v>
      </c>
      <c r="Q39" s="130">
        <v>0</v>
      </c>
      <c r="R39" s="130">
        <v>0</v>
      </c>
      <c r="S39" s="130">
        <v>0</v>
      </c>
      <c r="T39" s="130">
        <v>0</v>
      </c>
      <c r="U39" s="130">
        <v>0</v>
      </c>
      <c r="V39" s="130">
        <v>0</v>
      </c>
      <c r="W39" s="130">
        <v>0</v>
      </c>
    </row>
    <row r="40" spans="1:23" ht="15" x14ac:dyDescent="0.35">
      <c r="A40" s="19"/>
      <c r="B40" s="19" t="s">
        <v>142</v>
      </c>
      <c r="C40" s="19"/>
      <c r="D40" s="130">
        <v>0</v>
      </c>
      <c r="E40" s="130">
        <v>0</v>
      </c>
      <c r="F40" s="130">
        <v>0</v>
      </c>
      <c r="G40" s="130">
        <v>0</v>
      </c>
      <c r="H40" s="130">
        <v>0</v>
      </c>
      <c r="I40" s="130">
        <v>0</v>
      </c>
      <c r="J40" s="130">
        <v>0</v>
      </c>
      <c r="K40" s="130">
        <v>0</v>
      </c>
      <c r="N40" s="42" t="s">
        <v>142</v>
      </c>
      <c r="O40" s="42"/>
      <c r="P40" s="130">
        <v>0</v>
      </c>
      <c r="Q40" s="130">
        <v>0</v>
      </c>
      <c r="R40" s="130">
        <v>0</v>
      </c>
      <c r="S40" s="130">
        <v>0</v>
      </c>
      <c r="T40" s="130">
        <v>0</v>
      </c>
      <c r="U40" s="130">
        <v>0</v>
      </c>
      <c r="V40" s="130">
        <v>0</v>
      </c>
      <c r="W40" s="130">
        <v>0</v>
      </c>
    </row>
    <row r="41" spans="1:23" ht="16.2" x14ac:dyDescent="0.35">
      <c r="A41" s="19"/>
      <c r="B41" s="29" t="s">
        <v>166</v>
      </c>
      <c r="C41" s="19"/>
      <c r="D41" s="143">
        <v>0</v>
      </c>
      <c r="E41" s="42">
        <f t="shared" ref="E41:K41" si="18">E24*$C$46</f>
        <v>55138.26144630029</v>
      </c>
      <c r="F41" s="42">
        <f t="shared" si="18"/>
        <v>58997.939747541313</v>
      </c>
      <c r="G41" s="42">
        <f t="shared" si="18"/>
        <v>63127.795529869203</v>
      </c>
      <c r="H41" s="42">
        <f t="shared" si="18"/>
        <v>67546.741216960043</v>
      </c>
      <c r="I41" s="42">
        <f t="shared" si="18"/>
        <v>72275.013102147248</v>
      </c>
      <c r="J41" s="42">
        <f t="shared" si="18"/>
        <v>77334.264019297567</v>
      </c>
      <c r="K41" s="42">
        <f t="shared" si="18"/>
        <v>78494.27797958703</v>
      </c>
      <c r="N41" s="91" t="s">
        <v>166</v>
      </c>
      <c r="O41" s="42"/>
      <c r="P41" s="143">
        <v>0</v>
      </c>
      <c r="Q41" s="42">
        <f t="shared" ref="Q41:W41" si="19">Q24*$O$46</f>
        <v>55138.26144630029</v>
      </c>
      <c r="R41" s="42">
        <f t="shared" si="19"/>
        <v>0</v>
      </c>
      <c r="S41" s="42">
        <f t="shared" si="19"/>
        <v>0</v>
      </c>
      <c r="T41" s="42">
        <f t="shared" si="19"/>
        <v>0</v>
      </c>
      <c r="U41" s="42">
        <f t="shared" si="19"/>
        <v>0</v>
      </c>
      <c r="V41" s="42">
        <f t="shared" si="19"/>
        <v>0</v>
      </c>
      <c r="W41" s="42">
        <f t="shared" si="19"/>
        <v>0</v>
      </c>
    </row>
    <row r="42" spans="1:23" x14ac:dyDescent="0.3">
      <c r="B42" s="29" t="s">
        <v>167</v>
      </c>
      <c r="D42" s="140">
        <v>0</v>
      </c>
      <c r="E42" s="91">
        <f>-E25*$C$47</f>
        <v>-124654.14695791282</v>
      </c>
      <c r="F42" s="91">
        <f t="shared" ref="F42:K42" si="20">-F25*$C$47</f>
        <v>-133379.93724496671</v>
      </c>
      <c r="G42" s="91">
        <f t="shared" si="20"/>
        <v>-142716.53285211438</v>
      </c>
      <c r="H42" s="91">
        <f t="shared" si="20"/>
        <v>-152706.69015176242</v>
      </c>
      <c r="I42" s="91">
        <f t="shared" si="20"/>
        <v>-163396.15846238579</v>
      </c>
      <c r="J42" s="91">
        <f t="shared" si="20"/>
        <v>-174833.88955475279</v>
      </c>
      <c r="K42" s="91">
        <f t="shared" si="20"/>
        <v>-177456.39789807409</v>
      </c>
      <c r="N42" s="91" t="s">
        <v>167</v>
      </c>
      <c r="O42" s="91"/>
      <c r="P42" s="140">
        <v>0</v>
      </c>
      <c r="Q42" s="91">
        <f t="shared" ref="Q42:W42" si="21">-Q25*$O$47</f>
        <v>-124654.14695791282</v>
      </c>
      <c r="R42" s="91">
        <f t="shared" si="21"/>
        <v>0</v>
      </c>
      <c r="S42" s="91">
        <f t="shared" si="21"/>
        <v>0</v>
      </c>
      <c r="T42" s="91">
        <f t="shared" si="21"/>
        <v>0</v>
      </c>
      <c r="U42" s="91">
        <f t="shared" si="21"/>
        <v>0</v>
      </c>
      <c r="V42" s="91">
        <f t="shared" si="21"/>
        <v>0</v>
      </c>
      <c r="W42" s="91">
        <f t="shared" si="21"/>
        <v>0</v>
      </c>
    </row>
    <row r="43" spans="1:23" x14ac:dyDescent="0.3">
      <c r="B43" s="56" t="s">
        <v>143</v>
      </c>
      <c r="C43" s="56"/>
      <c r="D43" s="56">
        <f t="shared" ref="D43:K43" si="22">SUM(D39:D42)</f>
        <v>0</v>
      </c>
      <c r="E43" s="56">
        <f t="shared" si="22"/>
        <v>-69515.88551161252</v>
      </c>
      <c r="F43" s="56">
        <f t="shared" si="22"/>
        <v>-74381.9974974254</v>
      </c>
      <c r="G43" s="56">
        <f t="shared" si="22"/>
        <v>-79588.737322245172</v>
      </c>
      <c r="H43" s="56">
        <f t="shared" si="22"/>
        <v>-85159.948934802378</v>
      </c>
      <c r="I43" s="56">
        <f t="shared" si="22"/>
        <v>-91121.145360238545</v>
      </c>
      <c r="J43" s="56">
        <f t="shared" si="22"/>
        <v>-97499.625535455227</v>
      </c>
      <c r="K43" s="56">
        <f t="shared" si="22"/>
        <v>-98962.119918487064</v>
      </c>
      <c r="N43" s="56" t="s">
        <v>143</v>
      </c>
      <c r="O43" s="56"/>
      <c r="P43" s="56">
        <f>SUM(P39:P42)</f>
        <v>0</v>
      </c>
      <c r="Q43" s="56">
        <f>SUM(Q39:Q42)</f>
        <v>-69515.88551161252</v>
      </c>
      <c r="R43" s="56">
        <f t="shared" ref="R43:W43" si="23">SUM(R39:R42)</f>
        <v>0</v>
      </c>
      <c r="S43" s="56">
        <f t="shared" si="23"/>
        <v>0</v>
      </c>
      <c r="T43" s="56">
        <f t="shared" si="23"/>
        <v>0</v>
      </c>
      <c r="U43" s="56">
        <f t="shared" si="23"/>
        <v>0</v>
      </c>
      <c r="V43" s="56">
        <f t="shared" si="23"/>
        <v>0</v>
      </c>
      <c r="W43" s="56">
        <f t="shared" si="23"/>
        <v>0</v>
      </c>
    </row>
    <row r="44" spans="1:23" ht="15" x14ac:dyDescent="0.35">
      <c r="A44" s="19"/>
      <c r="B44" s="19" t="s">
        <v>144</v>
      </c>
      <c r="C44" s="19"/>
      <c r="D44" s="21"/>
      <c r="E44" s="19">
        <f t="shared" ref="E44:K44" si="24">E43-D43</f>
        <v>-69515.88551161252</v>
      </c>
      <c r="F44" s="19">
        <f t="shared" si="24"/>
        <v>-4866.1119858128804</v>
      </c>
      <c r="G44" s="19">
        <f t="shared" si="24"/>
        <v>-5206.7398248197715</v>
      </c>
      <c r="H44" s="19">
        <f t="shared" si="24"/>
        <v>-5571.2116125572065</v>
      </c>
      <c r="I44" s="19">
        <f t="shared" si="24"/>
        <v>-5961.1964254361665</v>
      </c>
      <c r="J44" s="19">
        <f t="shared" si="24"/>
        <v>-6378.4801752166823</v>
      </c>
      <c r="K44" s="19">
        <f t="shared" si="24"/>
        <v>-1462.4943830318371</v>
      </c>
      <c r="N44" s="19" t="s">
        <v>144</v>
      </c>
      <c r="O44" s="19"/>
      <c r="P44" s="21"/>
      <c r="Q44" s="19">
        <f>Q43-P43</f>
        <v>-69515.88551161252</v>
      </c>
      <c r="R44" s="19">
        <f t="shared" ref="R44:W44" si="25">R43-Q43</f>
        <v>69515.88551161252</v>
      </c>
      <c r="S44" s="19">
        <f t="shared" si="25"/>
        <v>0</v>
      </c>
      <c r="T44" s="19">
        <f t="shared" si="25"/>
        <v>0</v>
      </c>
      <c r="U44" s="19">
        <f t="shared" si="25"/>
        <v>0</v>
      </c>
      <c r="V44" s="19">
        <f t="shared" si="25"/>
        <v>0</v>
      </c>
      <c r="W44" s="19">
        <f t="shared" si="25"/>
        <v>0</v>
      </c>
    </row>
    <row r="45" spans="1:23" ht="16.2" x14ac:dyDescent="0.35">
      <c r="A45" s="19"/>
      <c r="B45" s="19"/>
      <c r="C45" s="19"/>
      <c r="D45" s="21"/>
      <c r="E45" s="19"/>
      <c r="F45" s="19"/>
      <c r="G45" s="19"/>
      <c r="H45" s="19"/>
      <c r="N45" s="19"/>
      <c r="O45" s="19"/>
      <c r="P45" s="21"/>
      <c r="Q45" s="19"/>
      <c r="R45" s="19"/>
      <c r="S45" s="19"/>
      <c r="T45" s="19"/>
      <c r="U45" s="29"/>
      <c r="V45" s="29"/>
      <c r="W45" s="29"/>
    </row>
    <row r="46" spans="1:23" ht="16.2" x14ac:dyDescent="0.35">
      <c r="A46" s="19"/>
      <c r="B46" s="29" t="s">
        <v>145</v>
      </c>
      <c r="C46" s="132">
        <f>'FCFE Calculations'!C46</f>
        <v>7.933562798028819E-2</v>
      </c>
      <c r="D46" s="21"/>
      <c r="E46" s="19"/>
      <c r="F46" s="19"/>
      <c r="G46" s="19"/>
      <c r="H46" s="19"/>
      <c r="N46" s="29" t="s">
        <v>145</v>
      </c>
      <c r="O46" s="132">
        <f>'FCFE Calculations'!C46</f>
        <v>7.933562798028819E-2</v>
      </c>
      <c r="P46" s="21"/>
      <c r="Q46" s="19"/>
      <c r="R46" s="19"/>
      <c r="S46" s="19"/>
      <c r="T46" s="19"/>
      <c r="U46" s="29"/>
      <c r="V46" s="29"/>
      <c r="W46" s="29"/>
    </row>
    <row r="47" spans="1:23" ht="16.2" x14ac:dyDescent="0.35">
      <c r="A47" s="19"/>
      <c r="B47" s="29" t="s">
        <v>146</v>
      </c>
      <c r="C47" s="132">
        <f>'FCFE Calculations'!C47</f>
        <v>0.28024763254926444</v>
      </c>
      <c r="D47" s="21"/>
      <c r="E47" s="19"/>
      <c r="F47" s="19"/>
      <c r="G47" s="19"/>
      <c r="H47" s="19"/>
      <c r="N47" s="29" t="s">
        <v>146</v>
      </c>
      <c r="O47" s="132">
        <f>'FCFE Calculations'!C47</f>
        <v>0.28024763254926444</v>
      </c>
      <c r="P47" s="21"/>
      <c r="Q47" s="19"/>
      <c r="R47" s="19"/>
      <c r="S47" s="19"/>
      <c r="T47" s="19"/>
      <c r="U47" s="29"/>
      <c r="V47" s="29"/>
      <c r="W47" s="29"/>
    </row>
    <row r="48" spans="1:23" ht="16.2" x14ac:dyDescent="0.35">
      <c r="A48" s="19"/>
      <c r="B48" s="44"/>
      <c r="C48" s="19"/>
      <c r="D48" s="21"/>
      <c r="E48" s="19"/>
      <c r="F48" s="19"/>
      <c r="G48" s="19"/>
      <c r="H48" s="19"/>
    </row>
    <row r="49" spans="1:11" ht="16.2" x14ac:dyDescent="0.35">
      <c r="A49" s="19"/>
      <c r="B49" s="29" t="s">
        <v>147</v>
      </c>
      <c r="D49" s="29">
        <f>(E33+E49)/(1+$D$13)</f>
        <v>3029128.9561188095</v>
      </c>
      <c r="E49" s="29">
        <f>(F33+F49)/(1+$D$13)</f>
        <v>3058765.0455033709</v>
      </c>
      <c r="F49" s="29">
        <f>(G33+G49)/(1+$D$13)</f>
        <v>3142395.9647812936</v>
      </c>
      <c r="G49" s="29">
        <f>(H33+H49)/(1+$D$13)</f>
        <v>3219293.9821085278</v>
      </c>
      <c r="H49" s="29">
        <f>(I33+I49)/(1+$D$13)</f>
        <v>3287773.5773044643</v>
      </c>
      <c r="I49" s="29">
        <f>J33/(1+$D$13)</f>
        <v>3345914.1137794792</v>
      </c>
    </row>
    <row r="50" spans="1:11" ht="15" x14ac:dyDescent="0.35">
      <c r="A50" s="19"/>
      <c r="B50" s="19" t="s">
        <v>148</v>
      </c>
      <c r="C50" s="19"/>
      <c r="D50" s="21">
        <f t="shared" ref="D50:I50" si="26">D49*$J$7</f>
        <v>22.748237421050707</v>
      </c>
      <c r="E50" s="21">
        <f t="shared" si="26"/>
        <v>22.970799354635499</v>
      </c>
      <c r="F50" s="21">
        <f t="shared" si="26"/>
        <v>23.598853173087821</v>
      </c>
      <c r="G50" s="21">
        <f t="shared" si="26"/>
        <v>24.176344056014557</v>
      </c>
      <c r="H50" s="21">
        <f t="shared" si="26"/>
        <v>24.690614036785064</v>
      </c>
      <c r="I50" s="21">
        <f t="shared" si="26"/>
        <v>25.127239464979287</v>
      </c>
      <c r="J50" s="21"/>
      <c r="K50" s="21"/>
    </row>
    <row r="51" spans="1:11" ht="16.2" x14ac:dyDescent="0.35">
      <c r="A51" s="19"/>
      <c r="C51" s="19"/>
    </row>
    <row r="52" spans="1:11" ht="16.2" x14ac:dyDescent="0.35">
      <c r="A52" s="19"/>
      <c r="B52" s="19"/>
      <c r="C52" s="19"/>
      <c r="D52" s="21"/>
      <c r="E52" s="19"/>
      <c r="F52" s="19"/>
      <c r="G52" s="19"/>
      <c r="H52" s="19"/>
    </row>
    <row r="53" spans="1:11" ht="15" x14ac:dyDescent="0.35">
      <c r="A53" s="19"/>
      <c r="B53" s="19" t="s">
        <v>149</v>
      </c>
      <c r="C53" s="19"/>
      <c r="D53" s="21"/>
      <c r="E53" s="19">
        <f t="shared" ref="E53:J53" si="27">-D50*$D$10*(1-$D$5)</f>
        <v>-0.84603242771478737</v>
      </c>
      <c r="F53" s="19">
        <f t="shared" si="27"/>
        <v>-0.8543097552941713</v>
      </c>
      <c r="G53" s="19">
        <f t="shared" si="27"/>
        <v>-0.87766778022268988</v>
      </c>
      <c r="H53" s="19">
        <f t="shared" si="27"/>
        <v>-0.89914531294852407</v>
      </c>
      <c r="I53" s="19">
        <f t="shared" si="27"/>
        <v>-0.9182715895157576</v>
      </c>
      <c r="J53" s="19">
        <f t="shared" si="27"/>
        <v>-0.93451017821078042</v>
      </c>
      <c r="K53" s="19"/>
    </row>
    <row r="54" spans="1:11" ht="15" x14ac:dyDescent="0.35">
      <c r="A54" s="19"/>
      <c r="B54" s="19" t="s">
        <v>150</v>
      </c>
      <c r="C54" s="19"/>
      <c r="D54" s="21">
        <f>D50</f>
        <v>22.748237421050707</v>
      </c>
      <c r="E54" s="19">
        <f t="shared" ref="E54:J54" si="28">E50-D50</f>
        <v>0.22256193358479237</v>
      </c>
      <c r="F54" s="19">
        <f t="shared" si="28"/>
        <v>0.62805381845232233</v>
      </c>
      <c r="G54" s="19">
        <f t="shared" si="28"/>
        <v>0.57749088292673534</v>
      </c>
      <c r="H54" s="19">
        <f t="shared" si="28"/>
        <v>0.51426998077050712</v>
      </c>
      <c r="I54" s="19">
        <f t="shared" si="28"/>
        <v>0.43662542819422256</v>
      </c>
      <c r="J54" s="19">
        <f t="shared" si="28"/>
        <v>-25.127239464979287</v>
      </c>
      <c r="K54" s="19"/>
    </row>
    <row r="55" spans="1:11" ht="15" x14ac:dyDescent="0.35">
      <c r="A55" s="19"/>
      <c r="B55" s="104" t="s">
        <v>151</v>
      </c>
      <c r="C55" s="104"/>
      <c r="D55" s="105">
        <f t="shared" ref="D55:J55" si="29">D33+SUM(D53:D54)</f>
        <v>-350977.25176257896</v>
      </c>
      <c r="E55" s="105">
        <f t="shared" si="29"/>
        <v>262569.58204111841</v>
      </c>
      <c r="F55" s="105">
        <f t="shared" si="29"/>
        <v>211434.00812987605</v>
      </c>
      <c r="G55" s="105">
        <f t="shared" si="29"/>
        <v>226234.33061592246</v>
      </c>
      <c r="H55" s="105">
        <f t="shared" si="29"/>
        <v>242070.670072985</v>
      </c>
      <c r="I55" s="105">
        <f t="shared" si="29"/>
        <v>259015.547148538</v>
      </c>
      <c r="J55" s="105">
        <f t="shared" si="29"/>
        <v>3668653.1704489044</v>
      </c>
      <c r="K55" s="105"/>
    </row>
    <row r="56" spans="1:11" ht="15" x14ac:dyDescent="0.35">
      <c r="A56" s="19"/>
      <c r="B56" s="19"/>
      <c r="C56" s="19"/>
      <c r="D56" s="21"/>
      <c r="E56" s="19"/>
      <c r="F56" s="19"/>
      <c r="G56" s="19"/>
      <c r="H56" s="19"/>
      <c r="I56" s="19"/>
      <c r="J56" s="19"/>
      <c r="K56" s="106"/>
    </row>
    <row r="57" spans="1:11" ht="15" x14ac:dyDescent="0.35">
      <c r="A57" s="19"/>
      <c r="B57" s="19" t="s">
        <v>152</v>
      </c>
      <c r="C57" s="19">
        <f>XNPV(D9,D55:J55,D21:J21)</f>
        <v>2747998.5500525218</v>
      </c>
      <c r="D57" s="21">
        <f>NPV(D9,E55:K55)+D55</f>
        <v>2678128.9561188119</v>
      </c>
      <c r="E57" s="19"/>
      <c r="F57" s="19"/>
      <c r="G57" s="19"/>
      <c r="H57" s="19"/>
      <c r="I57" s="19"/>
      <c r="J57" s="19"/>
      <c r="K57" s="19"/>
    </row>
    <row r="58" spans="1:11" ht="15" x14ac:dyDescent="0.35">
      <c r="A58" s="19"/>
      <c r="B58" s="19" t="s">
        <v>168</v>
      </c>
      <c r="C58" s="19">
        <f>C57-D36</f>
        <v>-0.21177215687930584</v>
      </c>
      <c r="D58" s="19">
        <f>D57-E36</f>
        <v>0</v>
      </c>
      <c r="E58" s="19" t="s">
        <v>169</v>
      </c>
      <c r="F58" s="19"/>
      <c r="G58" s="19"/>
      <c r="H58" s="19"/>
      <c r="I58" s="19"/>
      <c r="J58" s="19"/>
      <c r="K58" s="19"/>
    </row>
    <row r="59" spans="1:11" ht="16.2" x14ac:dyDescent="0.35">
      <c r="A59" s="19"/>
      <c r="H59" s="19"/>
      <c r="I59" s="19"/>
      <c r="J59" s="19"/>
      <c r="K59" s="19"/>
    </row>
    <row r="60" spans="1:11" ht="15" x14ac:dyDescent="0.35">
      <c r="A60" s="19"/>
      <c r="B60" s="108" t="s">
        <v>155</v>
      </c>
      <c r="C60" s="108" t="s">
        <v>156</v>
      </c>
      <c r="D60" s="109" t="s">
        <v>44</v>
      </c>
      <c r="E60" s="108" t="s">
        <v>43</v>
      </c>
      <c r="F60" s="108" t="s">
        <v>42</v>
      </c>
      <c r="G60" s="108" t="s">
        <v>41</v>
      </c>
      <c r="H60" s="19"/>
      <c r="I60" s="19"/>
      <c r="J60" s="19"/>
      <c r="K60" s="19"/>
    </row>
    <row r="61" spans="1:11" ht="15" x14ac:dyDescent="0.35">
      <c r="A61" s="19"/>
      <c r="B61" s="108" t="s">
        <v>135</v>
      </c>
      <c r="C61" s="108">
        <v>-29</v>
      </c>
      <c r="D61" s="109">
        <v>21</v>
      </c>
      <c r="E61" s="108">
        <v>21</v>
      </c>
      <c r="F61" s="108">
        <v>21</v>
      </c>
      <c r="G61" s="108">
        <v>21</v>
      </c>
      <c r="H61" s="19"/>
      <c r="I61" s="19"/>
      <c r="J61" s="19"/>
      <c r="K61" s="19"/>
    </row>
    <row r="62" spans="1:11" ht="16.2" x14ac:dyDescent="0.35">
      <c r="A62" s="19"/>
      <c r="B62" s="110"/>
      <c r="C62" s="110"/>
      <c r="D62" s="111"/>
      <c r="E62" s="110"/>
      <c r="F62" s="110"/>
      <c r="G62" s="110"/>
      <c r="H62" s="19"/>
      <c r="I62" s="19"/>
      <c r="J62" s="19"/>
      <c r="K62" s="19"/>
    </row>
    <row r="63" spans="1:11" ht="16.2" x14ac:dyDescent="0.35">
      <c r="B63" s="108" t="s">
        <v>159</v>
      </c>
      <c r="C63" s="112">
        <f>(D61+D63)/(1.0725)</f>
        <v>70.731822629961158</v>
      </c>
      <c r="D63" s="112">
        <f>(E61+E63)/(1.0725)</f>
        <v>54.859879770633349</v>
      </c>
      <c r="E63" s="112">
        <f>(F61+F63)/(1.0725)</f>
        <v>37.837221054004267</v>
      </c>
      <c r="F63" s="112">
        <f>G61/(1.0725)</f>
        <v>19.58041958041958</v>
      </c>
      <c r="G63" s="108"/>
      <c r="H63" s="103"/>
      <c r="I63" s="19"/>
      <c r="J63" s="19"/>
      <c r="K63" s="19"/>
    </row>
    <row r="64" spans="1:11" ht="16.2" x14ac:dyDescent="0.35">
      <c r="B64" s="108" t="s">
        <v>160</v>
      </c>
      <c r="C64" s="112">
        <f>C63*0.5</f>
        <v>35.365911314980579</v>
      </c>
      <c r="D64" s="112">
        <f>D63*0.5</f>
        <v>27.429939885316674</v>
      </c>
      <c r="E64" s="112">
        <f>E63*0.5</f>
        <v>18.918610527002134</v>
      </c>
      <c r="F64" s="112">
        <f>F63*0.5</f>
        <v>9.79020979020979</v>
      </c>
      <c r="G64" s="108"/>
    </row>
    <row r="65" spans="2:7" x14ac:dyDescent="0.3">
      <c r="B65" s="110"/>
      <c r="C65" s="110"/>
      <c r="D65" s="111"/>
      <c r="E65" s="110"/>
      <c r="F65" s="110"/>
      <c r="G65" s="110"/>
    </row>
    <row r="66" spans="2:7" ht="16.2" x14ac:dyDescent="0.35">
      <c r="B66" s="108" t="s">
        <v>161</v>
      </c>
      <c r="C66" s="110"/>
      <c r="D66" s="112">
        <f>-C64*0.06*(1-0.25)</f>
        <v>-1.591466009174126</v>
      </c>
      <c r="E66" s="112">
        <f>-D64*0.06*(1-0.25)</f>
        <v>-1.2343472948392504</v>
      </c>
      <c r="F66" s="112">
        <f>-E64*0.06*(1-0.25)</f>
        <v>-0.85133747371509605</v>
      </c>
      <c r="G66" s="112">
        <f>-F64*0.06*(1-0.25)</f>
        <v>-0.44055944055944052</v>
      </c>
    </row>
    <row r="67" spans="2:7" x14ac:dyDescent="0.3">
      <c r="B67" s="110" t="s">
        <v>150</v>
      </c>
      <c r="C67" s="113">
        <f>C64</f>
        <v>35.365911314980579</v>
      </c>
      <c r="D67" s="114">
        <f>D64-C64</f>
        <v>-7.9359714296639048</v>
      </c>
      <c r="E67" s="114">
        <f>E64-D64</f>
        <v>-8.5113293583145406</v>
      </c>
      <c r="F67" s="114">
        <f>F64-E64</f>
        <v>-9.1284007367923437</v>
      </c>
      <c r="G67" s="114">
        <f>G64-F64</f>
        <v>-9.79020979020979</v>
      </c>
    </row>
    <row r="68" spans="2:7" x14ac:dyDescent="0.3">
      <c r="B68" s="115" t="s">
        <v>162</v>
      </c>
      <c r="C68" s="116">
        <f>C61+SUM(C66:C67)</f>
        <v>6.365911314980579</v>
      </c>
      <c r="D68" s="116">
        <f>D61+SUM(D66:D67)</f>
        <v>11.472562561161968</v>
      </c>
      <c r="E68" s="116">
        <f>E61+SUM(E66:E67)</f>
        <v>11.25432334684621</v>
      </c>
      <c r="F68" s="116">
        <f>F61+SUM(F66:F67)</f>
        <v>11.02026178949256</v>
      </c>
      <c r="G68" s="116">
        <f>G61+SUM(G66:G67)</f>
        <v>10.76923076923077</v>
      </c>
    </row>
  </sheetData>
  <hyperlinks>
    <hyperlink ref="E12" r:id="rId1" xr:uid="{E04C74CB-059D-41C8-A347-862F1C308A55}"/>
    <hyperlink ref="E11" r:id="rId2" xr:uid="{A66F7DBE-0C7D-4DC1-9B51-DD57E100D38D}"/>
    <hyperlink ref="E10" r:id="rId3" xr:uid="{B4C20F46-D899-4F55-BF6C-FF65E7E2DC9A}"/>
  </hyperlinks>
  <pageMargins left="0.7" right="0.7" top="0.75" bottom="0.75" header="0.3" footer="0.3"/>
  <pageSetup orientation="portrait"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3964B-C7AC-4E72-9798-DCF4B7457129}">
  <dimension ref="A1:V63"/>
  <sheetViews>
    <sheetView topLeftCell="AI9" zoomScale="74" workbookViewId="0">
      <selection activeCell="O46" sqref="O46"/>
    </sheetView>
  </sheetViews>
  <sheetFormatPr defaultRowHeight="15.6" x14ac:dyDescent="0.3"/>
  <cols>
    <col min="1" max="1" width="3.5546875" style="29" customWidth="1"/>
    <col min="2" max="2" width="12.5546875" style="29" customWidth="1"/>
    <col min="3" max="3" width="26.109375" style="29" customWidth="1"/>
    <col min="4" max="4" width="22.109375" style="45" customWidth="1"/>
    <col min="5" max="5" width="16.33203125" style="29" customWidth="1"/>
    <col min="6" max="6" width="15.6640625" style="29" customWidth="1"/>
    <col min="7" max="7" width="16.109375" style="29" customWidth="1"/>
    <col min="8" max="8" width="16.88671875" style="29" customWidth="1"/>
    <col min="9" max="9" width="20.33203125" style="29" customWidth="1"/>
    <col min="10" max="10" width="16.33203125" style="29" customWidth="1"/>
    <col min="11" max="11" width="19.44140625" style="29" customWidth="1"/>
    <col min="14" max="14" width="9.88671875" bestFit="1" customWidth="1"/>
    <col min="15" max="15" width="12.5546875" bestFit="1" customWidth="1"/>
    <col min="16" max="16" width="15.5546875" bestFit="1" customWidth="1"/>
    <col min="17" max="21" width="11.44140625" bestFit="1" customWidth="1"/>
  </cols>
  <sheetData>
    <row r="1" spans="1:11" ht="17.399999999999999" x14ac:dyDescent="0.4">
      <c r="A1" s="14"/>
      <c r="B1" s="15"/>
      <c r="C1" s="15"/>
      <c r="D1" s="16"/>
      <c r="E1" s="16"/>
      <c r="F1" s="16"/>
      <c r="G1" s="16"/>
      <c r="H1" s="14"/>
      <c r="I1" s="15"/>
      <c r="J1" s="15"/>
      <c r="K1" s="19"/>
    </row>
    <row r="2" spans="1:11" ht="17.399999999999999" x14ac:dyDescent="0.4">
      <c r="A2" s="15"/>
      <c r="B2" s="17" t="s">
        <v>103</v>
      </c>
      <c r="C2" s="18"/>
      <c r="D2" s="18"/>
      <c r="E2" s="18"/>
      <c r="F2" s="16"/>
      <c r="G2" s="16"/>
      <c r="H2" s="15"/>
      <c r="I2" s="17"/>
      <c r="J2" s="18"/>
      <c r="K2" s="19"/>
    </row>
    <row r="3" spans="1:11" ht="15" x14ac:dyDescent="0.35">
      <c r="A3" s="19"/>
      <c r="B3" s="20"/>
      <c r="C3" s="19"/>
      <c r="D3" s="21"/>
      <c r="E3" s="22"/>
      <c r="F3" s="22"/>
      <c r="G3" s="22"/>
      <c r="H3" s="22"/>
      <c r="I3" s="102"/>
      <c r="J3" s="42"/>
      <c r="K3" s="42"/>
    </row>
    <row r="4" spans="1:11" ht="15" x14ac:dyDescent="0.35">
      <c r="A4" s="19"/>
      <c r="B4" s="23" t="s">
        <v>75</v>
      </c>
      <c r="C4" s="24"/>
      <c r="D4" s="24"/>
      <c r="E4" s="22"/>
      <c r="F4" s="19"/>
      <c r="G4" s="55"/>
      <c r="H4" s="55"/>
      <c r="I4" s="42" t="s">
        <v>28</v>
      </c>
      <c r="J4" s="61">
        <f>Assumptions!B6</f>
        <v>0.36</v>
      </c>
      <c r="K4" s="42"/>
    </row>
    <row r="5" spans="1:11" ht="16.2" x14ac:dyDescent="0.35">
      <c r="A5" s="19"/>
      <c r="B5" s="25" t="s">
        <v>32</v>
      </c>
      <c r="C5" s="26"/>
      <c r="D5" s="59">
        <f>Assumptions!B9</f>
        <v>0.22840000000000002</v>
      </c>
      <c r="F5" s="19"/>
      <c r="G5" s="55"/>
      <c r="H5" s="55"/>
      <c r="I5" s="42" t="s">
        <v>24</v>
      </c>
      <c r="J5" s="42">
        <v>0</v>
      </c>
      <c r="K5" s="19"/>
    </row>
    <row r="6" spans="1:11" ht="15" x14ac:dyDescent="0.35">
      <c r="A6" s="19"/>
      <c r="B6" s="25" t="s">
        <v>104</v>
      </c>
      <c r="C6" s="26"/>
      <c r="D6" s="47">
        <f>('Ba Calculation'!L5-('Ba Calculation'!K3*J7))/J6</f>
        <v>1.0199980762891163</v>
      </c>
      <c r="E6" s="47"/>
      <c r="F6" s="19"/>
      <c r="G6" s="55"/>
      <c r="H6" s="55"/>
      <c r="I6" s="19" t="s">
        <v>105</v>
      </c>
      <c r="J6" s="53">
        <f>D11/SUM($D$11:$D$12)</f>
        <v>0.99999249017200964</v>
      </c>
      <c r="K6" s="62"/>
    </row>
    <row r="7" spans="1:11" ht="15" x14ac:dyDescent="0.35">
      <c r="A7" s="19"/>
      <c r="B7" s="25" t="s">
        <v>106</v>
      </c>
      <c r="C7" s="26"/>
      <c r="D7" s="48">
        <f>'Ba Calculation'!H24</f>
        <v>5.33E-2</v>
      </c>
      <c r="E7" s="22"/>
      <c r="F7" s="19"/>
      <c r="G7" s="55"/>
      <c r="H7" s="55"/>
      <c r="I7" s="19" t="s">
        <v>107</v>
      </c>
      <c r="J7" s="53">
        <f>D12/SUM($D$11:$D$12)</f>
        <v>7.5098279903532997E-6</v>
      </c>
      <c r="K7" s="62"/>
    </row>
    <row r="8" spans="1:11" ht="16.2" x14ac:dyDescent="0.35">
      <c r="A8" s="19"/>
      <c r="B8" s="25" t="s">
        <v>108</v>
      </c>
      <c r="C8" s="26"/>
      <c r="D8" s="48">
        <f>'Ba Calculation'!H22</f>
        <v>4.2099999999999999E-2</v>
      </c>
      <c r="E8" s="22"/>
      <c r="F8" s="19"/>
      <c r="G8" s="55"/>
      <c r="H8" s="55"/>
      <c r="I8" s="29" t="s">
        <v>109</v>
      </c>
      <c r="J8" s="29">
        <v>0</v>
      </c>
      <c r="K8" s="19"/>
    </row>
    <row r="9" spans="1:11" ht="15" x14ac:dyDescent="0.35">
      <c r="A9" s="19"/>
      <c r="B9" s="25" t="s">
        <v>110</v>
      </c>
      <c r="C9" s="26"/>
      <c r="D9" s="48">
        <f>D8+D6*D7</f>
        <v>9.6465897466209899E-2</v>
      </c>
      <c r="E9" s="22"/>
      <c r="F9" s="19"/>
      <c r="G9" s="55"/>
      <c r="H9" s="55"/>
      <c r="I9" s="19"/>
      <c r="J9" s="19"/>
      <c r="K9" s="19"/>
    </row>
    <row r="10" spans="1:11" ht="15" x14ac:dyDescent="0.35">
      <c r="A10" s="19"/>
      <c r="B10" s="25" t="s">
        <v>111</v>
      </c>
      <c r="C10" s="26"/>
      <c r="D10" s="138">
        <f>'FCFE Calculations'!D10</f>
        <v>4.82E-2</v>
      </c>
      <c r="E10" s="64" t="s">
        <v>55</v>
      </c>
      <c r="F10" s="19"/>
      <c r="G10" s="55"/>
      <c r="H10" s="55"/>
      <c r="I10" s="19"/>
      <c r="J10" s="19"/>
      <c r="K10" s="19"/>
    </row>
    <row r="11" spans="1:11" ht="15" x14ac:dyDescent="0.35">
      <c r="A11" s="19"/>
      <c r="B11" s="25" t="s">
        <v>112</v>
      </c>
      <c r="C11" s="26"/>
      <c r="D11" s="133">
        <f>'FCFE Calculations'!D11</f>
        <v>1332910000000</v>
      </c>
      <c r="E11" s="52" t="s">
        <v>113</v>
      </c>
      <c r="F11" s="19"/>
      <c r="G11" s="55"/>
      <c r="H11" s="55"/>
      <c r="I11" s="19"/>
      <c r="J11" s="19"/>
      <c r="K11" s="19"/>
    </row>
    <row r="12" spans="1:11" ht="15.75" customHeight="1" x14ac:dyDescent="0.35">
      <c r="A12" s="19"/>
      <c r="B12" s="25" t="s">
        <v>114</v>
      </c>
      <c r="C12" s="26"/>
      <c r="D12" s="133">
        <f>'FCFE Calculations'!D12</f>
        <v>10010000</v>
      </c>
      <c r="E12" s="52" t="s">
        <v>115</v>
      </c>
      <c r="F12" s="19"/>
      <c r="G12" s="19"/>
      <c r="H12" s="19"/>
      <c r="I12" s="19"/>
      <c r="J12" s="19"/>
      <c r="K12" s="19"/>
    </row>
    <row r="13" spans="1:11" ht="15" x14ac:dyDescent="0.35">
      <c r="A13" s="19"/>
      <c r="B13" s="27" t="s">
        <v>116</v>
      </c>
      <c r="C13" s="19"/>
      <c r="D13" s="48">
        <f>D12/(D12+D11)*D10*(1-D5)+(D11/(D12+D11))*D9</f>
        <v>9.6465452322826967E-2</v>
      </c>
      <c r="E13" s="19"/>
      <c r="F13" s="49"/>
      <c r="G13" s="50"/>
      <c r="H13" s="19"/>
      <c r="I13" s="19"/>
      <c r="J13" s="19"/>
      <c r="K13" s="19"/>
    </row>
    <row r="14" spans="1:11" ht="16.2" x14ac:dyDescent="0.35">
      <c r="A14" s="19"/>
      <c r="B14" s="19" t="s">
        <v>27</v>
      </c>
      <c r="C14" s="19"/>
      <c r="D14" s="60">
        <f>Assumptions!B5</f>
        <v>1.4999999999999999E-2</v>
      </c>
      <c r="F14" s="19"/>
      <c r="G14" s="19"/>
      <c r="H14" s="19"/>
      <c r="I14" s="19"/>
      <c r="J14" s="19"/>
      <c r="K14" s="19"/>
    </row>
    <row r="15" spans="1:11" ht="15" x14ac:dyDescent="0.35">
      <c r="A15" s="19"/>
      <c r="B15" s="19" t="s">
        <v>25</v>
      </c>
      <c r="C15" s="19"/>
      <c r="D15" s="60">
        <f>Assumptions!B4</f>
        <v>7.0000000000000007E-2</v>
      </c>
      <c r="E15" s="51"/>
      <c r="F15" s="19"/>
      <c r="G15" s="19"/>
      <c r="H15" s="19"/>
      <c r="I15" s="19"/>
      <c r="J15" s="19"/>
      <c r="K15" s="19"/>
    </row>
    <row r="16" spans="1:11" ht="15" x14ac:dyDescent="0.35">
      <c r="A16" s="19"/>
      <c r="B16" s="19" t="s">
        <v>117</v>
      </c>
      <c r="C16" s="19"/>
      <c r="D16" s="54">
        <f>'Cost Data'!G22</f>
        <v>351000</v>
      </c>
      <c r="E16" s="19"/>
      <c r="F16" s="19"/>
      <c r="G16" s="19"/>
      <c r="H16" s="19"/>
      <c r="I16" s="19"/>
      <c r="J16" s="19"/>
      <c r="K16" s="19"/>
    </row>
    <row r="17" spans="1:22" ht="15" x14ac:dyDescent="0.35">
      <c r="A17" s="19"/>
      <c r="B17" s="19" t="s">
        <v>118</v>
      </c>
      <c r="C17" s="19"/>
      <c r="D17" s="139">
        <v>46387</v>
      </c>
      <c r="E17" s="19"/>
      <c r="F17" s="19"/>
      <c r="G17" s="19"/>
      <c r="H17" s="19"/>
      <c r="I17" s="19"/>
      <c r="J17" s="19"/>
      <c r="K17" s="19"/>
    </row>
    <row r="18" spans="1:22" ht="15" x14ac:dyDescent="0.35">
      <c r="A18" s="19"/>
      <c r="B18" s="19" t="s">
        <v>119</v>
      </c>
      <c r="C18" s="19"/>
      <c r="D18" s="139">
        <v>46660</v>
      </c>
      <c r="E18" s="19"/>
      <c r="F18" s="19"/>
      <c r="G18" s="19"/>
      <c r="H18" s="19"/>
      <c r="I18" s="19"/>
      <c r="J18" s="19"/>
      <c r="K18" s="19"/>
    </row>
    <row r="19" spans="1:22" ht="23.4" x14ac:dyDescent="0.45">
      <c r="A19" s="19"/>
      <c r="B19" s="77" t="s">
        <v>120</v>
      </c>
      <c r="C19" s="19"/>
      <c r="D19" s="28"/>
      <c r="J19" s="19"/>
      <c r="K19" s="19"/>
      <c r="M19" s="77" t="s">
        <v>164</v>
      </c>
      <c r="N19" s="19"/>
      <c r="O19" s="28"/>
      <c r="P19" s="29"/>
      <c r="Q19" s="29"/>
      <c r="R19" s="29"/>
      <c r="S19" s="29"/>
      <c r="T19" s="29"/>
      <c r="U19" s="19"/>
      <c r="V19" s="19"/>
    </row>
    <row r="20" spans="1:22" ht="15" x14ac:dyDescent="0.35">
      <c r="A20" s="19"/>
      <c r="B20" s="23" t="s">
        <v>122</v>
      </c>
      <c r="C20" s="23"/>
      <c r="D20" s="23" t="s">
        <v>123</v>
      </c>
      <c r="E20" s="30">
        <f t="shared" ref="E20:J20" si="0">YEAR(E21)</f>
        <v>2027</v>
      </c>
      <c r="F20" s="30">
        <f t="shared" si="0"/>
        <v>2028</v>
      </c>
      <c r="G20" s="30">
        <f t="shared" si="0"/>
        <v>2029</v>
      </c>
      <c r="H20" s="30">
        <f t="shared" si="0"/>
        <v>2030</v>
      </c>
      <c r="I20" s="30">
        <f t="shared" si="0"/>
        <v>2031</v>
      </c>
      <c r="J20" s="30">
        <f t="shared" si="0"/>
        <v>2032</v>
      </c>
      <c r="K20" s="19"/>
      <c r="M20" s="23" t="s">
        <v>122</v>
      </c>
      <c r="N20" s="23"/>
      <c r="O20" s="23" t="s">
        <v>123</v>
      </c>
      <c r="P20" s="30">
        <f t="shared" ref="P20:U20" si="1">YEAR(P21)</f>
        <v>2027</v>
      </c>
      <c r="Q20" s="30">
        <f t="shared" si="1"/>
        <v>2028</v>
      </c>
      <c r="R20" s="30">
        <f t="shared" si="1"/>
        <v>2029</v>
      </c>
      <c r="S20" s="30">
        <f t="shared" si="1"/>
        <v>2030</v>
      </c>
      <c r="T20" s="30">
        <f t="shared" si="1"/>
        <v>2031</v>
      </c>
      <c r="U20" s="30">
        <f t="shared" si="1"/>
        <v>2032</v>
      </c>
      <c r="V20" s="19"/>
    </row>
    <row r="21" spans="1:22" ht="15" x14ac:dyDescent="0.35">
      <c r="A21" s="19"/>
      <c r="B21" s="31" t="s">
        <v>124</v>
      </c>
      <c r="C21" s="31"/>
      <c r="D21" s="32">
        <f>D17</f>
        <v>46387</v>
      </c>
      <c r="E21" s="33">
        <f t="shared" ref="E21:J21" si="2">DATE(YEAR($D$18)+E22,9,30)</f>
        <v>46660</v>
      </c>
      <c r="F21" s="33">
        <f t="shared" si="2"/>
        <v>47026</v>
      </c>
      <c r="G21" s="33">
        <f t="shared" si="2"/>
        <v>47391</v>
      </c>
      <c r="H21" s="33">
        <f t="shared" si="2"/>
        <v>47756</v>
      </c>
      <c r="I21" s="33">
        <f t="shared" si="2"/>
        <v>48121</v>
      </c>
      <c r="J21" s="33">
        <f t="shared" si="2"/>
        <v>48487</v>
      </c>
      <c r="K21" s="19"/>
      <c r="M21" s="31" t="s">
        <v>124</v>
      </c>
      <c r="N21" s="31"/>
      <c r="O21" s="32">
        <f>D17</f>
        <v>46387</v>
      </c>
      <c r="P21" s="33">
        <f t="shared" ref="P21:U21" si="3">DATE(YEAR($D$18)+P22,9,30)</f>
        <v>46660</v>
      </c>
      <c r="Q21" s="33">
        <f t="shared" si="3"/>
        <v>47026</v>
      </c>
      <c r="R21" s="33">
        <f t="shared" si="3"/>
        <v>47391</v>
      </c>
      <c r="S21" s="33">
        <f t="shared" si="3"/>
        <v>47756</v>
      </c>
      <c r="T21" s="33">
        <f t="shared" si="3"/>
        <v>48121</v>
      </c>
      <c r="U21" s="33">
        <f t="shared" si="3"/>
        <v>48487</v>
      </c>
      <c r="V21" s="19"/>
    </row>
    <row r="22" spans="1:22" ht="15" x14ac:dyDescent="0.35">
      <c r="A22" s="19"/>
      <c r="B22" s="34" t="s">
        <v>125</v>
      </c>
      <c r="C22" s="34"/>
      <c r="D22" s="32"/>
      <c r="E22" s="35">
        <v>0</v>
      </c>
      <c r="F22" s="36">
        <f>E22+1</f>
        <v>1</v>
      </c>
      <c r="G22" s="36">
        <f>F22+1</f>
        <v>2</v>
      </c>
      <c r="H22" s="36">
        <f>G22+1</f>
        <v>3</v>
      </c>
      <c r="I22" s="36">
        <f>H22+1</f>
        <v>4</v>
      </c>
      <c r="J22" s="36">
        <v>5</v>
      </c>
      <c r="K22" s="19"/>
      <c r="M22" s="34" t="s">
        <v>125</v>
      </c>
      <c r="N22" s="34"/>
      <c r="O22" s="32"/>
      <c r="P22" s="35">
        <v>0</v>
      </c>
      <c r="Q22" s="36">
        <f>P22+1</f>
        <v>1</v>
      </c>
      <c r="R22" s="36">
        <f>Q22+1</f>
        <v>2</v>
      </c>
      <c r="S22" s="36">
        <f>R22+1</f>
        <v>3</v>
      </c>
      <c r="T22" s="36">
        <f>S22+1</f>
        <v>4</v>
      </c>
      <c r="U22" s="36">
        <v>5</v>
      </c>
      <c r="V22" s="19"/>
    </row>
    <row r="23" spans="1:22" ht="15" x14ac:dyDescent="0.35">
      <c r="A23" s="19"/>
      <c r="B23" s="37" t="s">
        <v>126</v>
      </c>
      <c r="C23" s="19"/>
      <c r="D23" s="19"/>
      <c r="E23" s="38">
        <f t="shared" ref="E23:J23" si="4">YEARFRAC(D21,E21)</f>
        <v>0.75</v>
      </c>
      <c r="F23" s="38">
        <f t="shared" si="4"/>
        <v>1</v>
      </c>
      <c r="G23" s="38">
        <f t="shared" si="4"/>
        <v>1</v>
      </c>
      <c r="H23" s="38">
        <f t="shared" si="4"/>
        <v>1</v>
      </c>
      <c r="I23" s="38">
        <f t="shared" si="4"/>
        <v>1</v>
      </c>
      <c r="J23" s="38">
        <f t="shared" si="4"/>
        <v>1</v>
      </c>
      <c r="K23" s="19"/>
      <c r="M23" s="37" t="s">
        <v>126</v>
      </c>
      <c r="N23" s="19"/>
      <c r="O23" s="19"/>
      <c r="P23" s="38">
        <f t="shared" ref="P23:U23" si="5">YEARFRAC(O21,P21)</f>
        <v>0.75</v>
      </c>
      <c r="Q23" s="38">
        <f t="shared" si="5"/>
        <v>1</v>
      </c>
      <c r="R23" s="38">
        <f t="shared" si="5"/>
        <v>1</v>
      </c>
      <c r="S23" s="38">
        <f t="shared" si="5"/>
        <v>1</v>
      </c>
      <c r="T23" s="38">
        <f t="shared" si="5"/>
        <v>1</v>
      </c>
      <c r="U23" s="38">
        <f t="shared" si="5"/>
        <v>1</v>
      </c>
      <c r="V23" s="19"/>
    </row>
    <row r="24" spans="1:22" ht="15" x14ac:dyDescent="0.35">
      <c r="A24" s="19"/>
      <c r="B24" s="19" t="s">
        <v>127</v>
      </c>
      <c r="C24" s="19"/>
      <c r="D24" s="19"/>
      <c r="E24" s="58">
        <f>J5</f>
        <v>0</v>
      </c>
      <c r="F24" s="58">
        <f>E24*(1+$D$15)</f>
        <v>0</v>
      </c>
      <c r="G24" s="58">
        <f>F24*(1+$D$15)</f>
        <v>0</v>
      </c>
      <c r="H24" s="58">
        <f>G24*(1+$D$15)</f>
        <v>0</v>
      </c>
      <c r="I24" s="58">
        <f>H24*(1+$D$15)</f>
        <v>0</v>
      </c>
      <c r="J24" s="58">
        <f>I24*(1+$D$15)</f>
        <v>0</v>
      </c>
      <c r="K24" s="58">
        <f>J24*(1+D14)</f>
        <v>0</v>
      </c>
      <c r="M24" s="19" t="s">
        <v>127</v>
      </c>
      <c r="N24" s="19"/>
      <c r="O24" s="19"/>
      <c r="P24" s="58">
        <f>J5</f>
        <v>0</v>
      </c>
      <c r="Q24" s="58">
        <f>0+J8</f>
        <v>0</v>
      </c>
      <c r="R24" s="58">
        <v>0</v>
      </c>
      <c r="S24" s="58">
        <v>0</v>
      </c>
      <c r="T24" s="58">
        <v>0</v>
      </c>
      <c r="U24" s="58">
        <v>0</v>
      </c>
      <c r="V24" s="58">
        <v>0</v>
      </c>
    </row>
    <row r="25" spans="1:22" ht="15" x14ac:dyDescent="0.35">
      <c r="A25" s="19"/>
      <c r="B25" s="19" t="s">
        <v>128</v>
      </c>
      <c r="C25" s="19"/>
      <c r="D25" s="19"/>
      <c r="E25" s="58">
        <f ca="1">'Cost Data'!$B$24</f>
        <v>95000</v>
      </c>
      <c r="F25" s="58">
        <f ca="1">'Cost Data'!$B$24</f>
        <v>95000</v>
      </c>
      <c r="G25" s="58">
        <f ca="1">'Cost Data'!$B$24</f>
        <v>95000</v>
      </c>
      <c r="H25" s="58">
        <f ca="1">'Cost Data'!$B$24</f>
        <v>95000</v>
      </c>
      <c r="I25" s="58">
        <f ca="1">'Cost Data'!$B$24</f>
        <v>95000</v>
      </c>
      <c r="J25" s="58">
        <f ca="1">'Cost Data'!$B$24</f>
        <v>95000</v>
      </c>
      <c r="K25" s="58">
        <f ca="1">'Cost Data'!$B$24</f>
        <v>95000</v>
      </c>
      <c r="M25" s="19" t="s">
        <v>128</v>
      </c>
      <c r="N25" s="19"/>
      <c r="O25" s="19"/>
      <c r="P25" s="58">
        <f ca="1">'Cost Data'!$B$24</f>
        <v>95000</v>
      </c>
      <c r="Q25" s="58">
        <v>0</v>
      </c>
      <c r="R25" s="58">
        <v>0</v>
      </c>
      <c r="S25" s="58">
        <v>0</v>
      </c>
      <c r="T25" s="58">
        <v>0</v>
      </c>
      <c r="U25" s="58">
        <v>0</v>
      </c>
      <c r="V25" s="58">
        <v>0</v>
      </c>
    </row>
    <row r="26" spans="1:22" ht="15" x14ac:dyDescent="0.35">
      <c r="A26" s="19"/>
      <c r="B26" s="39" t="s">
        <v>33</v>
      </c>
      <c r="C26" s="39"/>
      <c r="D26" s="39"/>
      <c r="E26" s="141">
        <v>0</v>
      </c>
      <c r="F26" s="141">
        <v>0</v>
      </c>
      <c r="G26" s="141">
        <v>0</v>
      </c>
      <c r="H26" s="141">
        <v>0</v>
      </c>
      <c r="I26" s="141">
        <v>0</v>
      </c>
      <c r="J26" s="141">
        <v>0</v>
      </c>
      <c r="K26" s="141">
        <v>0</v>
      </c>
      <c r="M26" s="39" t="s">
        <v>33</v>
      </c>
      <c r="N26" s="39"/>
      <c r="O26" s="39"/>
      <c r="P26" s="141">
        <v>0</v>
      </c>
      <c r="Q26" s="141">
        <v>0</v>
      </c>
      <c r="R26" s="141">
        <v>0</v>
      </c>
      <c r="S26" s="141">
        <v>0</v>
      </c>
      <c r="T26" s="141">
        <v>0</v>
      </c>
      <c r="U26" s="141">
        <v>0</v>
      </c>
      <c r="V26" s="141">
        <v>0</v>
      </c>
    </row>
    <row r="27" spans="1:22" ht="15" x14ac:dyDescent="0.35">
      <c r="A27" s="19"/>
      <c r="B27" s="19" t="s">
        <v>129</v>
      </c>
      <c r="C27" s="19"/>
      <c r="D27" s="19"/>
      <c r="E27" s="26">
        <f ca="1">E24-E25-E26</f>
        <v>-95000</v>
      </c>
      <c r="F27" s="26">
        <f t="shared" ref="F27:K27" ca="1" si="6">F24-F25-F26</f>
        <v>-95000</v>
      </c>
      <c r="G27" s="26">
        <f t="shared" ca="1" si="6"/>
        <v>-95000</v>
      </c>
      <c r="H27" s="26">
        <f t="shared" ca="1" si="6"/>
        <v>-95000</v>
      </c>
      <c r="I27" s="26">
        <f t="shared" ca="1" si="6"/>
        <v>-95000</v>
      </c>
      <c r="J27" s="26">
        <f t="shared" ca="1" si="6"/>
        <v>-95000</v>
      </c>
      <c r="K27" s="26">
        <f t="shared" ca="1" si="6"/>
        <v>-95000</v>
      </c>
      <c r="M27" s="19" t="s">
        <v>129</v>
      </c>
      <c r="N27" s="19"/>
      <c r="O27" s="19"/>
      <c r="P27" s="26">
        <f ca="1">P24-P25-P26</f>
        <v>-95000</v>
      </c>
      <c r="Q27" s="26">
        <f t="shared" ref="Q27:V27" si="7">Q24-Q25-Q26</f>
        <v>0</v>
      </c>
      <c r="R27" s="26">
        <f t="shared" si="7"/>
        <v>0</v>
      </c>
      <c r="S27" s="26">
        <f t="shared" si="7"/>
        <v>0</v>
      </c>
      <c r="T27" s="26">
        <f t="shared" si="7"/>
        <v>0</v>
      </c>
      <c r="U27" s="26">
        <f t="shared" si="7"/>
        <v>0</v>
      </c>
      <c r="V27" s="26">
        <f t="shared" si="7"/>
        <v>0</v>
      </c>
    </row>
    <row r="28" spans="1:22" ht="15" x14ac:dyDescent="0.35">
      <c r="A28" s="19"/>
      <c r="B28" s="19" t="s">
        <v>130</v>
      </c>
      <c r="C28" s="19"/>
      <c r="D28" s="19"/>
      <c r="E28" s="40">
        <f ca="1">-E27*$D$5</f>
        <v>21698.000000000004</v>
      </c>
      <c r="F28" s="40">
        <f t="shared" ref="F28:K28" ca="1" si="8">-F27*$D$5</f>
        <v>21698.000000000004</v>
      </c>
      <c r="G28" s="40">
        <f t="shared" ca="1" si="8"/>
        <v>21698.000000000004</v>
      </c>
      <c r="H28" s="40">
        <f t="shared" ca="1" si="8"/>
        <v>21698.000000000004</v>
      </c>
      <c r="I28" s="40">
        <f t="shared" ca="1" si="8"/>
        <v>21698.000000000004</v>
      </c>
      <c r="J28" s="40">
        <f t="shared" ca="1" si="8"/>
        <v>21698.000000000004</v>
      </c>
      <c r="K28" s="40">
        <f t="shared" ca="1" si="8"/>
        <v>21698.000000000004</v>
      </c>
      <c r="M28" s="19" t="s">
        <v>130</v>
      </c>
      <c r="N28" s="19"/>
      <c r="O28" s="19"/>
      <c r="P28" s="40">
        <f ca="1">-P27*$D$5</f>
        <v>21698.000000000004</v>
      </c>
      <c r="Q28" s="40">
        <f t="shared" ref="Q28:V28" si="9">-Q27*$D$5</f>
        <v>0</v>
      </c>
      <c r="R28" s="40">
        <f t="shared" si="9"/>
        <v>0</v>
      </c>
      <c r="S28" s="40">
        <f t="shared" si="9"/>
        <v>0</v>
      </c>
      <c r="T28" s="40">
        <f t="shared" si="9"/>
        <v>0</v>
      </c>
      <c r="U28" s="40">
        <f t="shared" si="9"/>
        <v>0</v>
      </c>
      <c r="V28" s="40">
        <f t="shared" si="9"/>
        <v>0</v>
      </c>
    </row>
    <row r="29" spans="1:22" ht="15" x14ac:dyDescent="0.35">
      <c r="A29" s="19"/>
      <c r="B29" s="19" t="s">
        <v>131</v>
      </c>
      <c r="C29" s="19"/>
      <c r="D29" s="19"/>
      <c r="E29" s="41">
        <f>E26</f>
        <v>0</v>
      </c>
      <c r="F29" s="41">
        <f t="shared" ref="F29:K29" si="10">F26</f>
        <v>0</v>
      </c>
      <c r="G29" s="41">
        <f t="shared" si="10"/>
        <v>0</v>
      </c>
      <c r="H29" s="41">
        <f t="shared" si="10"/>
        <v>0</v>
      </c>
      <c r="I29" s="41">
        <f t="shared" si="10"/>
        <v>0</v>
      </c>
      <c r="J29" s="41">
        <f t="shared" si="10"/>
        <v>0</v>
      </c>
      <c r="K29" s="41">
        <f t="shared" si="10"/>
        <v>0</v>
      </c>
      <c r="M29" s="19" t="s">
        <v>131</v>
      </c>
      <c r="N29" s="19"/>
      <c r="O29" s="19"/>
      <c r="P29" s="41">
        <f>P26</f>
        <v>0</v>
      </c>
      <c r="Q29" s="41">
        <f t="shared" ref="Q29:V29" si="11">Q26</f>
        <v>0</v>
      </c>
      <c r="R29" s="41">
        <f t="shared" si="11"/>
        <v>0</v>
      </c>
      <c r="S29" s="41">
        <f t="shared" si="11"/>
        <v>0</v>
      </c>
      <c r="T29" s="41">
        <f t="shared" si="11"/>
        <v>0</v>
      </c>
      <c r="U29" s="41">
        <f t="shared" si="11"/>
        <v>0</v>
      </c>
      <c r="V29" s="41">
        <f t="shared" si="11"/>
        <v>0</v>
      </c>
    </row>
    <row r="30" spans="1:22" ht="15" x14ac:dyDescent="0.35">
      <c r="A30" s="19"/>
      <c r="B30" s="19" t="s">
        <v>132</v>
      </c>
      <c r="C30" s="19"/>
      <c r="D30" s="19"/>
      <c r="E30" s="142">
        <v>0</v>
      </c>
      <c r="F30" s="142">
        <v>0</v>
      </c>
      <c r="G30" s="142">
        <v>0</v>
      </c>
      <c r="H30" s="142">
        <v>0</v>
      </c>
      <c r="I30" s="142">
        <v>0</v>
      </c>
      <c r="J30" s="142">
        <v>0</v>
      </c>
      <c r="K30" s="142">
        <v>0</v>
      </c>
      <c r="M30" s="19" t="s">
        <v>132</v>
      </c>
      <c r="N30" s="19"/>
      <c r="O30" s="19"/>
      <c r="P30" s="142">
        <v>0</v>
      </c>
      <c r="Q30" s="142">
        <v>0</v>
      </c>
      <c r="R30" s="142">
        <v>0</v>
      </c>
      <c r="S30" s="142">
        <v>0</v>
      </c>
      <c r="T30" s="142">
        <v>0</v>
      </c>
      <c r="U30" s="142">
        <v>0</v>
      </c>
      <c r="V30" s="142">
        <v>0</v>
      </c>
    </row>
    <row r="31" spans="1:22" ht="15" x14ac:dyDescent="0.35">
      <c r="A31" s="19"/>
      <c r="B31" s="19" t="s">
        <v>133</v>
      </c>
      <c r="C31" s="19"/>
      <c r="D31" s="19">
        <f>-D16</f>
        <v>-351000</v>
      </c>
      <c r="E31" s="27"/>
      <c r="F31" s="27"/>
      <c r="G31" s="27"/>
      <c r="H31" s="27"/>
      <c r="I31" s="27"/>
      <c r="J31" s="19"/>
      <c r="K31" s="19"/>
      <c r="M31" s="19" t="s">
        <v>133</v>
      </c>
      <c r="N31" s="19"/>
      <c r="O31" s="19">
        <f>-D16</f>
        <v>-351000</v>
      </c>
      <c r="P31" s="27"/>
      <c r="Q31" s="27"/>
      <c r="R31" s="27"/>
      <c r="S31" s="27"/>
      <c r="T31" s="27"/>
      <c r="U31" s="19"/>
      <c r="V31" s="19"/>
    </row>
    <row r="32" spans="1:22" ht="15" x14ac:dyDescent="0.35">
      <c r="A32" s="19"/>
      <c r="B32" s="19" t="s">
        <v>134</v>
      </c>
      <c r="C32" s="19"/>
      <c r="D32" s="39"/>
      <c r="E32" s="57">
        <f ca="1">-E44</f>
        <v>26623.52509218012</v>
      </c>
      <c r="F32" s="57">
        <f t="shared" ref="F32:K32" ca="1" si="12">-F44</f>
        <v>0</v>
      </c>
      <c r="G32" s="57">
        <f t="shared" ca="1" si="12"/>
        <v>0</v>
      </c>
      <c r="H32" s="57">
        <f t="shared" ca="1" si="12"/>
        <v>0</v>
      </c>
      <c r="I32" s="57">
        <f t="shared" ca="1" si="12"/>
        <v>0</v>
      </c>
      <c r="J32" s="57">
        <f t="shared" ca="1" si="12"/>
        <v>0</v>
      </c>
      <c r="K32" s="57">
        <f t="shared" ca="1" si="12"/>
        <v>0</v>
      </c>
      <c r="M32" s="19" t="s">
        <v>134</v>
      </c>
      <c r="N32" s="19"/>
      <c r="O32" s="39"/>
      <c r="P32" s="57">
        <f ca="1">-P44</f>
        <v>26623.52509218012</v>
      </c>
      <c r="Q32" s="57">
        <f t="shared" ref="Q32:V32" ca="1" si="13">-Q44</f>
        <v>-26623.52509218012</v>
      </c>
      <c r="R32" s="57">
        <f t="shared" si="13"/>
        <v>0</v>
      </c>
      <c r="S32" s="57">
        <f t="shared" si="13"/>
        <v>0</v>
      </c>
      <c r="T32" s="57">
        <f t="shared" si="13"/>
        <v>0</v>
      </c>
      <c r="U32" s="57">
        <f t="shared" si="13"/>
        <v>0</v>
      </c>
      <c r="V32" s="57">
        <f t="shared" si="13"/>
        <v>0</v>
      </c>
    </row>
    <row r="33" spans="1:22" ht="15" x14ac:dyDescent="0.35">
      <c r="A33" s="19"/>
      <c r="B33" s="19" t="s">
        <v>135</v>
      </c>
      <c r="C33" s="19"/>
      <c r="D33" s="42">
        <f t="shared" ref="D33:I33" si="14">D27+SUM(D28:D32)</f>
        <v>-351000</v>
      </c>
      <c r="E33" s="42">
        <f t="shared" ca="1" si="14"/>
        <v>-46678.47490781988</v>
      </c>
      <c r="F33" s="42">
        <f t="shared" ca="1" si="14"/>
        <v>-73302</v>
      </c>
      <c r="G33" s="42">
        <f t="shared" ca="1" si="14"/>
        <v>-73302</v>
      </c>
      <c r="H33" s="42">
        <f t="shared" ca="1" si="14"/>
        <v>-73302</v>
      </c>
      <c r="I33" s="42">
        <f t="shared" ca="1" si="14"/>
        <v>-73302</v>
      </c>
      <c r="J33" s="42">
        <f ca="1">J27+SUM(J28:J32)+J34</f>
        <v>-973094.4630617986</v>
      </c>
      <c r="K33" s="42">
        <f ca="1">K27+SUM(K28:K32)</f>
        <v>-73302</v>
      </c>
      <c r="M33" s="19" t="s">
        <v>135</v>
      </c>
      <c r="N33" s="19"/>
      <c r="O33" s="42">
        <f t="shared" ref="O33:T33" si="15">O27+SUM(O28:O32)</f>
        <v>-351000</v>
      </c>
      <c r="P33" s="42">
        <f t="shared" ca="1" si="15"/>
        <v>-46678.47490781988</v>
      </c>
      <c r="Q33" s="42">
        <f t="shared" ca="1" si="15"/>
        <v>-26623.52509218012</v>
      </c>
      <c r="R33" s="42">
        <f t="shared" si="15"/>
        <v>0</v>
      </c>
      <c r="S33" s="42">
        <f t="shared" si="15"/>
        <v>0</v>
      </c>
      <c r="T33" s="42">
        <f t="shared" si="15"/>
        <v>0</v>
      </c>
      <c r="U33" s="42">
        <f>U27+SUM(U28:U32)+U34</f>
        <v>0</v>
      </c>
      <c r="V33" s="42">
        <f>V27+SUM(V28:V32)</f>
        <v>0</v>
      </c>
    </row>
    <row r="34" spans="1:22" ht="16.2" x14ac:dyDescent="0.35">
      <c r="A34" s="19"/>
      <c r="B34" s="19" t="s">
        <v>136</v>
      </c>
      <c r="C34" s="19"/>
      <c r="D34" s="21"/>
      <c r="E34" s="19"/>
      <c r="G34" s="19"/>
      <c r="H34" s="19"/>
      <c r="I34" s="19"/>
      <c r="J34" s="19">
        <f ca="1">K33/(D13-D14)</f>
        <v>-899792.4630617986</v>
      </c>
      <c r="M34" s="19" t="s">
        <v>136</v>
      </c>
      <c r="N34" s="19"/>
      <c r="O34" s="21"/>
      <c r="P34" s="19"/>
      <c r="Q34" s="29"/>
      <c r="R34" s="19"/>
      <c r="S34" s="19"/>
      <c r="T34" s="19"/>
      <c r="U34" s="19">
        <f>V33/(D13-D14)</f>
        <v>0</v>
      </c>
      <c r="V34" s="29"/>
    </row>
    <row r="35" spans="1:22" ht="16.2" x14ac:dyDescent="0.35">
      <c r="A35" s="19"/>
      <c r="E35" s="19"/>
      <c r="F35" s="19"/>
      <c r="G35" s="19"/>
      <c r="H35" s="19"/>
      <c r="I35" s="19"/>
      <c r="J35" s="19"/>
      <c r="M35" s="29"/>
      <c r="N35" s="29"/>
      <c r="O35" s="45"/>
      <c r="P35" s="19"/>
      <c r="Q35" s="19"/>
      <c r="R35" s="19"/>
      <c r="S35" s="19"/>
      <c r="T35" s="19"/>
      <c r="U35" s="19"/>
      <c r="V35" s="29"/>
    </row>
    <row r="36" spans="1:22" ht="16.2" x14ac:dyDescent="0.35">
      <c r="A36" s="19"/>
      <c r="B36" s="20" t="s">
        <v>165</v>
      </c>
      <c r="D36" s="43">
        <f ca="1">XNPV(D13,D33:J33,D21:J21)</f>
        <v>-1185935.9629110731</v>
      </c>
      <c r="E36" s="19"/>
      <c r="F36" s="19"/>
      <c r="G36" s="19"/>
      <c r="H36" s="19"/>
      <c r="I36" s="19"/>
      <c r="J36" s="19"/>
      <c r="M36" s="20" t="s">
        <v>165</v>
      </c>
      <c r="N36" s="29"/>
      <c r="O36" s="43">
        <f ca="1">XNPV(D13,O33:U33,O21:U21)</f>
        <v>-417230.83794516383</v>
      </c>
      <c r="P36" s="19"/>
      <c r="Q36" s="19"/>
      <c r="R36" s="19"/>
      <c r="S36" s="19"/>
      <c r="T36" s="19"/>
      <c r="U36" s="19"/>
      <c r="V36" s="29"/>
    </row>
    <row r="37" spans="1:22" ht="16.2" x14ac:dyDescent="0.35">
      <c r="A37" s="19"/>
      <c r="B37" s="19"/>
      <c r="C37" s="42"/>
      <c r="D37" s="42"/>
      <c r="E37" s="42"/>
      <c r="F37" s="42"/>
      <c r="G37" s="42"/>
      <c r="H37" s="42"/>
      <c r="I37" s="42"/>
      <c r="J37" s="42"/>
      <c r="K37" s="91"/>
      <c r="M37" s="42"/>
      <c r="N37" s="42"/>
      <c r="O37" s="42"/>
      <c r="P37" s="42"/>
      <c r="Q37" s="42"/>
      <c r="R37" s="42"/>
      <c r="S37" s="42"/>
      <c r="T37" s="42"/>
      <c r="U37" s="42"/>
      <c r="V37" s="91"/>
    </row>
    <row r="38" spans="1:22" ht="16.2" x14ac:dyDescent="0.35">
      <c r="A38" s="19"/>
      <c r="B38" s="20" t="s">
        <v>140</v>
      </c>
      <c r="C38" s="42"/>
      <c r="D38" s="42"/>
      <c r="E38" s="42"/>
      <c r="F38" s="42"/>
      <c r="G38" s="42"/>
      <c r="H38" s="42"/>
      <c r="I38" s="42"/>
      <c r="J38" s="42"/>
      <c r="K38" s="91"/>
      <c r="M38" s="97" t="s">
        <v>140</v>
      </c>
      <c r="N38" s="42"/>
      <c r="O38" s="42"/>
      <c r="P38" s="42"/>
      <c r="Q38" s="42"/>
      <c r="R38" s="42"/>
      <c r="S38" s="42"/>
      <c r="T38" s="42"/>
      <c r="U38" s="42"/>
      <c r="V38" s="91"/>
    </row>
    <row r="39" spans="1:22" ht="15" x14ac:dyDescent="0.35">
      <c r="A39" s="19"/>
      <c r="B39" s="19" t="s">
        <v>141</v>
      </c>
      <c r="C39" s="42"/>
      <c r="D39" s="130">
        <v>0</v>
      </c>
      <c r="E39" s="130">
        <v>0</v>
      </c>
      <c r="F39" s="130">
        <v>0</v>
      </c>
      <c r="G39" s="130">
        <v>0</v>
      </c>
      <c r="H39" s="130">
        <v>0</v>
      </c>
      <c r="I39" s="130">
        <v>0</v>
      </c>
      <c r="J39" s="130">
        <v>0</v>
      </c>
      <c r="K39" s="130">
        <v>0</v>
      </c>
      <c r="M39" s="42" t="s">
        <v>141</v>
      </c>
      <c r="N39" s="42"/>
      <c r="O39" s="130">
        <v>0</v>
      </c>
      <c r="P39" s="130">
        <v>0</v>
      </c>
      <c r="Q39" s="130">
        <v>0</v>
      </c>
      <c r="R39" s="130">
        <v>0</v>
      </c>
      <c r="S39" s="130">
        <v>0</v>
      </c>
      <c r="T39" s="130">
        <v>0</v>
      </c>
      <c r="U39" s="130">
        <v>0</v>
      </c>
      <c r="V39" s="130">
        <v>0</v>
      </c>
    </row>
    <row r="40" spans="1:22" ht="15" x14ac:dyDescent="0.35">
      <c r="A40" s="19"/>
      <c r="B40" s="19" t="s">
        <v>142</v>
      </c>
      <c r="C40" s="42"/>
      <c r="D40" s="130">
        <v>0</v>
      </c>
      <c r="E40" s="130">
        <v>0</v>
      </c>
      <c r="F40" s="130">
        <v>0</v>
      </c>
      <c r="G40" s="130">
        <v>0</v>
      </c>
      <c r="H40" s="130">
        <v>0</v>
      </c>
      <c r="I40" s="130">
        <v>0</v>
      </c>
      <c r="J40" s="130">
        <v>0</v>
      </c>
      <c r="K40" s="130">
        <v>0</v>
      </c>
      <c r="M40" s="42" t="s">
        <v>142</v>
      </c>
      <c r="N40" s="42"/>
      <c r="O40" s="130">
        <v>0</v>
      </c>
      <c r="P40" s="130">
        <v>0</v>
      </c>
      <c r="Q40" s="130">
        <v>0</v>
      </c>
      <c r="R40" s="130">
        <v>0</v>
      </c>
      <c r="S40" s="130">
        <v>0</v>
      </c>
      <c r="T40" s="130">
        <v>0</v>
      </c>
      <c r="U40" s="130">
        <v>0</v>
      </c>
      <c r="V40" s="130">
        <v>0</v>
      </c>
    </row>
    <row r="41" spans="1:22" ht="16.2" x14ac:dyDescent="0.35">
      <c r="A41" s="19"/>
      <c r="B41" s="29" t="s">
        <v>166</v>
      </c>
      <c r="C41" s="42"/>
      <c r="D41" s="143">
        <v>0</v>
      </c>
      <c r="E41" s="42">
        <f t="shared" ref="E41:K41" si="16">E24*$C$46</f>
        <v>0</v>
      </c>
      <c r="F41" s="42">
        <f t="shared" si="16"/>
        <v>0</v>
      </c>
      <c r="G41" s="42">
        <f t="shared" si="16"/>
        <v>0</v>
      </c>
      <c r="H41" s="42">
        <f t="shared" si="16"/>
        <v>0</v>
      </c>
      <c r="I41" s="42">
        <f t="shared" si="16"/>
        <v>0</v>
      </c>
      <c r="J41" s="42">
        <f t="shared" si="16"/>
        <v>0</v>
      </c>
      <c r="K41" s="42">
        <f t="shared" si="16"/>
        <v>0</v>
      </c>
      <c r="M41" s="91" t="s">
        <v>166</v>
      </c>
      <c r="N41" s="42"/>
      <c r="O41" s="143">
        <v>0</v>
      </c>
      <c r="P41" s="42">
        <f t="shared" ref="P41:V41" si="17">P24*$N$46</f>
        <v>0</v>
      </c>
      <c r="Q41" s="42">
        <f t="shared" si="17"/>
        <v>0</v>
      </c>
      <c r="R41" s="42">
        <f t="shared" si="17"/>
        <v>0</v>
      </c>
      <c r="S41" s="42">
        <f t="shared" si="17"/>
        <v>0</v>
      </c>
      <c r="T41" s="42">
        <f t="shared" si="17"/>
        <v>0</v>
      </c>
      <c r="U41" s="42">
        <f t="shared" si="17"/>
        <v>0</v>
      </c>
      <c r="V41" s="42">
        <f t="shared" si="17"/>
        <v>0</v>
      </c>
    </row>
    <row r="42" spans="1:22" x14ac:dyDescent="0.3">
      <c r="B42" s="29" t="s">
        <v>167</v>
      </c>
      <c r="C42" s="91"/>
      <c r="D42" s="140">
        <v>0</v>
      </c>
      <c r="E42" s="91">
        <f ca="1">-E25*$C$47</f>
        <v>-26623.52509218012</v>
      </c>
      <c r="F42" s="91">
        <f t="shared" ref="F42:K42" ca="1" si="18">-F25*$C$47</f>
        <v>-26623.52509218012</v>
      </c>
      <c r="G42" s="91">
        <f t="shared" ca="1" si="18"/>
        <v>-26623.52509218012</v>
      </c>
      <c r="H42" s="91">
        <f t="shared" ca="1" si="18"/>
        <v>-26623.52509218012</v>
      </c>
      <c r="I42" s="91">
        <f t="shared" ca="1" si="18"/>
        <v>-26623.52509218012</v>
      </c>
      <c r="J42" s="91">
        <f t="shared" ca="1" si="18"/>
        <v>-26623.52509218012</v>
      </c>
      <c r="K42" s="91">
        <f t="shared" ca="1" si="18"/>
        <v>-26623.52509218012</v>
      </c>
      <c r="M42" s="91" t="s">
        <v>167</v>
      </c>
      <c r="N42" s="91"/>
      <c r="O42" s="140">
        <v>0</v>
      </c>
      <c r="P42" s="91">
        <f t="shared" ref="P42:V42" ca="1" si="19">-P25*$N$47</f>
        <v>-26623.52509218012</v>
      </c>
      <c r="Q42" s="91">
        <f t="shared" si="19"/>
        <v>0</v>
      </c>
      <c r="R42" s="91">
        <f t="shared" si="19"/>
        <v>0</v>
      </c>
      <c r="S42" s="91">
        <f t="shared" si="19"/>
        <v>0</v>
      </c>
      <c r="T42" s="91">
        <f t="shared" si="19"/>
        <v>0</v>
      </c>
      <c r="U42" s="91">
        <f t="shared" si="19"/>
        <v>0</v>
      </c>
      <c r="V42" s="91">
        <f t="shared" si="19"/>
        <v>0</v>
      </c>
    </row>
    <row r="43" spans="1:22" x14ac:dyDescent="0.3">
      <c r="B43" s="56" t="s">
        <v>143</v>
      </c>
      <c r="C43" s="56"/>
      <c r="D43" s="56">
        <f>SUM(D39:D42)</f>
        <v>0</v>
      </c>
      <c r="E43" s="56">
        <f ca="1">SUM(E39:E42)</f>
        <v>-26623.52509218012</v>
      </c>
      <c r="F43" s="56">
        <f t="shared" ref="F43:K43" ca="1" si="20">SUM(F39:F42)</f>
        <v>-26623.52509218012</v>
      </c>
      <c r="G43" s="56">
        <f t="shared" ca="1" si="20"/>
        <v>-26623.52509218012</v>
      </c>
      <c r="H43" s="56">
        <f t="shared" ca="1" si="20"/>
        <v>-26623.52509218012</v>
      </c>
      <c r="I43" s="56">
        <f t="shared" ca="1" si="20"/>
        <v>-26623.52509218012</v>
      </c>
      <c r="J43" s="56">
        <f t="shared" ca="1" si="20"/>
        <v>-26623.52509218012</v>
      </c>
      <c r="K43" s="56">
        <f t="shared" ca="1" si="20"/>
        <v>-26623.52509218012</v>
      </c>
      <c r="M43" s="56" t="s">
        <v>143</v>
      </c>
      <c r="N43" s="56"/>
      <c r="O43" s="56">
        <f>SUM(O39:O42)</f>
        <v>0</v>
      </c>
      <c r="P43" s="56">
        <f ca="1">SUM(P39:P42)</f>
        <v>-26623.52509218012</v>
      </c>
      <c r="Q43" s="56">
        <f t="shared" ref="Q43:V43" si="21">SUM(Q39:Q42)</f>
        <v>0</v>
      </c>
      <c r="R43" s="56">
        <f t="shared" si="21"/>
        <v>0</v>
      </c>
      <c r="S43" s="56">
        <f t="shared" si="21"/>
        <v>0</v>
      </c>
      <c r="T43" s="56">
        <f t="shared" si="21"/>
        <v>0</v>
      </c>
      <c r="U43" s="56">
        <f t="shared" si="21"/>
        <v>0</v>
      </c>
      <c r="V43" s="56">
        <f t="shared" si="21"/>
        <v>0</v>
      </c>
    </row>
    <row r="44" spans="1:22" ht="15" x14ac:dyDescent="0.35">
      <c r="A44" s="19"/>
      <c r="B44" s="19" t="s">
        <v>144</v>
      </c>
      <c r="C44" s="19"/>
      <c r="D44" s="21"/>
      <c r="E44" s="19">
        <f ca="1">E43-D43</f>
        <v>-26623.52509218012</v>
      </c>
      <c r="F44" s="19">
        <f t="shared" ref="F44:K44" ca="1" si="22">F43-E43</f>
        <v>0</v>
      </c>
      <c r="G44" s="19">
        <f t="shared" ca="1" si="22"/>
        <v>0</v>
      </c>
      <c r="H44" s="19">
        <f t="shared" ca="1" si="22"/>
        <v>0</v>
      </c>
      <c r="I44" s="19">
        <f t="shared" ca="1" si="22"/>
        <v>0</v>
      </c>
      <c r="J44" s="19">
        <f t="shared" ca="1" si="22"/>
        <v>0</v>
      </c>
      <c r="K44" s="19">
        <f t="shared" ca="1" si="22"/>
        <v>0</v>
      </c>
      <c r="M44" s="19" t="s">
        <v>144</v>
      </c>
      <c r="N44" s="19"/>
      <c r="O44" s="21"/>
      <c r="P44" s="19">
        <f ca="1">P43-O43</f>
        <v>-26623.52509218012</v>
      </c>
      <c r="Q44" s="19">
        <f t="shared" ref="Q44:V44" ca="1" si="23">Q43-P43</f>
        <v>26623.52509218012</v>
      </c>
      <c r="R44" s="19">
        <f t="shared" si="23"/>
        <v>0</v>
      </c>
      <c r="S44" s="19">
        <f t="shared" si="23"/>
        <v>0</v>
      </c>
      <c r="T44" s="19">
        <f t="shared" si="23"/>
        <v>0</v>
      </c>
      <c r="U44" s="19">
        <f t="shared" si="23"/>
        <v>0</v>
      </c>
      <c r="V44" s="19">
        <f t="shared" si="23"/>
        <v>0</v>
      </c>
    </row>
    <row r="45" spans="1:22" ht="16.2" x14ac:dyDescent="0.35">
      <c r="A45" s="19"/>
      <c r="B45" s="19"/>
      <c r="C45" s="19"/>
      <c r="D45" s="21"/>
      <c r="E45" s="19"/>
      <c r="F45" s="19"/>
      <c r="G45" s="19"/>
      <c r="H45" s="19"/>
      <c r="M45" s="19"/>
      <c r="N45" s="19"/>
      <c r="O45" s="21"/>
      <c r="P45" s="19"/>
      <c r="Q45" s="19"/>
      <c r="R45" s="19"/>
      <c r="S45" s="19"/>
      <c r="T45" s="29"/>
      <c r="U45" s="29"/>
      <c r="V45" s="29"/>
    </row>
    <row r="46" spans="1:22" ht="16.2" x14ac:dyDescent="0.35">
      <c r="A46" s="19"/>
      <c r="B46" s="29" t="s">
        <v>145</v>
      </c>
      <c r="C46" s="132">
        <f>'FCFE Calculations'!C46</f>
        <v>7.933562798028819E-2</v>
      </c>
      <c r="D46" s="21"/>
      <c r="E46" s="19"/>
      <c r="F46" s="19"/>
      <c r="G46" s="19"/>
      <c r="H46" s="19"/>
      <c r="M46" s="29" t="s">
        <v>145</v>
      </c>
      <c r="N46" s="132">
        <f>'FCFE Calculations'!C46</f>
        <v>7.933562798028819E-2</v>
      </c>
      <c r="O46" s="21"/>
      <c r="P46" s="19"/>
      <c r="Q46" s="19"/>
      <c r="R46" s="19"/>
      <c r="S46" s="19"/>
      <c r="T46" s="29"/>
      <c r="U46" s="29"/>
      <c r="V46" s="29"/>
    </row>
    <row r="47" spans="1:22" ht="16.2" x14ac:dyDescent="0.35">
      <c r="A47" s="19"/>
      <c r="B47" s="29" t="s">
        <v>146</v>
      </c>
      <c r="C47" s="132">
        <f>'FCFE Calculations'!C47</f>
        <v>0.28024763254926444</v>
      </c>
      <c r="D47" s="21"/>
      <c r="E47" s="19"/>
      <c r="F47" s="19"/>
      <c r="G47" s="19"/>
      <c r="H47" s="19"/>
      <c r="M47" s="29" t="s">
        <v>146</v>
      </c>
      <c r="N47" s="132">
        <f>'FCFE Calculations'!C47</f>
        <v>0.28024763254926444</v>
      </c>
      <c r="O47" s="21"/>
      <c r="P47" s="19"/>
      <c r="Q47" s="19"/>
      <c r="R47" s="19"/>
      <c r="S47" s="19"/>
      <c r="T47" s="29"/>
      <c r="U47" s="29"/>
      <c r="V47" s="29"/>
    </row>
    <row r="48" spans="1:22" ht="16.2" x14ac:dyDescent="0.35">
      <c r="A48" s="19"/>
      <c r="B48" s="44"/>
      <c r="C48" s="19"/>
      <c r="D48" s="21"/>
      <c r="E48" s="19"/>
      <c r="F48" s="19"/>
      <c r="G48" s="19"/>
      <c r="H48" s="19"/>
    </row>
    <row r="49" spans="1:11" ht="16.2" x14ac:dyDescent="0.35">
      <c r="A49" s="19"/>
      <c r="B49" s="19"/>
      <c r="C49" s="19"/>
      <c r="D49" s="21"/>
      <c r="E49" s="19"/>
      <c r="F49" s="19"/>
      <c r="G49" s="19"/>
      <c r="H49" s="19"/>
    </row>
    <row r="50" spans="1:11" ht="16.2" x14ac:dyDescent="0.35">
      <c r="A50" s="19"/>
      <c r="B50" s="19"/>
      <c r="C50" s="19"/>
      <c r="D50" s="21"/>
      <c r="E50" s="19"/>
      <c r="F50" s="19"/>
      <c r="G50" s="19"/>
      <c r="H50" s="19"/>
    </row>
    <row r="51" spans="1:11" ht="16.2" x14ac:dyDescent="0.35">
      <c r="A51" s="19"/>
      <c r="B51" s="19"/>
      <c r="C51" s="19"/>
      <c r="D51" s="21"/>
      <c r="E51" s="19"/>
      <c r="F51" s="19"/>
      <c r="G51" s="19"/>
      <c r="H51" s="19"/>
    </row>
    <row r="52" spans="1:11" ht="16.2" x14ac:dyDescent="0.35">
      <c r="A52" s="19"/>
      <c r="B52" s="19"/>
      <c r="C52" s="19"/>
      <c r="D52" s="21"/>
      <c r="E52" s="19"/>
      <c r="F52" s="19"/>
      <c r="G52" s="19"/>
      <c r="H52" s="19"/>
    </row>
    <row r="53" spans="1:11" ht="16.2" x14ac:dyDescent="0.35">
      <c r="A53" s="19"/>
      <c r="B53" s="19"/>
      <c r="C53" s="19"/>
      <c r="D53" s="21"/>
      <c r="E53" s="19"/>
      <c r="F53" s="19"/>
      <c r="G53" s="19"/>
      <c r="H53" s="19"/>
    </row>
    <row r="54" spans="1:11" ht="15" x14ac:dyDescent="0.35">
      <c r="A54" s="19"/>
      <c r="B54" s="19"/>
      <c r="C54" s="19"/>
      <c r="D54" s="21"/>
      <c r="E54" s="19"/>
      <c r="F54" s="19"/>
      <c r="G54" s="19"/>
      <c r="H54" s="19"/>
      <c r="I54" s="19"/>
      <c r="J54" s="19"/>
      <c r="K54" s="19"/>
    </row>
    <row r="55" spans="1:11" ht="15" x14ac:dyDescent="0.35">
      <c r="A55" s="19"/>
      <c r="B55" s="19"/>
      <c r="C55" s="19"/>
      <c r="D55" s="21"/>
      <c r="E55" s="19"/>
      <c r="F55" s="19"/>
      <c r="G55" s="19"/>
      <c r="H55" s="19"/>
      <c r="I55" s="19"/>
      <c r="J55" s="19"/>
      <c r="K55" s="19"/>
    </row>
    <row r="56" spans="1:11" ht="15" x14ac:dyDescent="0.35">
      <c r="A56" s="19"/>
      <c r="B56" s="19"/>
      <c r="C56" s="19"/>
      <c r="D56" s="21"/>
      <c r="E56" s="19"/>
      <c r="F56" s="19"/>
      <c r="G56" s="19"/>
      <c r="H56" s="19"/>
      <c r="I56" s="19"/>
      <c r="J56" s="19"/>
      <c r="K56" s="19"/>
    </row>
    <row r="57" spans="1:11" ht="15" x14ac:dyDescent="0.35">
      <c r="A57" s="19"/>
      <c r="B57" s="19"/>
      <c r="C57" s="19"/>
      <c r="D57" s="21"/>
      <c r="E57" s="19"/>
      <c r="F57" s="19"/>
      <c r="G57" s="19"/>
      <c r="H57" s="19"/>
      <c r="I57" s="19"/>
      <c r="J57" s="19"/>
      <c r="K57" s="19"/>
    </row>
    <row r="58" spans="1:11" ht="15" x14ac:dyDescent="0.35">
      <c r="A58" s="19"/>
      <c r="B58" s="19"/>
      <c r="C58" s="19"/>
      <c r="D58" s="21"/>
      <c r="E58" s="19"/>
      <c r="F58" s="19"/>
      <c r="G58" s="19"/>
      <c r="H58" s="19"/>
      <c r="I58" s="19"/>
      <c r="J58" s="19"/>
      <c r="K58" s="19"/>
    </row>
    <row r="59" spans="1:11" ht="15" x14ac:dyDescent="0.35">
      <c r="A59" s="19"/>
      <c r="B59" s="19"/>
      <c r="C59" s="19"/>
      <c r="D59" s="21"/>
      <c r="E59" s="19"/>
      <c r="F59" s="19"/>
      <c r="G59" s="19"/>
      <c r="H59" s="19"/>
      <c r="I59" s="19"/>
      <c r="J59" s="19"/>
      <c r="K59" s="19"/>
    </row>
    <row r="60" spans="1:11" ht="15" x14ac:dyDescent="0.35">
      <c r="A60" s="19"/>
      <c r="B60" s="19"/>
      <c r="C60" s="19"/>
      <c r="D60" s="21"/>
      <c r="E60" s="19"/>
      <c r="F60" s="19"/>
      <c r="G60" s="19"/>
      <c r="H60" s="19"/>
      <c r="I60" s="19"/>
      <c r="J60" s="19"/>
      <c r="K60" s="19"/>
    </row>
    <row r="61" spans="1:11" ht="15" x14ac:dyDescent="0.35">
      <c r="A61" s="19"/>
      <c r="B61" s="19"/>
      <c r="C61" s="19"/>
      <c r="D61" s="21"/>
      <c r="E61" s="19"/>
      <c r="F61" s="19"/>
      <c r="G61" s="19"/>
      <c r="H61" s="19"/>
      <c r="I61" s="19"/>
      <c r="J61" s="19"/>
      <c r="K61" s="19"/>
    </row>
    <row r="62" spans="1:11" ht="15" x14ac:dyDescent="0.35">
      <c r="A62" s="19"/>
      <c r="B62" s="19"/>
      <c r="C62" s="19"/>
      <c r="D62" s="21"/>
      <c r="E62" s="19"/>
      <c r="F62" s="19"/>
      <c r="G62" s="19"/>
      <c r="H62" s="19"/>
      <c r="I62" s="19"/>
      <c r="J62" s="19"/>
      <c r="K62" s="19"/>
    </row>
    <row r="63" spans="1:11" ht="16.2" x14ac:dyDescent="0.35">
      <c r="B63" s="19"/>
      <c r="C63" s="19"/>
      <c r="D63" s="21"/>
      <c r="E63" s="19"/>
      <c r="F63" s="19"/>
      <c r="G63" s="19"/>
      <c r="H63" s="19"/>
      <c r="I63" s="19"/>
      <c r="J63" s="19"/>
      <c r="K63" s="19"/>
    </row>
  </sheetData>
  <hyperlinks>
    <hyperlink ref="E12" r:id="rId1" xr:uid="{2ECE39AE-99F0-4157-B2F1-883C25CB2F59}"/>
    <hyperlink ref="E11" r:id="rId2" xr:uid="{FA9E8814-5881-4864-B719-2DCBAAB5E7E6}"/>
    <hyperlink ref="E10" r:id="rId3" xr:uid="{7D2A148A-7428-444D-BFE7-5D0458DDF477}"/>
  </hyperlinks>
  <pageMargins left="0.7" right="0.7" top="0.75" bottom="0.75" header="0.3" footer="0.3"/>
  <legacy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E1EFC-05C5-4621-B5B5-748B836F8A04}">
  <sheetPr>
    <tabColor rgb="FF00B050"/>
  </sheetPr>
  <dimension ref="B1:H11"/>
  <sheetViews>
    <sheetView tabSelected="1" workbookViewId="0">
      <selection activeCell="F21" sqref="F21"/>
    </sheetView>
  </sheetViews>
  <sheetFormatPr defaultRowHeight="14.4" x14ac:dyDescent="0.3"/>
  <cols>
    <col min="1" max="1" width="10.109375" bestFit="1" customWidth="1"/>
    <col min="2" max="2" width="38.88671875" bestFit="1" customWidth="1"/>
    <col min="3" max="3" width="22.44140625" bestFit="1" customWidth="1"/>
    <col min="4" max="4" width="14.33203125" bestFit="1" customWidth="1"/>
    <col min="5" max="5" width="15.44140625" bestFit="1" customWidth="1"/>
    <col min="6" max="9" width="12.33203125" bestFit="1" customWidth="1"/>
    <col min="11" max="11" width="12.109375" bestFit="1" customWidth="1"/>
    <col min="12" max="12" width="9.6640625" bestFit="1" customWidth="1"/>
  </cols>
  <sheetData>
    <row r="1" spans="2:8" x14ac:dyDescent="0.3">
      <c r="B1" s="156" t="s">
        <v>237</v>
      </c>
      <c r="C1" s="157">
        <v>0.5</v>
      </c>
      <c r="D1" t="s">
        <v>170</v>
      </c>
      <c r="E1" s="7">
        <f>'NPV Calculation_Payoff'!D36</f>
        <v>2747998.7618246786</v>
      </c>
      <c r="G1" t="s">
        <v>213</v>
      </c>
    </row>
    <row r="2" spans="2:8" x14ac:dyDescent="0.3">
      <c r="B2" s="156"/>
      <c r="C2" s="157"/>
      <c r="D2" s="75" t="s">
        <v>171</v>
      </c>
      <c r="E2" s="76">
        <f>'NPV Calculation_Payoff'!P36</f>
        <v>-165071.801682766</v>
      </c>
    </row>
    <row r="3" spans="2:8" x14ac:dyDescent="0.3">
      <c r="B3" s="156" t="s">
        <v>238</v>
      </c>
      <c r="C3" s="157">
        <f>1-C1</f>
        <v>0.5</v>
      </c>
      <c r="D3" s="75" t="s">
        <v>170</v>
      </c>
      <c r="E3" s="76">
        <f ca="1">'NPV Calculation_No Payoff'!D36</f>
        <v>-1185935.9629110731</v>
      </c>
    </row>
    <row r="4" spans="2:8" x14ac:dyDescent="0.3">
      <c r="B4" s="156"/>
      <c r="C4" s="157"/>
      <c r="D4" t="s">
        <v>171</v>
      </c>
      <c r="E4" s="7">
        <f ca="1">'NPV Calculation_No Payoff'!O36</f>
        <v>-417230.83794516383</v>
      </c>
    </row>
    <row r="5" spans="2:8" x14ac:dyDescent="0.3">
      <c r="B5" s="79"/>
    </row>
    <row r="6" spans="2:8" x14ac:dyDescent="0.3">
      <c r="B6" s="79" t="s">
        <v>172</v>
      </c>
      <c r="C6" s="7">
        <f ca="1">C1*E1+C3*E4</f>
        <v>1165383.9619397575</v>
      </c>
    </row>
    <row r="7" spans="2:8" x14ac:dyDescent="0.3">
      <c r="B7" s="79"/>
    </row>
    <row r="8" spans="2:8" x14ac:dyDescent="0.3">
      <c r="B8" s="79"/>
    </row>
    <row r="9" spans="2:8" x14ac:dyDescent="0.3">
      <c r="B9" s="79" t="s">
        <v>173</v>
      </c>
      <c r="C9" s="7">
        <f ca="1">C1*E1+C3*E3</f>
        <v>781031.39945680276</v>
      </c>
      <c r="D9" s="78"/>
      <c r="E9" s="78"/>
      <c r="F9" s="78"/>
      <c r="G9" s="78"/>
      <c r="H9" s="78"/>
    </row>
    <row r="10" spans="2:8" x14ac:dyDescent="0.3">
      <c r="B10" s="79" t="s">
        <v>174</v>
      </c>
      <c r="C10" s="7">
        <f ca="1">C6-C9</f>
        <v>384352.5624829547</v>
      </c>
    </row>
    <row r="11" spans="2:8" x14ac:dyDescent="0.3">
      <c r="B11" s="79"/>
      <c r="C11" s="7"/>
    </row>
  </sheetData>
  <mergeCells count="4">
    <mergeCell ref="B1:B2"/>
    <mergeCell ref="C1:C2"/>
    <mergeCell ref="B3:B4"/>
    <mergeCell ref="C3:C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F569B5F1EB8F40B52CB04F9780B3C2" ma:contentTypeVersion="3" ma:contentTypeDescription="Create a new document." ma:contentTypeScope="" ma:versionID="8939f0e39c7c8ce79a755c46e02f546f">
  <xsd:schema xmlns:xsd="http://www.w3.org/2001/XMLSchema" xmlns:xs="http://www.w3.org/2001/XMLSchema" xmlns:p="http://schemas.microsoft.com/office/2006/metadata/properties" xmlns:ns2="76b7c505-1ae0-454f-9eea-4fc527023261" targetNamespace="http://schemas.microsoft.com/office/2006/metadata/properties" ma:root="true" ma:fieldsID="b8f9dfc243bc8e5c8558b13d4d7ba2ba" ns2:_="">
    <xsd:import namespace="76b7c505-1ae0-454f-9eea-4fc5270232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b7c505-1ae0-454f-9eea-4fc5270232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EC9DFE5-BCD6-46F4-9AD1-A3F422AD177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27E67F-F699-4C85-B3F8-78CB426588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b7c505-1ae0-454f-9eea-4fc5270232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7CA1253-29D4-4AA3-8276-13FC5A298F5D}">
  <ds:schemaRefs>
    <ds:schemaRef ds:uri="http://purl.org/dc/dcmitype/"/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76b7c505-1ae0-454f-9eea-4fc52702326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Risk Analysis</vt:lpstr>
      <vt:lpstr>Assumptions</vt:lpstr>
      <vt:lpstr>Cost Data</vt:lpstr>
      <vt:lpstr>Average Industry Growth</vt:lpstr>
      <vt:lpstr>Bond Ratings</vt:lpstr>
      <vt:lpstr>Ba Calculation</vt:lpstr>
      <vt:lpstr>FCFE Calculations</vt:lpstr>
      <vt:lpstr>NPV Calculation_Payoff</vt:lpstr>
      <vt:lpstr>NPV Calculation_No Payoff</vt:lpstr>
      <vt:lpstr>NPV - Option 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Emily Schmidt</dc:creator>
  <cp:keywords/>
  <dc:description/>
  <cp:lastModifiedBy>Schmidt, Emily</cp:lastModifiedBy>
  <cp:revision/>
  <dcterms:created xsi:type="dcterms:W3CDTF">2025-11-27T02:42:12Z</dcterms:created>
  <dcterms:modified xsi:type="dcterms:W3CDTF">2026-05-05T16:25:38Z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0x01010092F569B5F1EB8F40B52CB04F9780B3C2</vt:lpwstr>
  </property>
</Properties>
</file>